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BI Mega May\data\"/>
    </mc:Choice>
  </mc:AlternateContent>
  <xr:revisionPtr revIDLastSave="0" documentId="13_ncr:1_{EB58E645-DD75-43B7-A28C-6C51AB06DD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commerceSales" sheetId="1" r:id="rId1"/>
    <sheet name="Sheet3" sheetId="4" r:id="rId2"/>
    <sheet name="Sheet2" sheetId="3" r:id="rId3"/>
    <sheet name="Sheet1" sheetId="2" r:id="rId4"/>
  </sheets>
  <definedNames>
    <definedName name="_xlnm._FilterDatabase" localSheetId="0" hidden="1">EcommerceSales!$A$1:$M$31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3" l="1" a="1"/>
  <c r="A1" i="3" a="1"/>
  <c r="L3" i="1"/>
  <c r="L9" i="1"/>
  <c r="K11" i="1"/>
  <c r="L13" i="1"/>
  <c r="K16" i="1"/>
  <c r="L19" i="1"/>
  <c r="K21" i="1"/>
  <c r="L25" i="1"/>
  <c r="K26" i="1"/>
  <c r="L28" i="1"/>
  <c r="E2" i="3" l="1"/>
  <c r="E5" i="3"/>
  <c r="E4" i="3"/>
  <c r="E1" i="3"/>
  <c r="E3" i="3"/>
  <c r="E6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<sst xmlns="http://schemas.openxmlformats.org/spreadsheetml/2006/main" count="306" uniqueCount="124">
  <si>
    <t>Order_ID</t>
  </si>
  <si>
    <t>Order_Date</t>
  </si>
  <si>
    <t>Customer</t>
  </si>
  <si>
    <t>City</t>
  </si>
  <si>
    <t>Category</t>
  </si>
  <si>
    <t>Product</t>
  </si>
  <si>
    <t>Qty</t>
  </si>
  <si>
    <t>Unit_Price</t>
  </si>
  <si>
    <t>Discount_%</t>
  </si>
  <si>
    <t>Sales</t>
  </si>
  <si>
    <t>Payment_Mode</t>
  </si>
  <si>
    <t>Status</t>
  </si>
  <si>
    <t>ORD1001</t>
  </si>
  <si>
    <t>Customer A</t>
  </si>
  <si>
    <t>Delhi</t>
  </si>
  <si>
    <t>Electronics</t>
  </si>
  <si>
    <t>Wireless Mouse</t>
  </si>
  <si>
    <t>UPI</t>
  </si>
  <si>
    <t>Delivered</t>
  </si>
  <si>
    <t>ORD1002</t>
  </si>
  <si>
    <t>Customer B</t>
  </si>
  <si>
    <t>Mumbai</t>
  </si>
  <si>
    <t>Keyboard</t>
  </si>
  <si>
    <t>Card</t>
  </si>
  <si>
    <t>Shipped</t>
  </si>
  <si>
    <t>ORD1003</t>
  </si>
  <si>
    <t>Customer C</t>
  </si>
  <si>
    <t>Jaipur</t>
  </si>
  <si>
    <t>Fashion</t>
  </si>
  <si>
    <t>T-Shirt</t>
  </si>
  <si>
    <t>COD</t>
  </si>
  <si>
    <t>ORD1004</t>
  </si>
  <si>
    <t>Customer D</t>
  </si>
  <si>
    <t>Pune</t>
  </si>
  <si>
    <t>Home</t>
  </si>
  <si>
    <t>Mixer Grinder</t>
  </si>
  <si>
    <t>Net Banking</t>
  </si>
  <si>
    <t>ORD1005</t>
  </si>
  <si>
    <t>Customer E</t>
  </si>
  <si>
    <t>Lucknow</t>
  </si>
  <si>
    <t>Books</t>
  </si>
  <si>
    <t>Python Book</t>
  </si>
  <si>
    <t>Cancelled</t>
  </si>
  <si>
    <t>ORD1006</t>
  </si>
  <si>
    <t>Customer F</t>
  </si>
  <si>
    <t>Bengaluru</t>
  </si>
  <si>
    <t>Beauty</t>
  </si>
  <si>
    <t>Face Wash</t>
  </si>
  <si>
    <t>ORD1007</t>
  </si>
  <si>
    <t>Customer G</t>
  </si>
  <si>
    <t>ORD1008</t>
  </si>
  <si>
    <t>Customer H</t>
  </si>
  <si>
    <t>ORD1009</t>
  </si>
  <si>
    <t>Customer I</t>
  </si>
  <si>
    <t>ORD1010</t>
  </si>
  <si>
    <t>Customer J</t>
  </si>
  <si>
    <t>ORD1011</t>
  </si>
  <si>
    <t>Customer K</t>
  </si>
  <si>
    <t>ORD1012</t>
  </si>
  <si>
    <t>Customer L</t>
  </si>
  <si>
    <t>ORD1013</t>
  </si>
  <si>
    <t>Customer M</t>
  </si>
  <si>
    <t>ORD1014</t>
  </si>
  <si>
    <t>Customer N</t>
  </si>
  <si>
    <t>ORD1015</t>
  </si>
  <si>
    <t>Customer O</t>
  </si>
  <si>
    <t>ORD1016</t>
  </si>
  <si>
    <t>Customer P</t>
  </si>
  <si>
    <t>ORD1017</t>
  </si>
  <si>
    <t>Customer Q</t>
  </si>
  <si>
    <t>ORD1018</t>
  </si>
  <si>
    <t>Customer R</t>
  </si>
  <si>
    <t>ORD1019</t>
  </si>
  <si>
    <t>Customer S</t>
  </si>
  <si>
    <t>ORD1020</t>
  </si>
  <si>
    <t>Customer T</t>
  </si>
  <si>
    <t>ORD1021</t>
  </si>
  <si>
    <t>Customer U</t>
  </si>
  <si>
    <t>ORD1022</t>
  </si>
  <si>
    <t>Customer V</t>
  </si>
  <si>
    <t>ORD1023</t>
  </si>
  <si>
    <t>Customer W</t>
  </si>
  <si>
    <t>ORD1024</t>
  </si>
  <si>
    <t>Customer X</t>
  </si>
  <si>
    <t>ORD1025</t>
  </si>
  <si>
    <t>Customer Y</t>
  </si>
  <si>
    <t>ORD1026</t>
  </si>
  <si>
    <t>Customer Z</t>
  </si>
  <si>
    <t>ORD1027</t>
  </si>
  <si>
    <t>ORD1028</t>
  </si>
  <si>
    <t>ORD1029</t>
  </si>
  <si>
    <t>ORD1030</t>
  </si>
  <si>
    <t>Tannu
Singhal</t>
  </si>
  <si>
    <t>Customer A - Electronics</t>
  </si>
  <si>
    <t>Customer B - Electronics</t>
  </si>
  <si>
    <t>Customer C - Fashion</t>
  </si>
  <si>
    <t>Customer D - Home</t>
  </si>
  <si>
    <t>Customer E - Books</t>
  </si>
  <si>
    <t>Customer F - Beauty</t>
  </si>
  <si>
    <t>Customer G - Electronics</t>
  </si>
  <si>
    <t>Customer H - Electronics</t>
  </si>
  <si>
    <t>Customer I - Fashion</t>
  </si>
  <si>
    <t>Customer J - Home</t>
  </si>
  <si>
    <t>Customer K - Books</t>
  </si>
  <si>
    <t>Customer L - Beauty</t>
  </si>
  <si>
    <t>Customer M - Electronics</t>
  </si>
  <si>
    <t>Customer N - Electronics</t>
  </si>
  <si>
    <t>Customer O - Fashion</t>
  </si>
  <si>
    <t>Customer P - Home</t>
  </si>
  <si>
    <t>Customer Q - Books</t>
  </si>
  <si>
    <t>Customer R - Beauty</t>
  </si>
  <si>
    <t>Customer S - Electronics</t>
  </si>
  <si>
    <t>Customer T - Electronics</t>
  </si>
  <si>
    <t>Customer U - Fashion</t>
  </si>
  <si>
    <t>Customer V - Home</t>
  </si>
  <si>
    <t>Customer W - Books</t>
  </si>
  <si>
    <t>Customer X - Beauty</t>
  </si>
  <si>
    <t>Customer Y - Electronics</t>
  </si>
  <si>
    <t>Customer Z - Electronics</t>
  </si>
  <si>
    <t>Customer A - Fashion</t>
  </si>
  <si>
    <t>Customer B - Home</t>
  </si>
  <si>
    <t>Customer C - Books</t>
  </si>
  <si>
    <t>Customer D - Beauty</t>
  </si>
  <si>
    <t>Column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</si>
</sst>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190" zoomScaleNormal="190" workbookViewId="0">
      <selection activeCell="B2" sqref="A2:M31"/>
    </sheetView>
  </sheetViews>
  <sheetFormatPr defaultRowHeight="14.5" x14ac:dyDescent="0.35"/>
  <cols>
    <col min="1" max="1" width="14.36328125" customWidth="1"/>
    <col min="2" max="2" width="22" style="1" customWidth="1"/>
    <col min="3" max="3" width="20.54296875" customWidth="1"/>
    <col min="4" max="4" width="11.08984375" customWidth="1"/>
    <col min="5" max="5" width="17.81640625" customWidth="1"/>
    <col min="6" max="6" width="17.36328125" customWidth="1"/>
    <col min="8" max="8" width="9.54296875" customWidth="1"/>
    <col min="9" max="9" width="11.90625" customWidth="1"/>
    <col min="10" max="10" width="19.7265625" customWidth="1"/>
    <col min="11" max="11" width="19.6328125" customWidth="1"/>
    <col min="12" max="13" width="16" customWidth="1"/>
  </cols>
  <sheetData>
    <row r="1" spans="1:13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 t="s">
        <v>11</v>
      </c>
      <c r="M1" s="14" t="s">
        <v>123</v>
      </c>
    </row>
    <row r="2" spans="1:13" x14ac:dyDescent="0.35">
      <c r="A2" s="3" t="s">
        <v>12</v>
      </c>
      <c r="B2" s="4">
        <v>46143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1</v>
      </c>
      <c r="H2" s="5">
        <v>799</v>
      </c>
      <c r="I2" s="5">
        <v>0</v>
      </c>
      <c r="J2" s="5">
        <v>799</v>
      </c>
      <c r="K2" s="5" t="s">
        <v>17</v>
      </c>
      <c r="L2" s="6" t="s">
        <v>18</v>
      </c>
      <c r="M2">
        <v>16</v>
      </c>
    </row>
    <row r="3" spans="1:13" x14ac:dyDescent="0.35">
      <c r="A3" s="3" t="s">
        <v>19</v>
      </c>
      <c r="B3" s="4">
        <v>46144</v>
      </c>
      <c r="C3" s="5" t="s">
        <v>20</v>
      </c>
      <c r="D3" s="5" t="s">
        <v>21</v>
      </c>
      <c r="E3" s="5" t="s">
        <v>15</v>
      </c>
      <c r="F3" s="5" t="s">
        <v>22</v>
      </c>
      <c r="G3" s="5">
        <v>2</v>
      </c>
      <c r="H3" s="5">
        <v>1299</v>
      </c>
      <c r="I3" s="5">
        <v>5</v>
      </c>
      <c r="J3" s="5">
        <v>2468.1</v>
      </c>
      <c r="K3" s="5" t="s">
        <v>23</v>
      </c>
      <c r="L3" s="6" t="str">
        <f>L2</f>
        <v>Delivered</v>
      </c>
      <c r="M3">
        <v>10</v>
      </c>
    </row>
    <row r="4" spans="1:13" x14ac:dyDescent="0.35">
      <c r="A4" s="3" t="s">
        <v>25</v>
      </c>
      <c r="B4" s="4">
        <v>46145</v>
      </c>
      <c r="C4" s="5" t="s">
        <v>26</v>
      </c>
      <c r="D4" s="5" t="s">
        <v>27</v>
      </c>
      <c r="E4" s="5" t="s">
        <v>28</v>
      </c>
      <c r="F4" s="5" t="s">
        <v>29</v>
      </c>
      <c r="G4" s="5">
        <v>3</v>
      </c>
      <c r="H4" s="5">
        <v>599</v>
      </c>
      <c r="I4" s="5">
        <v>10</v>
      </c>
      <c r="J4" s="5">
        <v>1617.3</v>
      </c>
      <c r="K4" s="5" t="s">
        <v>30</v>
      </c>
      <c r="L4" s="6" t="s">
        <v>18</v>
      </c>
      <c r="M4">
        <v>10</v>
      </c>
    </row>
    <row r="5" spans="1:13" x14ac:dyDescent="0.35">
      <c r="A5" s="3" t="s">
        <v>31</v>
      </c>
      <c r="B5" s="4">
        <v>46146</v>
      </c>
      <c r="C5" s="5" t="s">
        <v>32</v>
      </c>
      <c r="D5" s="5" t="s">
        <v>33</v>
      </c>
      <c r="E5" s="5" t="s">
        <v>34</v>
      </c>
      <c r="F5" s="5" t="s">
        <v>35</v>
      </c>
      <c r="G5" s="5">
        <v>4</v>
      </c>
      <c r="H5" s="5">
        <v>3499</v>
      </c>
      <c r="I5" s="5">
        <v>15</v>
      </c>
      <c r="J5" s="5">
        <v>11896.6</v>
      </c>
      <c r="K5" s="5" t="s">
        <v>36</v>
      </c>
      <c r="L5" s="6" t="s">
        <v>18</v>
      </c>
      <c r="M5">
        <v>15</v>
      </c>
    </row>
    <row r="6" spans="1:13" x14ac:dyDescent="0.35">
      <c r="A6" s="3" t="s">
        <v>37</v>
      </c>
      <c r="B6" s="4">
        <v>46147</v>
      </c>
      <c r="C6" s="5" t="s">
        <v>38</v>
      </c>
      <c r="D6" s="5" t="s">
        <v>39</v>
      </c>
      <c r="E6" s="5" t="s">
        <v>40</v>
      </c>
      <c r="F6" s="5" t="s">
        <v>41</v>
      </c>
      <c r="G6" s="5">
        <v>5</v>
      </c>
      <c r="H6" s="5">
        <v>899</v>
      </c>
      <c r="I6" s="5">
        <v>20</v>
      </c>
      <c r="J6" s="5">
        <v>3596</v>
      </c>
      <c r="K6" s="5" t="s">
        <v>17</v>
      </c>
      <c r="L6" s="6" t="s">
        <v>42</v>
      </c>
      <c r="M6">
        <v>18</v>
      </c>
    </row>
    <row r="7" spans="1:13" x14ac:dyDescent="0.35">
      <c r="A7" s="3" t="s">
        <v>43</v>
      </c>
      <c r="B7" s="4">
        <v>46148</v>
      </c>
      <c r="C7" s="5" t="s">
        <v>44</v>
      </c>
      <c r="D7" s="5" t="s">
        <v>45</v>
      </c>
      <c r="E7" s="5" t="s">
        <v>46</v>
      </c>
      <c r="F7" s="5" t="s">
        <v>47</v>
      </c>
      <c r="G7" s="5">
        <v>1</v>
      </c>
      <c r="H7" s="5">
        <v>299</v>
      </c>
      <c r="I7" s="5">
        <v>25</v>
      </c>
      <c r="J7" s="5">
        <v>224.25</v>
      </c>
      <c r="K7" s="5" t="s">
        <v>23</v>
      </c>
      <c r="L7" s="6" t="s">
        <v>18</v>
      </c>
      <c r="M7">
        <v>16</v>
      </c>
    </row>
    <row r="8" spans="1:13" x14ac:dyDescent="0.35">
      <c r="A8" s="3" t="s">
        <v>48</v>
      </c>
      <c r="B8" s="4">
        <v>46149</v>
      </c>
      <c r="C8" s="5" t="s">
        <v>49</v>
      </c>
      <c r="D8" s="5" t="s">
        <v>14</v>
      </c>
      <c r="E8" s="5" t="s">
        <v>15</v>
      </c>
      <c r="F8" s="5" t="s">
        <v>16</v>
      </c>
      <c r="G8" s="5">
        <v>2</v>
      </c>
      <c r="H8" s="5">
        <v>799</v>
      </c>
      <c r="I8" s="5">
        <v>4</v>
      </c>
      <c r="J8" s="5">
        <v>1534.08</v>
      </c>
      <c r="K8" s="5" t="s">
        <v>30</v>
      </c>
      <c r="L8" s="6" t="s">
        <v>24</v>
      </c>
      <c r="M8">
        <v>16</v>
      </c>
    </row>
    <row r="9" spans="1:13" x14ac:dyDescent="0.35">
      <c r="A9" s="3" t="s">
        <v>50</v>
      </c>
      <c r="B9" s="4">
        <v>46150</v>
      </c>
      <c r="C9" s="5" t="s">
        <v>51</v>
      </c>
      <c r="D9" s="5" t="s">
        <v>21</v>
      </c>
      <c r="E9" s="5" t="s">
        <v>15</v>
      </c>
      <c r="F9" s="5" t="s">
        <v>22</v>
      </c>
      <c r="G9" s="5">
        <v>3</v>
      </c>
      <c r="H9" s="5">
        <v>1299</v>
      </c>
      <c r="I9" s="5">
        <v>9</v>
      </c>
      <c r="J9" s="5">
        <v>3546.27</v>
      </c>
      <c r="K9" s="5" t="s">
        <v>36</v>
      </c>
      <c r="L9" s="6" t="str">
        <f>L8</f>
        <v>Shipped</v>
      </c>
      <c r="M9">
        <v>15</v>
      </c>
    </row>
    <row r="10" spans="1:13" x14ac:dyDescent="0.35">
      <c r="A10" s="3" t="s">
        <v>52</v>
      </c>
      <c r="B10" s="4">
        <v>46151</v>
      </c>
      <c r="C10" s="5" t="s">
        <v>53</v>
      </c>
      <c r="D10" s="5" t="s">
        <v>27</v>
      </c>
      <c r="E10" s="5" t="s">
        <v>28</v>
      </c>
      <c r="F10" s="5" t="s">
        <v>29</v>
      </c>
      <c r="G10" s="5">
        <v>4</v>
      </c>
      <c r="H10" s="5">
        <v>599</v>
      </c>
      <c r="I10" s="5">
        <v>14</v>
      </c>
      <c r="J10" s="5">
        <v>2060.56</v>
      </c>
      <c r="K10" s="5" t="s">
        <v>17</v>
      </c>
      <c r="L10" s="6" t="s">
        <v>18</v>
      </c>
      <c r="M10">
        <v>17</v>
      </c>
    </row>
    <row r="11" spans="1:13" x14ac:dyDescent="0.35">
      <c r="A11" s="3" t="s">
        <v>54</v>
      </c>
      <c r="B11" s="4">
        <v>46152</v>
      </c>
      <c r="C11" s="5" t="s">
        <v>55</v>
      </c>
      <c r="D11" s="5" t="s">
        <v>33</v>
      </c>
      <c r="E11" s="5" t="s">
        <v>34</v>
      </c>
      <c r="F11" s="5" t="s">
        <v>35</v>
      </c>
      <c r="G11" s="5">
        <v>5</v>
      </c>
      <c r="H11" s="5">
        <v>3499</v>
      </c>
      <c r="I11" s="5">
        <v>19</v>
      </c>
      <c r="J11" s="5">
        <v>14170.95</v>
      </c>
      <c r="K11" s="5" t="str">
        <f>K10</f>
        <v>UPI</v>
      </c>
      <c r="L11" s="6" t="s">
        <v>42</v>
      </c>
      <c r="M11">
        <v>11</v>
      </c>
    </row>
    <row r="12" spans="1:13" x14ac:dyDescent="0.35">
      <c r="A12" s="3" t="s">
        <v>56</v>
      </c>
      <c r="B12" s="4">
        <v>46153</v>
      </c>
      <c r="C12" s="5" t="s">
        <v>57</v>
      </c>
      <c r="D12" s="5" t="s">
        <v>39</v>
      </c>
      <c r="E12" s="5" t="s">
        <v>40</v>
      </c>
      <c r="F12" s="5" t="s">
        <v>41</v>
      </c>
      <c r="G12" s="5">
        <v>1</v>
      </c>
      <c r="H12" s="5">
        <v>899</v>
      </c>
      <c r="I12" s="5">
        <v>24</v>
      </c>
      <c r="J12" s="5">
        <v>683.24</v>
      </c>
      <c r="K12" s="5" t="s">
        <v>30</v>
      </c>
      <c r="L12" s="6" t="s">
        <v>18</v>
      </c>
      <c r="M12">
        <v>15</v>
      </c>
    </row>
    <row r="13" spans="1:13" x14ac:dyDescent="0.35">
      <c r="A13" s="3" t="s">
        <v>58</v>
      </c>
      <c r="B13" s="4">
        <v>46154</v>
      </c>
      <c r="C13" s="5" t="s">
        <v>59</v>
      </c>
      <c r="D13" s="5" t="s">
        <v>45</v>
      </c>
      <c r="E13" s="5" t="s">
        <v>46</v>
      </c>
      <c r="F13" s="5" t="s">
        <v>47</v>
      </c>
      <c r="G13" s="5">
        <v>2</v>
      </c>
      <c r="H13" s="5">
        <v>299</v>
      </c>
      <c r="I13" s="5">
        <v>3</v>
      </c>
      <c r="J13" s="5">
        <v>580.05999999999995</v>
      </c>
      <c r="K13" s="5" t="s">
        <v>36</v>
      </c>
      <c r="L13" s="6" t="str">
        <f>L12</f>
        <v>Delivered</v>
      </c>
      <c r="M13">
        <v>17</v>
      </c>
    </row>
    <row r="14" spans="1:13" x14ac:dyDescent="0.35">
      <c r="A14" s="3" t="s">
        <v>60</v>
      </c>
      <c r="B14" s="4">
        <v>46155</v>
      </c>
      <c r="C14" s="5" t="s">
        <v>61</v>
      </c>
      <c r="D14" s="5" t="s">
        <v>14</v>
      </c>
      <c r="E14" s="5" t="s">
        <v>15</v>
      </c>
      <c r="F14" s="5" t="s">
        <v>16</v>
      </c>
      <c r="G14" s="5">
        <v>3</v>
      </c>
      <c r="H14" s="5">
        <v>799</v>
      </c>
      <c r="I14" s="5">
        <v>8</v>
      </c>
      <c r="J14" s="5">
        <v>2205.2399999999998</v>
      </c>
      <c r="K14" s="5" t="s">
        <v>17</v>
      </c>
      <c r="L14" s="6" t="s">
        <v>18</v>
      </c>
      <c r="M14">
        <v>15</v>
      </c>
    </row>
    <row r="15" spans="1:13" x14ac:dyDescent="0.35">
      <c r="A15" s="3" t="s">
        <v>62</v>
      </c>
      <c r="B15" s="4">
        <v>46156</v>
      </c>
      <c r="C15" s="5" t="s">
        <v>63</v>
      </c>
      <c r="D15" s="5" t="s">
        <v>21</v>
      </c>
      <c r="E15" s="5" t="s">
        <v>15</v>
      </c>
      <c r="F15" s="5" t="s">
        <v>22</v>
      </c>
      <c r="G15" s="5">
        <v>4</v>
      </c>
      <c r="H15" s="5">
        <v>1299</v>
      </c>
      <c r="I15" s="5">
        <v>13</v>
      </c>
      <c r="J15" s="5">
        <v>4520.5200000000004</v>
      </c>
      <c r="K15" s="5" t="s">
        <v>23</v>
      </c>
      <c r="L15" s="6" t="s">
        <v>18</v>
      </c>
      <c r="M15">
        <v>10</v>
      </c>
    </row>
    <row r="16" spans="1:13" x14ac:dyDescent="0.35">
      <c r="A16" s="3" t="s">
        <v>64</v>
      </c>
      <c r="B16" s="4">
        <v>46157</v>
      </c>
      <c r="C16" s="5" t="s">
        <v>65</v>
      </c>
      <c r="D16" s="5" t="s">
        <v>27</v>
      </c>
      <c r="E16" s="5" t="s">
        <v>28</v>
      </c>
      <c r="F16" s="5" t="s">
        <v>29</v>
      </c>
      <c r="G16" s="5">
        <v>5</v>
      </c>
      <c r="H16" s="5">
        <v>599</v>
      </c>
      <c r="I16" s="5">
        <v>18</v>
      </c>
      <c r="J16" s="5">
        <v>2455.9</v>
      </c>
      <c r="K16" s="5" t="str">
        <f>K15</f>
        <v>Card</v>
      </c>
      <c r="L16" s="6" t="s">
        <v>42</v>
      </c>
      <c r="M16">
        <v>15</v>
      </c>
    </row>
    <row r="17" spans="1:13" x14ac:dyDescent="0.35">
      <c r="A17" s="3" t="s">
        <v>66</v>
      </c>
      <c r="B17" s="4">
        <v>46158</v>
      </c>
      <c r="C17" s="5" t="s">
        <v>67</v>
      </c>
      <c r="D17" s="5" t="s">
        <v>33</v>
      </c>
      <c r="E17" s="5" t="s">
        <v>34</v>
      </c>
      <c r="F17" s="5" t="s">
        <v>35</v>
      </c>
      <c r="G17" s="5">
        <v>1</v>
      </c>
      <c r="H17" s="5">
        <v>3499</v>
      </c>
      <c r="I17" s="5">
        <v>23</v>
      </c>
      <c r="J17" s="5">
        <v>2694.23</v>
      </c>
      <c r="K17" s="5" t="s">
        <v>36</v>
      </c>
      <c r="L17" s="6" t="s">
        <v>18</v>
      </c>
      <c r="M17">
        <v>18</v>
      </c>
    </row>
    <row r="18" spans="1:13" x14ac:dyDescent="0.35">
      <c r="A18" s="3" t="s">
        <v>68</v>
      </c>
      <c r="B18" s="4">
        <v>46159</v>
      </c>
      <c r="C18" s="5" t="s">
        <v>69</v>
      </c>
      <c r="D18" s="5" t="s">
        <v>39</v>
      </c>
      <c r="E18" s="5" t="s">
        <v>40</v>
      </c>
      <c r="F18" s="5" t="s">
        <v>41</v>
      </c>
      <c r="G18" s="5">
        <v>2</v>
      </c>
      <c r="H18" s="5">
        <v>899</v>
      </c>
      <c r="I18" s="5">
        <v>2</v>
      </c>
      <c r="J18" s="5">
        <v>1762.04</v>
      </c>
      <c r="K18" s="5" t="s">
        <v>17</v>
      </c>
      <c r="L18" s="6" t="s">
        <v>24</v>
      </c>
      <c r="M18">
        <v>17</v>
      </c>
    </row>
    <row r="19" spans="1:13" x14ac:dyDescent="0.35">
      <c r="A19" s="3" t="s">
        <v>70</v>
      </c>
      <c r="B19" s="4">
        <v>46160</v>
      </c>
      <c r="C19" s="5" t="s">
        <v>71</v>
      </c>
      <c r="D19" s="5" t="s">
        <v>45</v>
      </c>
      <c r="E19" s="5" t="s">
        <v>46</v>
      </c>
      <c r="F19" s="5" t="s">
        <v>47</v>
      </c>
      <c r="G19" s="5">
        <v>3</v>
      </c>
      <c r="H19" s="5">
        <v>299</v>
      </c>
      <c r="I19" s="5">
        <v>7</v>
      </c>
      <c r="J19" s="5">
        <v>834.21</v>
      </c>
      <c r="K19" s="5" t="s">
        <v>23</v>
      </c>
      <c r="L19" s="6" t="str">
        <f>L18</f>
        <v>Shipped</v>
      </c>
      <c r="M19">
        <v>13</v>
      </c>
    </row>
    <row r="20" spans="1:13" x14ac:dyDescent="0.35">
      <c r="A20" s="3" t="s">
        <v>72</v>
      </c>
      <c r="B20" s="4">
        <v>46161</v>
      </c>
      <c r="C20" s="5" t="s">
        <v>73</v>
      </c>
      <c r="D20" s="5" t="s">
        <v>14</v>
      </c>
      <c r="E20" s="5" t="s">
        <v>15</v>
      </c>
      <c r="F20" s="5" t="s">
        <v>16</v>
      </c>
      <c r="G20" s="5">
        <v>4</v>
      </c>
      <c r="H20" s="5">
        <v>799</v>
      </c>
      <c r="I20" s="5">
        <v>12</v>
      </c>
      <c r="J20" s="5">
        <v>2812.48</v>
      </c>
      <c r="K20" s="5" t="s">
        <v>30</v>
      </c>
      <c r="L20" s="6" t="s">
        <v>18</v>
      </c>
      <c r="M20">
        <v>19</v>
      </c>
    </row>
    <row r="21" spans="1:13" x14ac:dyDescent="0.35">
      <c r="A21" s="3" t="s">
        <v>74</v>
      </c>
      <c r="B21" s="4">
        <v>46162</v>
      </c>
      <c r="C21" s="5" t="s">
        <v>75</v>
      </c>
      <c r="D21" s="5" t="s">
        <v>21</v>
      </c>
      <c r="E21" s="5" t="s">
        <v>15</v>
      </c>
      <c r="F21" s="5" t="s">
        <v>22</v>
      </c>
      <c r="G21" s="5">
        <v>5</v>
      </c>
      <c r="H21" s="5">
        <v>1299</v>
      </c>
      <c r="I21" s="5">
        <v>17</v>
      </c>
      <c r="J21" s="5">
        <v>5390.85</v>
      </c>
      <c r="K21" s="5" t="str">
        <f>K20</f>
        <v>COD</v>
      </c>
      <c r="L21" s="6" t="s">
        <v>42</v>
      </c>
      <c r="M21">
        <v>20</v>
      </c>
    </row>
    <row r="22" spans="1:13" x14ac:dyDescent="0.35">
      <c r="A22" s="3" t="s">
        <v>76</v>
      </c>
      <c r="B22" s="4">
        <v>46163</v>
      </c>
      <c r="C22" s="5" t="s">
        <v>77</v>
      </c>
      <c r="D22" s="5" t="s">
        <v>27</v>
      </c>
      <c r="E22" s="5" t="s">
        <v>28</v>
      </c>
      <c r="F22" s="5" t="s">
        <v>29</v>
      </c>
      <c r="G22" s="5">
        <v>1</v>
      </c>
      <c r="H22" s="5">
        <v>599</v>
      </c>
      <c r="I22" s="5">
        <v>22</v>
      </c>
      <c r="J22" s="5">
        <v>467.22</v>
      </c>
      <c r="K22" s="5" t="s">
        <v>17</v>
      </c>
      <c r="L22" s="6" t="s">
        <v>18</v>
      </c>
      <c r="M22">
        <v>19</v>
      </c>
    </row>
    <row r="23" spans="1:13" x14ac:dyDescent="0.35">
      <c r="A23" s="3" t="s">
        <v>78</v>
      </c>
      <c r="B23" s="4">
        <v>46164</v>
      </c>
      <c r="C23" s="5" t="s">
        <v>79</v>
      </c>
      <c r="D23" s="5" t="s">
        <v>33</v>
      </c>
      <c r="E23" s="5" t="s">
        <v>34</v>
      </c>
      <c r="F23" s="5" t="s">
        <v>35</v>
      </c>
      <c r="G23" s="5">
        <v>2</v>
      </c>
      <c r="H23" s="5">
        <v>3499</v>
      </c>
      <c r="I23" s="5">
        <v>1</v>
      </c>
      <c r="J23" s="5">
        <v>6928.02</v>
      </c>
      <c r="K23" s="5" t="s">
        <v>23</v>
      </c>
      <c r="L23" s="6" t="s">
        <v>24</v>
      </c>
      <c r="M23">
        <v>14</v>
      </c>
    </row>
    <row r="24" spans="1:13" x14ac:dyDescent="0.35">
      <c r="A24" s="3" t="s">
        <v>80</v>
      </c>
      <c r="B24" s="4">
        <v>46165</v>
      </c>
      <c r="C24" s="5" t="s">
        <v>81</v>
      </c>
      <c r="D24" s="5" t="s">
        <v>39</v>
      </c>
      <c r="E24" s="5" t="s">
        <v>40</v>
      </c>
      <c r="F24" s="5" t="s">
        <v>41</v>
      </c>
      <c r="G24" s="5">
        <v>3</v>
      </c>
      <c r="H24" s="5">
        <v>899</v>
      </c>
      <c r="I24" s="5">
        <v>6</v>
      </c>
      <c r="J24" s="5">
        <v>2535.1799999999998</v>
      </c>
      <c r="K24" s="5" t="s">
        <v>30</v>
      </c>
      <c r="L24" s="6" t="s">
        <v>18</v>
      </c>
      <c r="M24">
        <v>10</v>
      </c>
    </row>
    <row r="25" spans="1:13" x14ac:dyDescent="0.35">
      <c r="A25" s="3" t="s">
        <v>82</v>
      </c>
      <c r="B25" s="4">
        <v>46166</v>
      </c>
      <c r="C25" s="5" t="s">
        <v>83</v>
      </c>
      <c r="D25" s="5" t="s">
        <v>45</v>
      </c>
      <c r="E25" s="5" t="s">
        <v>46</v>
      </c>
      <c r="F25" s="5" t="s">
        <v>47</v>
      </c>
      <c r="G25" s="5">
        <v>4</v>
      </c>
      <c r="H25" s="5">
        <v>299</v>
      </c>
      <c r="I25" s="5">
        <v>11</v>
      </c>
      <c r="J25" s="5">
        <v>1064.44</v>
      </c>
      <c r="K25" s="5" t="s">
        <v>36</v>
      </c>
      <c r="L25" s="6" t="str">
        <f>L24</f>
        <v>Delivered</v>
      </c>
      <c r="M25">
        <v>14</v>
      </c>
    </row>
    <row r="26" spans="1:13" x14ac:dyDescent="0.35">
      <c r="A26" s="3" t="s">
        <v>84</v>
      </c>
      <c r="B26" s="4">
        <v>46167</v>
      </c>
      <c r="C26" s="5" t="s">
        <v>85</v>
      </c>
      <c r="D26" s="5" t="s">
        <v>14</v>
      </c>
      <c r="E26" s="5" t="s">
        <v>15</v>
      </c>
      <c r="F26" s="5" t="s">
        <v>16</v>
      </c>
      <c r="G26" s="5">
        <v>5</v>
      </c>
      <c r="H26" s="5">
        <v>799</v>
      </c>
      <c r="I26" s="5">
        <v>16</v>
      </c>
      <c r="J26" s="5">
        <v>3355.8</v>
      </c>
      <c r="K26" s="5" t="str">
        <f>K25</f>
        <v>Net Banking</v>
      </c>
      <c r="L26" s="6" t="s">
        <v>42</v>
      </c>
      <c r="M26">
        <v>15</v>
      </c>
    </row>
    <row r="27" spans="1:13" x14ac:dyDescent="0.35">
      <c r="A27" s="3" t="s">
        <v>86</v>
      </c>
      <c r="B27" s="4">
        <v>46168</v>
      </c>
      <c r="C27" s="5" t="s">
        <v>87</v>
      </c>
      <c r="D27" s="5" t="s">
        <v>21</v>
      </c>
      <c r="E27" s="5" t="s">
        <v>15</v>
      </c>
      <c r="F27" s="5" t="s">
        <v>22</v>
      </c>
      <c r="G27" s="5">
        <v>1</v>
      </c>
      <c r="H27" s="5">
        <v>1299</v>
      </c>
      <c r="I27" s="5">
        <v>21</v>
      </c>
      <c r="J27" s="5">
        <v>1026.21</v>
      </c>
      <c r="K27" s="5" t="s">
        <v>23</v>
      </c>
      <c r="L27" s="6" t="s">
        <v>18</v>
      </c>
      <c r="M27">
        <v>12</v>
      </c>
    </row>
    <row r="28" spans="1:13" x14ac:dyDescent="0.35">
      <c r="A28" s="3" t="s">
        <v>88</v>
      </c>
      <c r="B28" s="4">
        <v>46169</v>
      </c>
      <c r="C28" s="5" t="s">
        <v>13</v>
      </c>
      <c r="D28" s="5" t="s">
        <v>27</v>
      </c>
      <c r="E28" s="5" t="s">
        <v>28</v>
      </c>
      <c r="F28" s="5" t="s">
        <v>29</v>
      </c>
      <c r="G28" s="5">
        <v>2</v>
      </c>
      <c r="H28" s="5">
        <v>599</v>
      </c>
      <c r="I28" s="5">
        <v>0</v>
      </c>
      <c r="J28" s="5">
        <v>1198</v>
      </c>
      <c r="K28" s="5" t="s">
        <v>30</v>
      </c>
      <c r="L28" s="6" t="str">
        <f>L27</f>
        <v>Delivered</v>
      </c>
      <c r="M28">
        <v>13</v>
      </c>
    </row>
    <row r="29" spans="1:13" x14ac:dyDescent="0.35">
      <c r="A29" s="3" t="s">
        <v>89</v>
      </c>
      <c r="B29" s="4">
        <v>46170</v>
      </c>
      <c r="C29" s="5" t="s">
        <v>20</v>
      </c>
      <c r="D29" s="5" t="s">
        <v>33</v>
      </c>
      <c r="E29" s="5" t="s">
        <v>34</v>
      </c>
      <c r="F29" s="5" t="s">
        <v>35</v>
      </c>
      <c r="G29" s="5">
        <v>3</v>
      </c>
      <c r="H29" s="5">
        <v>3499</v>
      </c>
      <c r="I29" s="5">
        <v>5</v>
      </c>
      <c r="J29" s="5">
        <v>9972.15</v>
      </c>
      <c r="K29" s="5" t="s">
        <v>36</v>
      </c>
      <c r="L29" s="6" t="s">
        <v>18</v>
      </c>
      <c r="M29">
        <v>16</v>
      </c>
    </row>
    <row r="30" spans="1:13" x14ac:dyDescent="0.35">
      <c r="A30" s="3" t="s">
        <v>90</v>
      </c>
      <c r="B30" s="4">
        <v>46171</v>
      </c>
      <c r="C30" s="5" t="s">
        <v>26</v>
      </c>
      <c r="D30" s="5" t="s">
        <v>39</v>
      </c>
      <c r="E30" s="5" t="s">
        <v>40</v>
      </c>
      <c r="F30" s="5" t="s">
        <v>41</v>
      </c>
      <c r="G30" s="5">
        <v>4</v>
      </c>
      <c r="H30" s="5">
        <v>899</v>
      </c>
      <c r="I30" s="5">
        <v>10</v>
      </c>
      <c r="J30" s="5">
        <v>3236.4</v>
      </c>
      <c r="K30" s="5" t="s">
        <v>17</v>
      </c>
      <c r="L30" s="6" t="s">
        <v>18</v>
      </c>
      <c r="M30">
        <v>20</v>
      </c>
    </row>
    <row r="31" spans="1:13" ht="15" thickBot="1" x14ac:dyDescent="0.4">
      <c r="A31" s="7" t="s">
        <v>91</v>
      </c>
      <c r="B31" s="8">
        <v>46172</v>
      </c>
      <c r="C31" s="9" t="s">
        <v>32</v>
      </c>
      <c r="D31" s="9" t="s">
        <v>45</v>
      </c>
      <c r="E31" s="9" t="s">
        <v>46</v>
      </c>
      <c r="F31" s="9" t="s">
        <v>47</v>
      </c>
      <c r="G31" s="9">
        <v>5</v>
      </c>
      <c r="H31" s="9">
        <v>299</v>
      </c>
      <c r="I31" s="9">
        <v>15</v>
      </c>
      <c r="J31" s="9">
        <v>1270.75</v>
      </c>
      <c r="K31" s="9" t="s">
        <v>23</v>
      </c>
      <c r="L31" s="10" t="s">
        <v>42</v>
      </c>
      <c r="M31">
        <v>15</v>
      </c>
    </row>
  </sheetData>
  <autoFilter ref="A1:M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C866-0B09-4FEB-A27A-08FD00D1C3F4}">
  <dimension ref="A1:C31"/>
  <sheetViews>
    <sheetView zoomScale="190" zoomScaleNormal="190" workbookViewId="0">
      <selection activeCell="A7" sqref="A7"/>
    </sheetView>
  </sheetViews>
  <sheetFormatPr defaultRowHeight="14.5" x14ac:dyDescent="0.35"/>
  <cols>
    <col min="1" max="1" width="20.54296875" customWidth="1"/>
    <col min="2" max="2" width="17.81640625" customWidth="1"/>
    <col min="3" max="3" width="31.08984375" customWidth="1"/>
  </cols>
  <sheetData>
    <row r="1" spans="1:3" x14ac:dyDescent="0.35">
      <c r="A1" s="12" t="s">
        <v>2</v>
      </c>
      <c r="B1" s="12" t="s">
        <v>4</v>
      </c>
    </row>
    <row r="2" spans="1:3" x14ac:dyDescent="0.35">
      <c r="A2" s="5" t="s">
        <v>13</v>
      </c>
      <c r="B2" s="5" t="s">
        <v>15</v>
      </c>
      <c r="C2" t="s">
        <v>93</v>
      </c>
    </row>
    <row r="3" spans="1:3" x14ac:dyDescent="0.35">
      <c r="A3" s="5" t="s">
        <v>20</v>
      </c>
      <c r="B3" s="5" t="s">
        <v>15</v>
      </c>
      <c r="C3" t="s">
        <v>94</v>
      </c>
    </row>
    <row r="4" spans="1:3" x14ac:dyDescent="0.35">
      <c r="A4" s="5" t="s">
        <v>26</v>
      </c>
      <c r="B4" s="5" t="s">
        <v>28</v>
      </c>
      <c r="C4" t="s">
        <v>95</v>
      </c>
    </row>
    <row r="5" spans="1:3" x14ac:dyDescent="0.35">
      <c r="A5" s="5" t="s">
        <v>32</v>
      </c>
      <c r="B5" s="5" t="s">
        <v>34</v>
      </c>
      <c r="C5" t="s">
        <v>96</v>
      </c>
    </row>
    <row r="6" spans="1:3" x14ac:dyDescent="0.35">
      <c r="A6" s="5" t="s">
        <v>38</v>
      </c>
      <c r="B6" s="5" t="s">
        <v>40</v>
      </c>
      <c r="C6" t="s">
        <v>97</v>
      </c>
    </row>
    <row r="7" spans="1:3" x14ac:dyDescent="0.35">
      <c r="A7" s="5" t="s">
        <v>44</v>
      </c>
      <c r="B7" s="5" t="s">
        <v>46</v>
      </c>
      <c r="C7" t="s">
        <v>98</v>
      </c>
    </row>
    <row r="8" spans="1:3" x14ac:dyDescent="0.35">
      <c r="A8" s="5" t="s">
        <v>49</v>
      </c>
      <c r="B8" s="5" t="s">
        <v>15</v>
      </c>
      <c r="C8" t="s">
        <v>99</v>
      </c>
    </row>
    <row r="9" spans="1:3" x14ac:dyDescent="0.35">
      <c r="A9" s="5" t="s">
        <v>51</v>
      </c>
      <c r="B9" s="5" t="s">
        <v>15</v>
      </c>
      <c r="C9" t="s">
        <v>100</v>
      </c>
    </row>
    <row r="10" spans="1:3" x14ac:dyDescent="0.35">
      <c r="A10" s="5" t="s">
        <v>53</v>
      </c>
      <c r="B10" s="5" t="s">
        <v>28</v>
      </c>
      <c r="C10" t="s">
        <v>101</v>
      </c>
    </row>
    <row r="11" spans="1:3" x14ac:dyDescent="0.35">
      <c r="A11" s="5" t="s">
        <v>55</v>
      </c>
      <c r="B11" s="5" t="s">
        <v>34</v>
      </c>
      <c r="C11" t="s">
        <v>102</v>
      </c>
    </row>
    <row r="12" spans="1:3" x14ac:dyDescent="0.35">
      <c r="A12" s="5" t="s">
        <v>57</v>
      </c>
      <c r="B12" s="5" t="s">
        <v>40</v>
      </c>
      <c r="C12" t="s">
        <v>103</v>
      </c>
    </row>
    <row r="13" spans="1:3" x14ac:dyDescent="0.35">
      <c r="A13" s="5" t="s">
        <v>59</v>
      </c>
      <c r="B13" s="5" t="s">
        <v>46</v>
      </c>
      <c r="C13" t="s">
        <v>104</v>
      </c>
    </row>
    <row r="14" spans="1:3" x14ac:dyDescent="0.35">
      <c r="A14" s="5" t="s">
        <v>61</v>
      </c>
      <c r="B14" s="5" t="s">
        <v>15</v>
      </c>
      <c r="C14" t="s">
        <v>105</v>
      </c>
    </row>
    <row r="15" spans="1:3" x14ac:dyDescent="0.35">
      <c r="A15" s="5" t="s">
        <v>63</v>
      </c>
      <c r="B15" s="5" t="s">
        <v>15</v>
      </c>
      <c r="C15" t="s">
        <v>106</v>
      </c>
    </row>
    <row r="16" spans="1:3" x14ac:dyDescent="0.35">
      <c r="A16" s="5" t="s">
        <v>65</v>
      </c>
      <c r="B16" s="5" t="s">
        <v>28</v>
      </c>
      <c r="C16" t="s">
        <v>107</v>
      </c>
    </row>
    <row r="17" spans="1:3" x14ac:dyDescent="0.35">
      <c r="A17" s="5" t="s">
        <v>67</v>
      </c>
      <c r="B17" s="5" t="s">
        <v>34</v>
      </c>
      <c r="C17" t="s">
        <v>108</v>
      </c>
    </row>
    <row r="18" spans="1:3" x14ac:dyDescent="0.35">
      <c r="A18" s="5" t="s">
        <v>69</v>
      </c>
      <c r="B18" s="5" t="s">
        <v>40</v>
      </c>
      <c r="C18" t="s">
        <v>109</v>
      </c>
    </row>
    <row r="19" spans="1:3" x14ac:dyDescent="0.35">
      <c r="A19" s="5" t="s">
        <v>71</v>
      </c>
      <c r="B19" s="5" t="s">
        <v>46</v>
      </c>
      <c r="C19" t="s">
        <v>110</v>
      </c>
    </row>
    <row r="20" spans="1:3" x14ac:dyDescent="0.35">
      <c r="A20" s="5" t="s">
        <v>73</v>
      </c>
      <c r="B20" s="5" t="s">
        <v>15</v>
      </c>
      <c r="C20" t="s">
        <v>111</v>
      </c>
    </row>
    <row r="21" spans="1:3" x14ac:dyDescent="0.35">
      <c r="A21" s="5" t="s">
        <v>75</v>
      </c>
      <c r="B21" s="5" t="s">
        <v>15</v>
      </c>
      <c r="C21" t="s">
        <v>112</v>
      </c>
    </row>
    <row r="22" spans="1:3" x14ac:dyDescent="0.35">
      <c r="A22" s="5" t="s">
        <v>77</v>
      </c>
      <c r="B22" s="5" t="s">
        <v>28</v>
      </c>
      <c r="C22" t="s">
        <v>113</v>
      </c>
    </row>
    <row r="23" spans="1:3" x14ac:dyDescent="0.35">
      <c r="A23" s="5" t="s">
        <v>79</v>
      </c>
      <c r="B23" s="5" t="s">
        <v>34</v>
      </c>
      <c r="C23" t="s">
        <v>114</v>
      </c>
    </row>
    <row r="24" spans="1:3" x14ac:dyDescent="0.35">
      <c r="A24" s="5" t="s">
        <v>81</v>
      </c>
      <c r="B24" s="5" t="s">
        <v>40</v>
      </c>
      <c r="C24" t="s">
        <v>115</v>
      </c>
    </row>
    <row r="25" spans="1:3" x14ac:dyDescent="0.35">
      <c r="A25" s="5" t="s">
        <v>83</v>
      </c>
      <c r="B25" s="5" t="s">
        <v>46</v>
      </c>
      <c r="C25" t="s">
        <v>116</v>
      </c>
    </row>
    <row r="26" spans="1:3" x14ac:dyDescent="0.35">
      <c r="A26" s="5" t="s">
        <v>85</v>
      </c>
      <c r="B26" s="5" t="s">
        <v>15</v>
      </c>
      <c r="C26" t="s">
        <v>117</v>
      </c>
    </row>
    <row r="27" spans="1:3" x14ac:dyDescent="0.35">
      <c r="A27" s="5" t="s">
        <v>87</v>
      </c>
      <c r="B27" s="5" t="s">
        <v>15</v>
      </c>
      <c r="C27" t="s">
        <v>118</v>
      </c>
    </row>
    <row r="28" spans="1:3" x14ac:dyDescent="0.35">
      <c r="A28" s="5" t="s">
        <v>13</v>
      </c>
      <c r="B28" s="5" t="s">
        <v>28</v>
      </c>
      <c r="C28" t="s">
        <v>119</v>
      </c>
    </row>
    <row r="29" spans="1:3" x14ac:dyDescent="0.35">
      <c r="A29" s="5" t="s">
        <v>20</v>
      </c>
      <c r="B29" s="5" t="s">
        <v>34</v>
      </c>
      <c r="C29" t="s">
        <v>120</v>
      </c>
    </row>
    <row r="30" spans="1:3" x14ac:dyDescent="0.35">
      <c r="A30" s="5" t="s">
        <v>26</v>
      </c>
      <c r="B30" s="5" t="s">
        <v>40</v>
      </c>
      <c r="C30" t="s">
        <v>121</v>
      </c>
    </row>
    <row r="31" spans="1:3" ht="15" thickBot="1" x14ac:dyDescent="0.4">
      <c r="A31" s="9" t="s">
        <v>32</v>
      </c>
      <c r="B31" s="9" t="s">
        <v>46</v>
      </c>
      <c r="C31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A9F0-1D03-4434-864F-D98A9457C981}">
  <dimension ref="A1:E6"/>
  <sheetViews>
    <sheetView zoomScale="280" zoomScaleNormal="280" workbookViewId="0">
      <selection activeCell="B6" sqref="B6"/>
    </sheetView>
  </sheetViews>
  <sheetFormatPr defaultRowHeight="14.5" x14ac:dyDescent="0.35"/>
  <cols>
    <col min="1" max="1" width="10.54296875" customWidth="1"/>
    <col min="4" max="4" width="12.7265625" customWidth="1"/>
  </cols>
  <sheetData>
    <row r="1" spans="1:5" x14ac:dyDescent="0.35">
      <c r="A1" t="str" cm="1">
        <f t="array" ref="A1:B6">_xlfn.GROUPBY(EcommerceSales!$E$1:$E$31,EcommerceSales!$J$1:$J$31,_xleta.SUM)</f>
        <v>Beauty</v>
      </c>
      <c r="B1">
        <v>3973.71</v>
      </c>
      <c r="D1" t="str" cm="1">
        <f t="array" ref="D1:D5">_xlfn.UNIQUE(EcommerceSales!E2:E31)</f>
        <v>Electronics</v>
      </c>
      <c r="E1">
        <f>SUMIF(EcommerceSales!$E$2:$E$31,Sheet2!D1,EcommerceSales!$J$2:$J$31)</f>
        <v>27658.55</v>
      </c>
    </row>
    <row r="2" spans="1:5" x14ac:dyDescent="0.35">
      <c r="A2" t="str">
        <v>Books</v>
      </c>
      <c r="B2">
        <v>11812.859999999999</v>
      </c>
      <c r="D2" t="str">
        <v>Fashion</v>
      </c>
      <c r="E2">
        <f>SUMIF(EcommerceSales!$E$2:$E$31,Sheet2!D2,EcommerceSales!$J$2:$J$31)</f>
        <v>7798.9800000000005</v>
      </c>
    </row>
    <row r="3" spans="1:5" x14ac:dyDescent="0.35">
      <c r="A3" t="str">
        <v>Electronics</v>
      </c>
      <c r="B3">
        <v>27658.55</v>
      </c>
      <c r="D3" t="str">
        <v>Home</v>
      </c>
      <c r="E3">
        <f>SUMIF(EcommerceSales!$E$2:$E$31,Sheet2!D3,EcommerceSales!$J$2:$J$31)</f>
        <v>45661.950000000004</v>
      </c>
    </row>
    <row r="4" spans="1:5" x14ac:dyDescent="0.35">
      <c r="A4" t="str">
        <v>Fashion</v>
      </c>
      <c r="B4">
        <v>7798.9800000000005</v>
      </c>
      <c r="D4" t="str">
        <v>Books</v>
      </c>
      <c r="E4">
        <f>SUMIF(EcommerceSales!$E$2:$E$31,Sheet2!D4,EcommerceSales!$J$2:$J$31)</f>
        <v>11812.859999999999</v>
      </c>
    </row>
    <row r="5" spans="1:5" x14ac:dyDescent="0.35">
      <c r="A5" t="str">
        <v>Home</v>
      </c>
      <c r="B5">
        <v>45661.950000000004</v>
      </c>
      <c r="D5" t="str">
        <v>Beauty</v>
      </c>
      <c r="E5">
        <f>SUMIF(EcommerceSales!$E$2:$E$31,Sheet2!D5,EcommerceSales!$J$2:$J$31)</f>
        <v>3973.71</v>
      </c>
    </row>
    <row r="6" spans="1:5" x14ac:dyDescent="0.35">
      <c r="A6" t="str">
        <v>Total</v>
      </c>
      <c r="B6">
        <v>96906.05</v>
      </c>
      <c r="E6">
        <f>SUM(E1:E5)</f>
        <v>96906.050000000017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92CE-679C-422D-815B-7C20AEFE178D}">
  <dimension ref="C2"/>
  <sheetViews>
    <sheetView zoomScale="400" zoomScaleNormal="400" workbookViewId="0">
      <selection activeCell="C2" sqref="C2"/>
    </sheetView>
  </sheetViews>
  <sheetFormatPr defaultRowHeight="14.5" x14ac:dyDescent="0.35"/>
  <sheetData>
    <row r="2" spans="3:3" ht="43.5" x14ac:dyDescent="0.35">
      <c r="C2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EcommerceSales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 Singhal</cp:lastModifiedBy>
  <dcterms:created xsi:type="dcterms:W3CDTF">2026-06-23T04:36:28Z</dcterms:created>
  <dcterms:modified xsi:type="dcterms:W3CDTF">2026-07-08T15:07:35Z</dcterms:modified>
</cp:coreProperties>
</file>