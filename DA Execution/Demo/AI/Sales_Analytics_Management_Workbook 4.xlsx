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74BF68FB-7535-49D5-88E4-A7B36BE02773}" xr6:coauthVersionLast="47" xr6:coauthVersionMax="47" xr10:uidLastSave="{00000000-0000-0000-0000-000000000000}"/>
  <bookViews>
    <workbookView xWindow="0" yWindow="0" windowWidth="0" windowHeight="0" xr2:uid="{00000000-000D-0000-FFFF-FFFF00000000}"/>
  </bookViews>
  <sheets>
    <sheet name="Original_Data" sheetId="1" r:id="rId1"/>
    <sheet name="Clean_Data" sheetId="2" r:id="rId2"/>
    <sheet name="KPI_Analysis" sheetId="3" r:id="rId3"/>
    <sheet name="Charts_and_Visuals" sheetId="4" r:id="rId4"/>
    <sheet name="Cleaning_Log" sheetId="5" r:id="rId5"/>
    <sheet name="Data_Dictionary" sheetId="6" r:id="rId6"/>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3" l="1"/>
  <c r="B85" i="3"/>
  <c r="B84" i="3"/>
  <c r="B83" i="3"/>
  <c r="B82" i="3"/>
  <c r="B76" i="3"/>
  <c r="B75" i="3"/>
  <c r="B69" i="3"/>
  <c r="B68" i="3"/>
  <c r="B67" i="3"/>
  <c r="B61" i="3"/>
  <c r="B60" i="3"/>
  <c r="B59" i="3"/>
  <c r="B58" i="3"/>
  <c r="B52" i="3"/>
  <c r="B51" i="3"/>
  <c r="B50" i="3"/>
  <c r="B49" i="3"/>
  <c r="B48" i="3"/>
  <c r="B42" i="3"/>
  <c r="B41" i="3"/>
  <c r="B40" i="3"/>
  <c r="B34" i="3"/>
  <c r="B33" i="3"/>
  <c r="B32" i="3"/>
  <c r="B31" i="3"/>
  <c r="B30" i="3"/>
  <c r="B10" i="3"/>
  <c r="B9" i="3"/>
  <c r="B7" i="3"/>
  <c r="F9" i="4" s="1"/>
  <c r="B6" i="3"/>
  <c r="A9" i="4" s="1"/>
  <c r="B5" i="3"/>
  <c r="S251" i="2"/>
  <c r="R251" i="2"/>
  <c r="Q251" i="2"/>
  <c r="P251" i="2"/>
  <c r="O251" i="2"/>
  <c r="N251" i="2"/>
  <c r="S250" i="2"/>
  <c r="R250" i="2"/>
  <c r="Q250" i="2"/>
  <c r="P250" i="2"/>
  <c r="O250" i="2"/>
  <c r="N250" i="2"/>
  <c r="S249" i="2"/>
  <c r="R249" i="2"/>
  <c r="Q249" i="2"/>
  <c r="P249" i="2"/>
  <c r="O249" i="2"/>
  <c r="N249" i="2"/>
  <c r="S248" i="2"/>
  <c r="R248" i="2"/>
  <c r="Q248" i="2"/>
  <c r="P248" i="2"/>
  <c r="O248" i="2"/>
  <c r="N248" i="2"/>
  <c r="S247" i="2"/>
  <c r="R247" i="2"/>
  <c r="Q247" i="2"/>
  <c r="P247" i="2"/>
  <c r="O247" i="2"/>
  <c r="N247" i="2"/>
  <c r="S246" i="2"/>
  <c r="R246" i="2"/>
  <c r="Q246" i="2"/>
  <c r="P246" i="2"/>
  <c r="O246" i="2"/>
  <c r="N246" i="2"/>
  <c r="S245" i="2"/>
  <c r="R245" i="2"/>
  <c r="Q245" i="2"/>
  <c r="P245" i="2"/>
  <c r="O245" i="2"/>
  <c r="N245" i="2"/>
  <c r="S244" i="2"/>
  <c r="R244" i="2"/>
  <c r="Q244" i="2"/>
  <c r="P244" i="2"/>
  <c r="O244" i="2"/>
  <c r="N244" i="2"/>
  <c r="S243" i="2"/>
  <c r="R243" i="2"/>
  <c r="Q243" i="2"/>
  <c r="P243" i="2"/>
  <c r="O243" i="2"/>
  <c r="N243" i="2"/>
  <c r="S242" i="2"/>
  <c r="R242" i="2"/>
  <c r="Q242" i="2"/>
  <c r="P242" i="2"/>
  <c r="O242" i="2"/>
  <c r="N242" i="2"/>
  <c r="S241" i="2"/>
  <c r="R241" i="2"/>
  <c r="Q241" i="2"/>
  <c r="P241" i="2"/>
  <c r="O241" i="2"/>
  <c r="N241" i="2"/>
  <c r="S240" i="2"/>
  <c r="R240" i="2"/>
  <c r="Q240" i="2"/>
  <c r="P240" i="2"/>
  <c r="O240" i="2"/>
  <c r="N240" i="2"/>
  <c r="S239" i="2"/>
  <c r="R239" i="2"/>
  <c r="Q239" i="2"/>
  <c r="P239" i="2"/>
  <c r="O239" i="2"/>
  <c r="N239" i="2"/>
  <c r="S238" i="2"/>
  <c r="R238" i="2"/>
  <c r="Q238" i="2"/>
  <c r="P238" i="2"/>
  <c r="O238" i="2"/>
  <c r="N238" i="2"/>
  <c r="S237" i="2"/>
  <c r="R237" i="2"/>
  <c r="Q237" i="2"/>
  <c r="P237" i="2"/>
  <c r="O237" i="2"/>
  <c r="N237" i="2"/>
  <c r="S236" i="2"/>
  <c r="R236" i="2"/>
  <c r="Q236" i="2"/>
  <c r="P236" i="2"/>
  <c r="O236" i="2"/>
  <c r="N236" i="2"/>
  <c r="S235" i="2"/>
  <c r="R235" i="2"/>
  <c r="Q235" i="2"/>
  <c r="P235" i="2"/>
  <c r="O235" i="2"/>
  <c r="N235" i="2"/>
  <c r="S234" i="2"/>
  <c r="R234" i="2"/>
  <c r="Q234" i="2"/>
  <c r="P234" i="2"/>
  <c r="O234" i="2"/>
  <c r="N234" i="2"/>
  <c r="S233" i="2"/>
  <c r="R233" i="2"/>
  <c r="Q233" i="2"/>
  <c r="P233" i="2"/>
  <c r="O233" i="2"/>
  <c r="N233" i="2"/>
  <c r="S232" i="2"/>
  <c r="R232" i="2"/>
  <c r="Q232" i="2"/>
  <c r="P232" i="2"/>
  <c r="O232" i="2"/>
  <c r="N232" i="2"/>
  <c r="S231" i="2"/>
  <c r="R231" i="2"/>
  <c r="Q231" i="2"/>
  <c r="P231" i="2"/>
  <c r="O231" i="2"/>
  <c r="N231" i="2"/>
  <c r="S230" i="2"/>
  <c r="R230" i="2"/>
  <c r="Q230" i="2"/>
  <c r="P230" i="2"/>
  <c r="O230" i="2"/>
  <c r="N230" i="2"/>
  <c r="S229" i="2"/>
  <c r="R229" i="2"/>
  <c r="Q229" i="2"/>
  <c r="P229" i="2"/>
  <c r="O229" i="2"/>
  <c r="N229" i="2"/>
  <c r="S228" i="2"/>
  <c r="R228" i="2"/>
  <c r="Q228" i="2"/>
  <c r="P228" i="2"/>
  <c r="O228" i="2"/>
  <c r="N228" i="2"/>
  <c r="S227" i="2"/>
  <c r="R227" i="2"/>
  <c r="Q227" i="2"/>
  <c r="P227" i="2"/>
  <c r="O227" i="2"/>
  <c r="N227" i="2"/>
  <c r="S226" i="2"/>
  <c r="R226" i="2"/>
  <c r="Q226" i="2"/>
  <c r="P226" i="2"/>
  <c r="O226" i="2"/>
  <c r="N226" i="2"/>
  <c r="S225" i="2"/>
  <c r="R225" i="2"/>
  <c r="Q225" i="2"/>
  <c r="P225" i="2"/>
  <c r="O225" i="2"/>
  <c r="N225" i="2"/>
  <c r="S224" i="2"/>
  <c r="R224" i="2"/>
  <c r="Q224" i="2"/>
  <c r="P224" i="2"/>
  <c r="O224" i="2"/>
  <c r="N224" i="2"/>
  <c r="S223" i="2"/>
  <c r="R223" i="2"/>
  <c r="Q223" i="2"/>
  <c r="P223" i="2"/>
  <c r="O223" i="2"/>
  <c r="N223" i="2"/>
  <c r="S222" i="2"/>
  <c r="R222" i="2"/>
  <c r="Q222" i="2"/>
  <c r="P222" i="2"/>
  <c r="O222" i="2"/>
  <c r="N222" i="2"/>
  <c r="S221" i="2"/>
  <c r="R221" i="2"/>
  <c r="Q221" i="2"/>
  <c r="P221" i="2"/>
  <c r="O221" i="2"/>
  <c r="N221" i="2"/>
  <c r="S220" i="2"/>
  <c r="R220" i="2"/>
  <c r="Q220" i="2"/>
  <c r="P220" i="2"/>
  <c r="O220" i="2"/>
  <c r="N220" i="2"/>
  <c r="S219" i="2"/>
  <c r="R219" i="2"/>
  <c r="Q219" i="2"/>
  <c r="P219" i="2"/>
  <c r="O219" i="2"/>
  <c r="N219" i="2"/>
  <c r="S218" i="2"/>
  <c r="R218" i="2"/>
  <c r="Q218" i="2"/>
  <c r="P218" i="2"/>
  <c r="O218" i="2"/>
  <c r="N218" i="2"/>
  <c r="S217" i="2"/>
  <c r="R217" i="2"/>
  <c r="Q217" i="2"/>
  <c r="P217" i="2"/>
  <c r="O217" i="2"/>
  <c r="N217" i="2"/>
  <c r="S216" i="2"/>
  <c r="R216" i="2"/>
  <c r="Q216" i="2"/>
  <c r="P216" i="2"/>
  <c r="O216" i="2"/>
  <c r="N216" i="2"/>
  <c r="S215" i="2"/>
  <c r="R215" i="2"/>
  <c r="Q215" i="2"/>
  <c r="P215" i="2"/>
  <c r="O215" i="2"/>
  <c r="N215" i="2"/>
  <c r="S214" i="2"/>
  <c r="R214" i="2"/>
  <c r="Q214" i="2"/>
  <c r="P214" i="2"/>
  <c r="O214" i="2"/>
  <c r="N214" i="2"/>
  <c r="S213" i="2"/>
  <c r="R213" i="2"/>
  <c r="Q213" i="2"/>
  <c r="P213" i="2"/>
  <c r="O213" i="2"/>
  <c r="N213" i="2"/>
  <c r="S212" i="2"/>
  <c r="R212" i="2"/>
  <c r="Q212" i="2"/>
  <c r="P212" i="2"/>
  <c r="O212" i="2"/>
  <c r="N212" i="2"/>
  <c r="S211" i="2"/>
  <c r="R211" i="2"/>
  <c r="Q211" i="2"/>
  <c r="P211" i="2"/>
  <c r="O211" i="2"/>
  <c r="N211" i="2"/>
  <c r="S210" i="2"/>
  <c r="R210" i="2"/>
  <c r="Q210" i="2"/>
  <c r="P210" i="2"/>
  <c r="O210" i="2"/>
  <c r="N210" i="2"/>
  <c r="S209" i="2"/>
  <c r="R209" i="2"/>
  <c r="Q209" i="2"/>
  <c r="P209" i="2"/>
  <c r="O209" i="2"/>
  <c r="N209" i="2"/>
  <c r="S208" i="2"/>
  <c r="R208" i="2"/>
  <c r="Q208" i="2"/>
  <c r="P208" i="2"/>
  <c r="O208" i="2"/>
  <c r="N208" i="2"/>
  <c r="S207" i="2"/>
  <c r="R207" i="2"/>
  <c r="Q207" i="2"/>
  <c r="P207" i="2"/>
  <c r="O207" i="2"/>
  <c r="N207" i="2"/>
  <c r="S206" i="2"/>
  <c r="R206" i="2"/>
  <c r="Q206" i="2"/>
  <c r="P206" i="2"/>
  <c r="O206" i="2"/>
  <c r="N206" i="2"/>
  <c r="S205" i="2"/>
  <c r="R205" i="2"/>
  <c r="Q205" i="2"/>
  <c r="P205" i="2"/>
  <c r="O205" i="2"/>
  <c r="N205" i="2"/>
  <c r="S204" i="2"/>
  <c r="R204" i="2"/>
  <c r="Q204" i="2"/>
  <c r="P204" i="2"/>
  <c r="O204" i="2"/>
  <c r="N204" i="2"/>
  <c r="S203" i="2"/>
  <c r="R203" i="2"/>
  <c r="Q203" i="2"/>
  <c r="P203" i="2"/>
  <c r="O203" i="2"/>
  <c r="N203" i="2"/>
  <c r="S202" i="2"/>
  <c r="R202" i="2"/>
  <c r="Q202" i="2"/>
  <c r="P202" i="2"/>
  <c r="O202" i="2"/>
  <c r="N202" i="2"/>
  <c r="S201" i="2"/>
  <c r="R201" i="2"/>
  <c r="Q201" i="2"/>
  <c r="P201" i="2"/>
  <c r="O201" i="2"/>
  <c r="N201" i="2"/>
  <c r="S200" i="2"/>
  <c r="R200" i="2"/>
  <c r="Q200" i="2"/>
  <c r="P200" i="2"/>
  <c r="O200" i="2"/>
  <c r="N200" i="2"/>
  <c r="S199" i="2"/>
  <c r="R199" i="2"/>
  <c r="Q199" i="2"/>
  <c r="P199" i="2"/>
  <c r="O199" i="2"/>
  <c r="N199" i="2"/>
  <c r="S198" i="2"/>
  <c r="R198" i="2"/>
  <c r="Q198" i="2"/>
  <c r="P198" i="2"/>
  <c r="O198" i="2"/>
  <c r="N198" i="2"/>
  <c r="S197" i="2"/>
  <c r="R197" i="2"/>
  <c r="Q197" i="2"/>
  <c r="P197" i="2"/>
  <c r="O197" i="2"/>
  <c r="N197" i="2"/>
  <c r="S196" i="2"/>
  <c r="R196" i="2"/>
  <c r="Q196" i="2"/>
  <c r="P196" i="2"/>
  <c r="O196" i="2"/>
  <c r="N196" i="2"/>
  <c r="S195" i="2"/>
  <c r="R195" i="2"/>
  <c r="Q195" i="2"/>
  <c r="P195" i="2"/>
  <c r="O195" i="2"/>
  <c r="N195" i="2"/>
  <c r="S194" i="2"/>
  <c r="R194" i="2"/>
  <c r="Q194" i="2"/>
  <c r="P194" i="2"/>
  <c r="O194" i="2"/>
  <c r="N194" i="2"/>
  <c r="S193" i="2"/>
  <c r="R193" i="2"/>
  <c r="Q193" i="2"/>
  <c r="P193" i="2"/>
  <c r="O193" i="2"/>
  <c r="N193" i="2"/>
  <c r="S192" i="2"/>
  <c r="R192" i="2"/>
  <c r="Q192" i="2"/>
  <c r="P192" i="2"/>
  <c r="O192" i="2"/>
  <c r="N192" i="2"/>
  <c r="S191" i="2"/>
  <c r="R191" i="2"/>
  <c r="Q191" i="2"/>
  <c r="P191" i="2"/>
  <c r="O191" i="2"/>
  <c r="N191" i="2"/>
  <c r="S190" i="2"/>
  <c r="R190" i="2"/>
  <c r="Q190" i="2"/>
  <c r="P190" i="2"/>
  <c r="O190" i="2"/>
  <c r="N190" i="2"/>
  <c r="S189" i="2"/>
  <c r="R189" i="2"/>
  <c r="Q189" i="2"/>
  <c r="P189" i="2"/>
  <c r="O189" i="2"/>
  <c r="N189" i="2"/>
  <c r="S188" i="2"/>
  <c r="R188" i="2"/>
  <c r="Q188" i="2"/>
  <c r="P188" i="2"/>
  <c r="O188" i="2"/>
  <c r="N188" i="2"/>
  <c r="S187" i="2"/>
  <c r="R187" i="2"/>
  <c r="Q187" i="2"/>
  <c r="P187" i="2"/>
  <c r="O187" i="2"/>
  <c r="N187" i="2"/>
  <c r="S186" i="2"/>
  <c r="R186" i="2"/>
  <c r="Q186" i="2"/>
  <c r="P186" i="2"/>
  <c r="O186" i="2"/>
  <c r="N186" i="2"/>
  <c r="S185" i="2"/>
  <c r="R185" i="2"/>
  <c r="Q185" i="2"/>
  <c r="P185" i="2"/>
  <c r="O185" i="2"/>
  <c r="N185" i="2"/>
  <c r="S184" i="2"/>
  <c r="R184" i="2"/>
  <c r="Q184" i="2"/>
  <c r="P184" i="2"/>
  <c r="O184" i="2"/>
  <c r="N184" i="2"/>
  <c r="S183" i="2"/>
  <c r="R183" i="2"/>
  <c r="Q183" i="2"/>
  <c r="P183" i="2"/>
  <c r="O183" i="2"/>
  <c r="N183" i="2"/>
  <c r="S182" i="2"/>
  <c r="R182" i="2"/>
  <c r="Q182" i="2"/>
  <c r="P182" i="2"/>
  <c r="O182" i="2"/>
  <c r="N182" i="2"/>
  <c r="S181" i="2"/>
  <c r="R181" i="2"/>
  <c r="Q181" i="2"/>
  <c r="P181" i="2"/>
  <c r="O181" i="2"/>
  <c r="N181" i="2"/>
  <c r="S180" i="2"/>
  <c r="R180" i="2"/>
  <c r="Q180" i="2"/>
  <c r="P180" i="2"/>
  <c r="O180" i="2"/>
  <c r="N180" i="2"/>
  <c r="S179" i="2"/>
  <c r="R179" i="2"/>
  <c r="Q179" i="2"/>
  <c r="P179" i="2"/>
  <c r="O179" i="2"/>
  <c r="N179" i="2"/>
  <c r="S178" i="2"/>
  <c r="R178" i="2"/>
  <c r="Q178" i="2"/>
  <c r="P178" i="2"/>
  <c r="O178" i="2"/>
  <c r="N178" i="2"/>
  <c r="S177" i="2"/>
  <c r="R177" i="2"/>
  <c r="Q177" i="2"/>
  <c r="P177" i="2"/>
  <c r="O177" i="2"/>
  <c r="N177" i="2"/>
  <c r="S176" i="2"/>
  <c r="R176" i="2"/>
  <c r="Q176" i="2"/>
  <c r="P176" i="2"/>
  <c r="O176" i="2"/>
  <c r="N176" i="2"/>
  <c r="S175" i="2"/>
  <c r="R175" i="2"/>
  <c r="Q175" i="2"/>
  <c r="P175" i="2"/>
  <c r="O175" i="2"/>
  <c r="N175" i="2"/>
  <c r="S174" i="2"/>
  <c r="R174" i="2"/>
  <c r="Q174" i="2"/>
  <c r="P174" i="2"/>
  <c r="O174" i="2"/>
  <c r="N174" i="2"/>
  <c r="S173" i="2"/>
  <c r="R173" i="2"/>
  <c r="Q173" i="2"/>
  <c r="P173" i="2"/>
  <c r="O173" i="2"/>
  <c r="N173" i="2"/>
  <c r="S172" i="2"/>
  <c r="R172" i="2"/>
  <c r="Q172" i="2"/>
  <c r="P172" i="2"/>
  <c r="O172" i="2"/>
  <c r="N172" i="2"/>
  <c r="S171" i="2"/>
  <c r="R171" i="2"/>
  <c r="Q171" i="2"/>
  <c r="P171" i="2"/>
  <c r="O171" i="2"/>
  <c r="N171" i="2"/>
  <c r="S170" i="2"/>
  <c r="R170" i="2"/>
  <c r="Q170" i="2"/>
  <c r="P170" i="2"/>
  <c r="O170" i="2"/>
  <c r="N170" i="2"/>
  <c r="S169" i="2"/>
  <c r="R169" i="2"/>
  <c r="Q169" i="2"/>
  <c r="P169" i="2"/>
  <c r="O169" i="2"/>
  <c r="N169" i="2"/>
  <c r="S168" i="2"/>
  <c r="R168" i="2"/>
  <c r="Q168" i="2"/>
  <c r="P168" i="2"/>
  <c r="O168" i="2"/>
  <c r="N168" i="2"/>
  <c r="S167" i="2"/>
  <c r="R167" i="2"/>
  <c r="Q167" i="2"/>
  <c r="P167" i="2"/>
  <c r="O167" i="2"/>
  <c r="N167" i="2"/>
  <c r="S166" i="2"/>
  <c r="R166" i="2"/>
  <c r="Q166" i="2"/>
  <c r="P166" i="2"/>
  <c r="O166" i="2"/>
  <c r="N166" i="2"/>
  <c r="S165" i="2"/>
  <c r="R165" i="2"/>
  <c r="Q165" i="2"/>
  <c r="P165" i="2"/>
  <c r="O165" i="2"/>
  <c r="N165" i="2"/>
  <c r="S164" i="2"/>
  <c r="R164" i="2"/>
  <c r="Q164" i="2"/>
  <c r="P164" i="2"/>
  <c r="O164" i="2"/>
  <c r="N164" i="2"/>
  <c r="S163" i="2"/>
  <c r="R163" i="2"/>
  <c r="Q163" i="2"/>
  <c r="P163" i="2"/>
  <c r="O163" i="2"/>
  <c r="N163" i="2"/>
  <c r="S162" i="2"/>
  <c r="R162" i="2"/>
  <c r="Q162" i="2"/>
  <c r="P162" i="2"/>
  <c r="O162" i="2"/>
  <c r="N162" i="2"/>
  <c r="S161" i="2"/>
  <c r="R161" i="2"/>
  <c r="Q161" i="2"/>
  <c r="P161" i="2"/>
  <c r="O161" i="2"/>
  <c r="N161" i="2"/>
  <c r="S160" i="2"/>
  <c r="R160" i="2"/>
  <c r="Q160" i="2"/>
  <c r="P160" i="2"/>
  <c r="O160" i="2"/>
  <c r="N160" i="2"/>
  <c r="S159" i="2"/>
  <c r="R159" i="2"/>
  <c r="Q159" i="2"/>
  <c r="P159" i="2"/>
  <c r="O159" i="2"/>
  <c r="N159" i="2"/>
  <c r="S158" i="2"/>
  <c r="R158" i="2"/>
  <c r="Q158" i="2"/>
  <c r="P158" i="2"/>
  <c r="O158" i="2"/>
  <c r="N158" i="2"/>
  <c r="S157" i="2"/>
  <c r="R157" i="2"/>
  <c r="Q157" i="2"/>
  <c r="P157" i="2"/>
  <c r="O157" i="2"/>
  <c r="N157" i="2"/>
  <c r="S156" i="2"/>
  <c r="R156" i="2"/>
  <c r="Q156" i="2"/>
  <c r="P156" i="2"/>
  <c r="O156" i="2"/>
  <c r="N156" i="2"/>
  <c r="S155" i="2"/>
  <c r="R155" i="2"/>
  <c r="Q155" i="2"/>
  <c r="P155" i="2"/>
  <c r="O155" i="2"/>
  <c r="N155" i="2"/>
  <c r="S154" i="2"/>
  <c r="R154" i="2"/>
  <c r="Q154" i="2"/>
  <c r="P154" i="2"/>
  <c r="O154" i="2"/>
  <c r="N154" i="2"/>
  <c r="S153" i="2"/>
  <c r="R153" i="2"/>
  <c r="Q153" i="2"/>
  <c r="P153" i="2"/>
  <c r="O153" i="2"/>
  <c r="N153" i="2"/>
  <c r="S152" i="2"/>
  <c r="R152" i="2"/>
  <c r="Q152" i="2"/>
  <c r="P152" i="2"/>
  <c r="O152" i="2"/>
  <c r="N152" i="2"/>
  <c r="S151" i="2"/>
  <c r="R151" i="2"/>
  <c r="Q151" i="2"/>
  <c r="P151" i="2"/>
  <c r="O151" i="2"/>
  <c r="N151" i="2"/>
  <c r="S150" i="2"/>
  <c r="R150" i="2"/>
  <c r="Q150" i="2"/>
  <c r="P150" i="2"/>
  <c r="O150" i="2"/>
  <c r="N150" i="2"/>
  <c r="S149" i="2"/>
  <c r="R149" i="2"/>
  <c r="Q149" i="2"/>
  <c r="P149" i="2"/>
  <c r="O149" i="2"/>
  <c r="N149" i="2"/>
  <c r="S148" i="2"/>
  <c r="R148" i="2"/>
  <c r="Q148" i="2"/>
  <c r="P148" i="2"/>
  <c r="O148" i="2"/>
  <c r="N148" i="2"/>
  <c r="S147" i="2"/>
  <c r="R147" i="2"/>
  <c r="Q147" i="2"/>
  <c r="P147" i="2"/>
  <c r="O147" i="2"/>
  <c r="N147" i="2"/>
  <c r="S146" i="2"/>
  <c r="R146" i="2"/>
  <c r="Q146" i="2"/>
  <c r="P146" i="2"/>
  <c r="O146" i="2"/>
  <c r="N146" i="2"/>
  <c r="S145" i="2"/>
  <c r="R145" i="2"/>
  <c r="Q145" i="2"/>
  <c r="P145" i="2"/>
  <c r="O145" i="2"/>
  <c r="N145" i="2"/>
  <c r="S144" i="2"/>
  <c r="R144" i="2"/>
  <c r="Q144" i="2"/>
  <c r="P144" i="2"/>
  <c r="O144" i="2"/>
  <c r="N144" i="2"/>
  <c r="S143" i="2"/>
  <c r="R143" i="2"/>
  <c r="Q143" i="2"/>
  <c r="P143" i="2"/>
  <c r="O143" i="2"/>
  <c r="N143" i="2"/>
  <c r="S142" i="2"/>
  <c r="R142" i="2"/>
  <c r="Q142" i="2"/>
  <c r="P142" i="2"/>
  <c r="O142" i="2"/>
  <c r="N142" i="2"/>
  <c r="S141" i="2"/>
  <c r="R141" i="2"/>
  <c r="Q141" i="2"/>
  <c r="P141" i="2"/>
  <c r="O141" i="2"/>
  <c r="N141" i="2"/>
  <c r="S140" i="2"/>
  <c r="R140" i="2"/>
  <c r="Q140" i="2"/>
  <c r="P140" i="2"/>
  <c r="O140" i="2"/>
  <c r="N140" i="2"/>
  <c r="S139" i="2"/>
  <c r="R139" i="2"/>
  <c r="Q139" i="2"/>
  <c r="P139" i="2"/>
  <c r="O139" i="2"/>
  <c r="N139" i="2"/>
  <c r="S138" i="2"/>
  <c r="R138" i="2"/>
  <c r="Q138" i="2"/>
  <c r="P138" i="2"/>
  <c r="O138" i="2"/>
  <c r="N138" i="2"/>
  <c r="S137" i="2"/>
  <c r="R137" i="2"/>
  <c r="Q137" i="2"/>
  <c r="P137" i="2"/>
  <c r="O137" i="2"/>
  <c r="N137" i="2"/>
  <c r="S136" i="2"/>
  <c r="R136" i="2"/>
  <c r="Q136" i="2"/>
  <c r="P136" i="2"/>
  <c r="O136" i="2"/>
  <c r="N136" i="2"/>
  <c r="S135" i="2"/>
  <c r="R135" i="2"/>
  <c r="Q135" i="2"/>
  <c r="P135" i="2"/>
  <c r="O135" i="2"/>
  <c r="N135" i="2"/>
  <c r="S134" i="2"/>
  <c r="R134" i="2"/>
  <c r="Q134" i="2"/>
  <c r="P134" i="2"/>
  <c r="O134" i="2"/>
  <c r="N134" i="2"/>
  <c r="S133" i="2"/>
  <c r="R133" i="2"/>
  <c r="Q133" i="2"/>
  <c r="P133" i="2"/>
  <c r="O133" i="2"/>
  <c r="N133" i="2"/>
  <c r="S132" i="2"/>
  <c r="R132" i="2"/>
  <c r="Q132" i="2"/>
  <c r="P132" i="2"/>
  <c r="O132" i="2"/>
  <c r="N132" i="2"/>
  <c r="S131" i="2"/>
  <c r="R131" i="2"/>
  <c r="Q131" i="2"/>
  <c r="P131" i="2"/>
  <c r="O131" i="2"/>
  <c r="N131" i="2"/>
  <c r="S130" i="2"/>
  <c r="R130" i="2"/>
  <c r="Q130" i="2"/>
  <c r="P130" i="2"/>
  <c r="O130" i="2"/>
  <c r="N130" i="2"/>
  <c r="S129" i="2"/>
  <c r="R129" i="2"/>
  <c r="Q129" i="2"/>
  <c r="P129" i="2"/>
  <c r="O129" i="2"/>
  <c r="N129" i="2"/>
  <c r="S128" i="2"/>
  <c r="R128" i="2"/>
  <c r="Q128" i="2"/>
  <c r="P128" i="2"/>
  <c r="O128" i="2"/>
  <c r="N128" i="2"/>
  <c r="S127" i="2"/>
  <c r="R127" i="2"/>
  <c r="Q127" i="2"/>
  <c r="P127" i="2"/>
  <c r="O127" i="2"/>
  <c r="N127" i="2"/>
  <c r="S126" i="2"/>
  <c r="R126" i="2"/>
  <c r="Q126" i="2"/>
  <c r="P126" i="2"/>
  <c r="O126" i="2"/>
  <c r="N126" i="2"/>
  <c r="S125" i="2"/>
  <c r="R125" i="2"/>
  <c r="Q125" i="2"/>
  <c r="P125" i="2"/>
  <c r="O125" i="2"/>
  <c r="N125" i="2"/>
  <c r="S124" i="2"/>
  <c r="R124" i="2"/>
  <c r="Q124" i="2"/>
  <c r="P124" i="2"/>
  <c r="O124" i="2"/>
  <c r="N124" i="2"/>
  <c r="S123" i="2"/>
  <c r="R123" i="2"/>
  <c r="Q123" i="2"/>
  <c r="P123" i="2"/>
  <c r="O123" i="2"/>
  <c r="N123" i="2"/>
  <c r="S122" i="2"/>
  <c r="R122" i="2"/>
  <c r="Q122" i="2"/>
  <c r="P122" i="2"/>
  <c r="O122" i="2"/>
  <c r="N122" i="2"/>
  <c r="S121" i="2"/>
  <c r="R121" i="2"/>
  <c r="Q121" i="2"/>
  <c r="P121" i="2"/>
  <c r="O121" i="2"/>
  <c r="N121" i="2"/>
  <c r="S120" i="2"/>
  <c r="R120" i="2"/>
  <c r="Q120" i="2"/>
  <c r="P120" i="2"/>
  <c r="O120" i="2"/>
  <c r="N120" i="2"/>
  <c r="S119" i="2"/>
  <c r="R119" i="2"/>
  <c r="Q119" i="2"/>
  <c r="P119" i="2"/>
  <c r="O119" i="2"/>
  <c r="N119" i="2"/>
  <c r="S118" i="2"/>
  <c r="R118" i="2"/>
  <c r="Q118" i="2"/>
  <c r="P118" i="2"/>
  <c r="O118" i="2"/>
  <c r="N118" i="2"/>
  <c r="S117" i="2"/>
  <c r="R117" i="2"/>
  <c r="Q117" i="2"/>
  <c r="P117" i="2"/>
  <c r="O117" i="2"/>
  <c r="N117" i="2"/>
  <c r="S116" i="2"/>
  <c r="R116" i="2"/>
  <c r="Q116" i="2"/>
  <c r="P116" i="2"/>
  <c r="O116" i="2"/>
  <c r="N116" i="2"/>
  <c r="S115" i="2"/>
  <c r="R115" i="2"/>
  <c r="Q115" i="2"/>
  <c r="P115" i="2"/>
  <c r="O115" i="2"/>
  <c r="N115" i="2"/>
  <c r="S114" i="2"/>
  <c r="R114" i="2"/>
  <c r="Q114" i="2"/>
  <c r="P114" i="2"/>
  <c r="O114" i="2"/>
  <c r="N114" i="2"/>
  <c r="S113" i="2"/>
  <c r="R113" i="2"/>
  <c r="Q113" i="2"/>
  <c r="P113" i="2"/>
  <c r="O113" i="2"/>
  <c r="N113" i="2"/>
  <c r="S112" i="2"/>
  <c r="R112" i="2"/>
  <c r="Q112" i="2"/>
  <c r="P112" i="2"/>
  <c r="O112" i="2"/>
  <c r="N112" i="2"/>
  <c r="S111" i="2"/>
  <c r="R111" i="2"/>
  <c r="Q111" i="2"/>
  <c r="P111" i="2"/>
  <c r="O111" i="2"/>
  <c r="N111" i="2"/>
  <c r="S110" i="2"/>
  <c r="R110" i="2"/>
  <c r="Q110" i="2"/>
  <c r="P110" i="2"/>
  <c r="O110" i="2"/>
  <c r="N110" i="2"/>
  <c r="S109" i="2"/>
  <c r="R109" i="2"/>
  <c r="Q109" i="2"/>
  <c r="P109" i="2"/>
  <c r="O109" i="2"/>
  <c r="N109" i="2"/>
  <c r="S108" i="2"/>
  <c r="R108" i="2"/>
  <c r="Q108" i="2"/>
  <c r="P108" i="2"/>
  <c r="O108" i="2"/>
  <c r="N108" i="2"/>
  <c r="S107" i="2"/>
  <c r="R107" i="2"/>
  <c r="Q107" i="2"/>
  <c r="P107" i="2"/>
  <c r="O107" i="2"/>
  <c r="N107" i="2"/>
  <c r="S106" i="2"/>
  <c r="R106" i="2"/>
  <c r="Q106" i="2"/>
  <c r="P106" i="2"/>
  <c r="O106" i="2"/>
  <c r="N106" i="2"/>
  <c r="S105" i="2"/>
  <c r="R105" i="2"/>
  <c r="Q105" i="2"/>
  <c r="P105" i="2"/>
  <c r="O105" i="2"/>
  <c r="N105" i="2"/>
  <c r="S104" i="2"/>
  <c r="R104" i="2"/>
  <c r="Q104" i="2"/>
  <c r="P104" i="2"/>
  <c r="O104" i="2"/>
  <c r="N104" i="2"/>
  <c r="S103" i="2"/>
  <c r="R103" i="2"/>
  <c r="Q103" i="2"/>
  <c r="P103" i="2"/>
  <c r="O103" i="2"/>
  <c r="N103" i="2"/>
  <c r="S102" i="2"/>
  <c r="R102" i="2"/>
  <c r="Q102" i="2"/>
  <c r="P102" i="2"/>
  <c r="O102" i="2"/>
  <c r="N102" i="2"/>
  <c r="S101" i="2"/>
  <c r="R101" i="2"/>
  <c r="Q101" i="2"/>
  <c r="P101" i="2"/>
  <c r="O101" i="2"/>
  <c r="N101" i="2"/>
  <c r="S100" i="2"/>
  <c r="R100" i="2"/>
  <c r="Q100" i="2"/>
  <c r="P100" i="2"/>
  <c r="O100" i="2"/>
  <c r="N100" i="2"/>
  <c r="S99" i="2"/>
  <c r="R99" i="2"/>
  <c r="Q99" i="2"/>
  <c r="P99" i="2"/>
  <c r="O99" i="2"/>
  <c r="N99" i="2"/>
  <c r="S98" i="2"/>
  <c r="R98" i="2"/>
  <c r="Q98" i="2"/>
  <c r="P98" i="2"/>
  <c r="O98" i="2"/>
  <c r="N98" i="2"/>
  <c r="S97" i="2"/>
  <c r="R97" i="2"/>
  <c r="Q97" i="2"/>
  <c r="P97" i="2"/>
  <c r="O97" i="2"/>
  <c r="N97" i="2"/>
  <c r="S96" i="2"/>
  <c r="R96" i="2"/>
  <c r="Q96" i="2"/>
  <c r="P96" i="2"/>
  <c r="O96" i="2"/>
  <c r="N96" i="2"/>
  <c r="S95" i="2"/>
  <c r="R95" i="2"/>
  <c r="Q95" i="2"/>
  <c r="P95" i="2"/>
  <c r="O95" i="2"/>
  <c r="N95" i="2"/>
  <c r="S94" i="2"/>
  <c r="R94" i="2"/>
  <c r="Q94" i="2"/>
  <c r="P94" i="2"/>
  <c r="O94" i="2"/>
  <c r="N94" i="2"/>
  <c r="S93" i="2"/>
  <c r="R93" i="2"/>
  <c r="Q93" i="2"/>
  <c r="P93" i="2"/>
  <c r="O93" i="2"/>
  <c r="N93" i="2"/>
  <c r="S92" i="2"/>
  <c r="R92" i="2"/>
  <c r="Q92" i="2"/>
  <c r="P92" i="2"/>
  <c r="O92" i="2"/>
  <c r="N92" i="2"/>
  <c r="S91" i="2"/>
  <c r="R91" i="2"/>
  <c r="Q91" i="2"/>
  <c r="P91" i="2"/>
  <c r="O91" i="2"/>
  <c r="N91" i="2"/>
  <c r="S90" i="2"/>
  <c r="R90" i="2"/>
  <c r="Q90" i="2"/>
  <c r="P90" i="2"/>
  <c r="O90" i="2"/>
  <c r="N90" i="2"/>
  <c r="S89" i="2"/>
  <c r="R89" i="2"/>
  <c r="Q89" i="2"/>
  <c r="P89" i="2"/>
  <c r="O89" i="2"/>
  <c r="N89" i="2"/>
  <c r="S88" i="2"/>
  <c r="R88" i="2"/>
  <c r="Q88" i="2"/>
  <c r="P88" i="2"/>
  <c r="O88" i="2"/>
  <c r="N88" i="2"/>
  <c r="S87" i="2"/>
  <c r="R87" i="2"/>
  <c r="Q87" i="2"/>
  <c r="P87" i="2"/>
  <c r="O87" i="2"/>
  <c r="N87" i="2"/>
  <c r="S86" i="2"/>
  <c r="R86" i="2"/>
  <c r="Q86" i="2"/>
  <c r="P86" i="2"/>
  <c r="O86" i="2"/>
  <c r="N86" i="2"/>
  <c r="S85" i="2"/>
  <c r="R85" i="2"/>
  <c r="Q85" i="2"/>
  <c r="P85" i="2"/>
  <c r="O85" i="2"/>
  <c r="N85" i="2"/>
  <c r="S84" i="2"/>
  <c r="R84" i="2"/>
  <c r="Q84" i="2"/>
  <c r="P84" i="2"/>
  <c r="O84" i="2"/>
  <c r="N84" i="2"/>
  <c r="S83" i="2"/>
  <c r="R83" i="2"/>
  <c r="Q83" i="2"/>
  <c r="P83" i="2"/>
  <c r="O83" i="2"/>
  <c r="N83" i="2"/>
  <c r="S82" i="2"/>
  <c r="R82" i="2"/>
  <c r="Q82" i="2"/>
  <c r="P82" i="2"/>
  <c r="O82" i="2"/>
  <c r="N82" i="2"/>
  <c r="S81" i="2"/>
  <c r="R81" i="2"/>
  <c r="Q81" i="2"/>
  <c r="P81" i="2"/>
  <c r="O81" i="2"/>
  <c r="N81" i="2"/>
  <c r="S80" i="2"/>
  <c r="R80" i="2"/>
  <c r="Q80" i="2"/>
  <c r="P80" i="2"/>
  <c r="O80" i="2"/>
  <c r="N80" i="2"/>
  <c r="S79" i="2"/>
  <c r="R79" i="2"/>
  <c r="Q79" i="2"/>
  <c r="P79" i="2"/>
  <c r="O79" i="2"/>
  <c r="N79" i="2"/>
  <c r="S78" i="2"/>
  <c r="R78" i="2"/>
  <c r="Q78" i="2"/>
  <c r="P78" i="2"/>
  <c r="O78" i="2"/>
  <c r="N78" i="2"/>
  <c r="S77" i="2"/>
  <c r="R77" i="2"/>
  <c r="Q77" i="2"/>
  <c r="P77" i="2"/>
  <c r="O77" i="2"/>
  <c r="N77" i="2"/>
  <c r="S76" i="2"/>
  <c r="R76" i="2"/>
  <c r="Q76" i="2"/>
  <c r="P76" i="2"/>
  <c r="O76" i="2"/>
  <c r="N76" i="2"/>
  <c r="S75" i="2"/>
  <c r="R75" i="2"/>
  <c r="Q75" i="2"/>
  <c r="P75" i="2"/>
  <c r="O75" i="2"/>
  <c r="N75" i="2"/>
  <c r="S74" i="2"/>
  <c r="R74" i="2"/>
  <c r="Q74" i="2"/>
  <c r="P74" i="2"/>
  <c r="O74" i="2"/>
  <c r="N74" i="2"/>
  <c r="S73" i="2"/>
  <c r="R73" i="2"/>
  <c r="Q73" i="2"/>
  <c r="P73" i="2"/>
  <c r="O73" i="2"/>
  <c r="N73" i="2"/>
  <c r="S72" i="2"/>
  <c r="R72" i="2"/>
  <c r="Q72" i="2"/>
  <c r="P72" i="2"/>
  <c r="O72" i="2"/>
  <c r="N72" i="2"/>
  <c r="S71" i="2"/>
  <c r="R71" i="2"/>
  <c r="Q71" i="2"/>
  <c r="P71" i="2"/>
  <c r="O71" i="2"/>
  <c r="N71" i="2"/>
  <c r="S70" i="2"/>
  <c r="R70" i="2"/>
  <c r="Q70" i="2"/>
  <c r="P70" i="2"/>
  <c r="O70" i="2"/>
  <c r="N70" i="2"/>
  <c r="S69" i="2"/>
  <c r="R69" i="2"/>
  <c r="Q69" i="2"/>
  <c r="P69" i="2"/>
  <c r="O69" i="2"/>
  <c r="N69" i="2"/>
  <c r="S68" i="2"/>
  <c r="R68" i="2"/>
  <c r="Q68" i="2"/>
  <c r="P68" i="2"/>
  <c r="O68" i="2"/>
  <c r="N68" i="2"/>
  <c r="S67" i="2"/>
  <c r="R67" i="2"/>
  <c r="Q67" i="2"/>
  <c r="P67" i="2"/>
  <c r="O67" i="2"/>
  <c r="N67" i="2"/>
  <c r="S66" i="2"/>
  <c r="R66" i="2"/>
  <c r="Q66" i="2"/>
  <c r="P66" i="2"/>
  <c r="O66" i="2"/>
  <c r="N66" i="2"/>
  <c r="S65" i="2"/>
  <c r="R65" i="2"/>
  <c r="Q65" i="2"/>
  <c r="P65" i="2"/>
  <c r="O65" i="2"/>
  <c r="N65" i="2"/>
  <c r="S64" i="2"/>
  <c r="R64" i="2"/>
  <c r="Q64" i="2"/>
  <c r="P64" i="2"/>
  <c r="O64" i="2"/>
  <c r="N64" i="2"/>
  <c r="S63" i="2"/>
  <c r="R63" i="2"/>
  <c r="Q63" i="2"/>
  <c r="P63" i="2"/>
  <c r="O63" i="2"/>
  <c r="N63" i="2"/>
  <c r="S62" i="2"/>
  <c r="R62" i="2"/>
  <c r="Q62" i="2"/>
  <c r="P62" i="2"/>
  <c r="O62" i="2"/>
  <c r="N62" i="2"/>
  <c r="S61" i="2"/>
  <c r="R61" i="2"/>
  <c r="Q61" i="2"/>
  <c r="P61" i="2"/>
  <c r="O61" i="2"/>
  <c r="N61" i="2"/>
  <c r="S60" i="2"/>
  <c r="R60" i="2"/>
  <c r="Q60" i="2"/>
  <c r="P60" i="2"/>
  <c r="O60" i="2"/>
  <c r="N60" i="2"/>
  <c r="S59" i="2"/>
  <c r="R59" i="2"/>
  <c r="Q59" i="2"/>
  <c r="P59" i="2"/>
  <c r="O59" i="2"/>
  <c r="N59" i="2"/>
  <c r="S58" i="2"/>
  <c r="R58" i="2"/>
  <c r="Q58" i="2"/>
  <c r="P58" i="2"/>
  <c r="O58" i="2"/>
  <c r="N58" i="2"/>
  <c r="S57" i="2"/>
  <c r="R57" i="2"/>
  <c r="Q57" i="2"/>
  <c r="P57" i="2"/>
  <c r="O57" i="2"/>
  <c r="N57" i="2"/>
  <c r="S56" i="2"/>
  <c r="R56" i="2"/>
  <c r="Q56" i="2"/>
  <c r="P56" i="2"/>
  <c r="O56" i="2"/>
  <c r="N56" i="2"/>
  <c r="S55" i="2"/>
  <c r="R55" i="2"/>
  <c r="Q55" i="2"/>
  <c r="P55" i="2"/>
  <c r="O55" i="2"/>
  <c r="N55" i="2"/>
  <c r="S54" i="2"/>
  <c r="R54" i="2"/>
  <c r="Q54" i="2"/>
  <c r="P54" i="2"/>
  <c r="O54" i="2"/>
  <c r="N54" i="2"/>
  <c r="S53" i="2"/>
  <c r="R53" i="2"/>
  <c r="Q53" i="2"/>
  <c r="P53" i="2"/>
  <c r="O53" i="2"/>
  <c r="N53" i="2"/>
  <c r="S52" i="2"/>
  <c r="R52" i="2"/>
  <c r="Q52" i="2"/>
  <c r="P52" i="2"/>
  <c r="O52" i="2"/>
  <c r="N52" i="2"/>
  <c r="S51" i="2"/>
  <c r="R51" i="2"/>
  <c r="Q51" i="2"/>
  <c r="P51" i="2"/>
  <c r="O51" i="2"/>
  <c r="N51" i="2"/>
  <c r="S50" i="2"/>
  <c r="R50" i="2"/>
  <c r="Q50" i="2"/>
  <c r="P50" i="2"/>
  <c r="O50" i="2"/>
  <c r="N50" i="2"/>
  <c r="S49" i="2"/>
  <c r="R49" i="2"/>
  <c r="Q49" i="2"/>
  <c r="P49" i="2"/>
  <c r="O49" i="2"/>
  <c r="N49" i="2"/>
  <c r="S48" i="2"/>
  <c r="R48" i="2"/>
  <c r="Q48" i="2"/>
  <c r="P48" i="2"/>
  <c r="O48" i="2"/>
  <c r="N48" i="2"/>
  <c r="S47" i="2"/>
  <c r="R47" i="2"/>
  <c r="Q47" i="2"/>
  <c r="P47" i="2"/>
  <c r="O47" i="2"/>
  <c r="N47" i="2"/>
  <c r="S46" i="2"/>
  <c r="R46" i="2"/>
  <c r="Q46" i="2"/>
  <c r="P46" i="2"/>
  <c r="O46" i="2"/>
  <c r="N46" i="2"/>
  <c r="S45" i="2"/>
  <c r="R45" i="2"/>
  <c r="Q45" i="2"/>
  <c r="P45" i="2"/>
  <c r="O45" i="2"/>
  <c r="N45" i="2"/>
  <c r="S44" i="2"/>
  <c r="R44" i="2"/>
  <c r="Q44" i="2"/>
  <c r="P44" i="2"/>
  <c r="O44" i="2"/>
  <c r="N44" i="2"/>
  <c r="S43" i="2"/>
  <c r="R43" i="2"/>
  <c r="Q43" i="2"/>
  <c r="P43" i="2"/>
  <c r="O43" i="2"/>
  <c r="N43" i="2"/>
  <c r="S42" i="2"/>
  <c r="R42" i="2"/>
  <c r="Q42" i="2"/>
  <c r="P42" i="2"/>
  <c r="O42" i="2"/>
  <c r="N42" i="2"/>
  <c r="S41" i="2"/>
  <c r="R41" i="2"/>
  <c r="Q41" i="2"/>
  <c r="P41" i="2"/>
  <c r="O41" i="2"/>
  <c r="N41" i="2"/>
  <c r="S40" i="2"/>
  <c r="R40" i="2"/>
  <c r="Q40" i="2"/>
  <c r="P40" i="2"/>
  <c r="O40" i="2"/>
  <c r="N40" i="2"/>
  <c r="S39" i="2"/>
  <c r="R39" i="2"/>
  <c r="Q39" i="2"/>
  <c r="P39" i="2"/>
  <c r="O39" i="2"/>
  <c r="N39" i="2"/>
  <c r="S38" i="2"/>
  <c r="R38" i="2"/>
  <c r="Q38" i="2"/>
  <c r="P38" i="2"/>
  <c r="O38" i="2"/>
  <c r="N38" i="2"/>
  <c r="S37" i="2"/>
  <c r="R37" i="2"/>
  <c r="Q37" i="2"/>
  <c r="P37" i="2"/>
  <c r="O37" i="2"/>
  <c r="N37" i="2"/>
  <c r="S36" i="2"/>
  <c r="R36" i="2"/>
  <c r="Q36" i="2"/>
  <c r="P36" i="2"/>
  <c r="O36" i="2"/>
  <c r="N36" i="2"/>
  <c r="S35" i="2"/>
  <c r="R35" i="2"/>
  <c r="Q35" i="2"/>
  <c r="P35" i="2"/>
  <c r="O35" i="2"/>
  <c r="N35" i="2"/>
  <c r="S34" i="2"/>
  <c r="R34" i="2"/>
  <c r="Q34" i="2"/>
  <c r="P34" i="2"/>
  <c r="O34" i="2"/>
  <c r="N34" i="2"/>
  <c r="S33" i="2"/>
  <c r="R33" i="2"/>
  <c r="Q33" i="2"/>
  <c r="P33" i="2"/>
  <c r="O33" i="2"/>
  <c r="N33" i="2"/>
  <c r="S32" i="2"/>
  <c r="R32" i="2"/>
  <c r="Q32" i="2"/>
  <c r="P32" i="2"/>
  <c r="O32" i="2"/>
  <c r="N32" i="2"/>
  <c r="S31" i="2"/>
  <c r="R31" i="2"/>
  <c r="Q31" i="2"/>
  <c r="P31" i="2"/>
  <c r="O31" i="2"/>
  <c r="N31" i="2"/>
  <c r="S30" i="2"/>
  <c r="R30" i="2"/>
  <c r="Q30" i="2"/>
  <c r="P30" i="2"/>
  <c r="O30" i="2"/>
  <c r="N30" i="2"/>
  <c r="S29" i="2"/>
  <c r="R29" i="2"/>
  <c r="Q29" i="2"/>
  <c r="P29" i="2"/>
  <c r="O29" i="2"/>
  <c r="N29" i="2"/>
  <c r="S28" i="2"/>
  <c r="R28" i="2"/>
  <c r="Q28" i="2"/>
  <c r="P28" i="2"/>
  <c r="O28" i="2"/>
  <c r="N28" i="2"/>
  <c r="S27" i="2"/>
  <c r="R27" i="2"/>
  <c r="Q27" i="2"/>
  <c r="P27" i="2"/>
  <c r="O27" i="2"/>
  <c r="N27" i="2"/>
  <c r="S26" i="2"/>
  <c r="R26" i="2"/>
  <c r="Q26" i="2"/>
  <c r="P26" i="2"/>
  <c r="O26" i="2"/>
  <c r="N26" i="2"/>
  <c r="S25" i="2"/>
  <c r="R25" i="2"/>
  <c r="Q25" i="2"/>
  <c r="P25" i="2"/>
  <c r="O25" i="2"/>
  <c r="N25" i="2"/>
  <c r="S24" i="2"/>
  <c r="R24" i="2"/>
  <c r="Q24" i="2"/>
  <c r="P24" i="2"/>
  <c r="O24" i="2"/>
  <c r="N24" i="2"/>
  <c r="S23" i="2"/>
  <c r="R23" i="2"/>
  <c r="Q23" i="2"/>
  <c r="P23" i="2"/>
  <c r="O23" i="2"/>
  <c r="N23" i="2"/>
  <c r="S22" i="2"/>
  <c r="R22" i="2"/>
  <c r="Q22" i="2"/>
  <c r="P22" i="2"/>
  <c r="O22" i="2"/>
  <c r="N22" i="2"/>
  <c r="S21" i="2"/>
  <c r="R21" i="2"/>
  <c r="Q21" i="2"/>
  <c r="P21" i="2"/>
  <c r="O21" i="2"/>
  <c r="N21" i="2"/>
  <c r="S20" i="2"/>
  <c r="R20" i="2"/>
  <c r="Q20" i="2"/>
  <c r="P20" i="2"/>
  <c r="O20" i="2"/>
  <c r="N20" i="2"/>
  <c r="S19" i="2"/>
  <c r="R19" i="2"/>
  <c r="Q19" i="2"/>
  <c r="P19" i="2"/>
  <c r="O19" i="2"/>
  <c r="N19" i="2"/>
  <c r="S18" i="2"/>
  <c r="R18" i="2"/>
  <c r="Q18" i="2"/>
  <c r="P18" i="2"/>
  <c r="O18" i="2"/>
  <c r="N18" i="2"/>
  <c r="S17" i="2"/>
  <c r="R17" i="2"/>
  <c r="Q17" i="2"/>
  <c r="P17" i="2"/>
  <c r="O17" i="2"/>
  <c r="N17" i="2"/>
  <c r="S16" i="2"/>
  <c r="R16" i="2"/>
  <c r="Q16" i="2"/>
  <c r="P16" i="2"/>
  <c r="O16" i="2"/>
  <c r="N16" i="2"/>
  <c r="S15" i="2"/>
  <c r="R15" i="2"/>
  <c r="Q15" i="2"/>
  <c r="P15" i="2"/>
  <c r="O15" i="2"/>
  <c r="N15" i="2"/>
  <c r="S14" i="2"/>
  <c r="R14" i="2"/>
  <c r="Q14" i="2"/>
  <c r="P14" i="2"/>
  <c r="O14" i="2"/>
  <c r="N14" i="2"/>
  <c r="S13" i="2"/>
  <c r="R13" i="2"/>
  <c r="Q13" i="2"/>
  <c r="P13" i="2"/>
  <c r="O13" i="2"/>
  <c r="N13" i="2"/>
  <c r="S12" i="2"/>
  <c r="R12" i="2"/>
  <c r="Q12" i="2"/>
  <c r="P12" i="2"/>
  <c r="O12" i="2"/>
  <c r="N12" i="2"/>
  <c r="S11" i="2"/>
  <c r="R11" i="2"/>
  <c r="Q11" i="2"/>
  <c r="P11" i="2"/>
  <c r="O11" i="2"/>
  <c r="N11" i="2"/>
  <c r="S10" i="2"/>
  <c r="R10" i="2"/>
  <c r="Q10" i="2"/>
  <c r="P10" i="2"/>
  <c r="O10" i="2"/>
  <c r="N10" i="2"/>
  <c r="S9" i="2"/>
  <c r="R9" i="2"/>
  <c r="Q9" i="2"/>
  <c r="P9" i="2"/>
  <c r="O9" i="2"/>
  <c r="N9" i="2"/>
  <c r="S8" i="2"/>
  <c r="R8" i="2"/>
  <c r="Q8" i="2"/>
  <c r="P8" i="2"/>
  <c r="O8" i="2"/>
  <c r="N8" i="2"/>
  <c r="S7" i="2"/>
  <c r="R7" i="2"/>
  <c r="Q7" i="2"/>
  <c r="P7" i="2"/>
  <c r="O7" i="2"/>
  <c r="N7" i="2"/>
  <c r="S6" i="2"/>
  <c r="R6" i="2"/>
  <c r="Q6" i="2"/>
  <c r="P6" i="2"/>
  <c r="O6" i="2"/>
  <c r="N6" i="2"/>
  <c r="S5" i="2"/>
  <c r="R5" i="2"/>
  <c r="Q5" i="2"/>
  <c r="P5" i="2"/>
  <c r="O5" i="2"/>
  <c r="N5" i="2"/>
  <c r="S4" i="2"/>
  <c r="R4" i="2"/>
  <c r="Q4" i="2"/>
  <c r="P4" i="2"/>
  <c r="O4" i="2"/>
  <c r="N4" i="2"/>
  <c r="S3" i="2"/>
  <c r="R3" i="2"/>
  <c r="Q3" i="2"/>
  <c r="P3" i="2"/>
  <c r="O3" i="2"/>
  <c r="N3" i="2"/>
  <c r="S2" i="2"/>
  <c r="R2" i="2"/>
  <c r="Q2" i="2"/>
  <c r="P2" i="2"/>
  <c r="O2" i="2"/>
  <c r="N2" i="2"/>
  <c r="B24" i="3" l="1"/>
  <c r="B23" i="3"/>
  <c r="B22" i="3"/>
  <c r="A5" i="4"/>
  <c r="B12" i="3"/>
  <c r="B8" i="3"/>
  <c r="K9" i="4" s="1"/>
  <c r="F5" i="4"/>
  <c r="B11" i="3"/>
  <c r="K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A1" authorId="0" shapeId="0" xr:uid="{00000000-0006-0000-0000-000001000000}">
      <text>
        <r>
          <rPr>
            <sz val="11"/>
            <color theme="1"/>
            <rFont val="Calibri"/>
            <family val="2"/>
            <scheme val="minor"/>
          </rPr>
          <t>The uploaded CSV content is preserved here exactly as parsed. All transformations are isolated in Clean_Data.</t>
        </r>
      </text>
    </comment>
  </commentList>
</comments>
</file>

<file path=xl/sharedStrings.xml><?xml version="1.0" encoding="utf-8"?>
<sst xmlns="http://schemas.openxmlformats.org/spreadsheetml/2006/main" count="5633" uniqueCount="620">
  <si>
    <t>Order_ID</t>
  </si>
  <si>
    <t>Order_Date</t>
  </si>
  <si>
    <t>Age_Group</t>
  </si>
  <si>
    <t>City</t>
  </si>
  <si>
    <t>Product</t>
  </si>
  <si>
    <t>Quantity</t>
  </si>
  <si>
    <t>Sales</t>
  </si>
  <si>
    <t>Cost</t>
  </si>
  <si>
    <t>Profit</t>
  </si>
  <si>
    <t>Payment_Mode</t>
  </si>
  <si>
    <t>Order_Type</t>
  </si>
  <si>
    <t>Profit_Margin_%</t>
  </si>
  <si>
    <t>Month</t>
  </si>
  <si>
    <t>ORD0247</t>
  </si>
  <si>
    <t>2026-01-01</t>
  </si>
  <si>
    <t>45+</t>
  </si>
  <si>
    <t>Pune</t>
  </si>
  <si>
    <t>Coffee</t>
  </si>
  <si>
    <t>1</t>
  </si>
  <si>
    <t>81</t>
  </si>
  <si>
    <t>40</t>
  </si>
  <si>
    <t>41</t>
  </si>
  <si>
    <t>Card</t>
  </si>
  <si>
    <t>Dine-in</t>
  </si>
  <si>
    <t>50.6</t>
  </si>
  <si>
    <t>Jan-2026</t>
  </si>
  <si>
    <t>ORD0049</t>
  </si>
  <si>
    <t>18-24</t>
  </si>
  <si>
    <t>90</t>
  </si>
  <si>
    <t>50</t>
  </si>
  <si>
    <t>UPI</t>
  </si>
  <si>
    <t>Delivery</t>
  </si>
  <si>
    <t>55.6</t>
  </si>
  <si>
    <t>ORD0171</t>
  </si>
  <si>
    <t>25-34</t>
  </si>
  <si>
    <t>ORD0018</t>
  </si>
  <si>
    <t>Pasta</t>
  </si>
  <si>
    <t>220</t>
  </si>
  <si>
    <t>180</t>
  </si>
  <si>
    <t>18.2</t>
  </si>
  <si>
    <t>ORD0230</t>
  </si>
  <si>
    <t>2026-01-02</t>
  </si>
  <si>
    <t>Mumbai</t>
  </si>
  <si>
    <t>Pizza</t>
  </si>
  <si>
    <t>330</t>
  </si>
  <si>
    <t>250</t>
  </si>
  <si>
    <t>80</t>
  </si>
  <si>
    <t>24.2</t>
  </si>
  <si>
    <t>ORD0006</t>
  </si>
  <si>
    <t>35-44</t>
  </si>
  <si>
    <t>300</t>
  </si>
  <si>
    <t>16.7</t>
  </si>
  <si>
    <t>ORD0022</t>
  </si>
  <si>
    <t>Nashik</t>
  </si>
  <si>
    <t>ORD0088</t>
  </si>
  <si>
    <t>2026-01-03</t>
  </si>
  <si>
    <t>Burger</t>
  </si>
  <si>
    <t>162</t>
  </si>
  <si>
    <t>115</t>
  </si>
  <si>
    <t>47</t>
  </si>
  <si>
    <t>29.0</t>
  </si>
  <si>
    <t>ORD0002</t>
  </si>
  <si>
    <t>Cash</t>
  </si>
  <si>
    <t>ORD0144</t>
  </si>
  <si>
    <t>ORD0094</t>
  </si>
  <si>
    <t>2</t>
  </si>
  <si>
    <t>360</t>
  </si>
  <si>
    <t>230</t>
  </si>
  <si>
    <t>130</t>
  </si>
  <si>
    <t>36.1</t>
  </si>
  <si>
    <t>ORD0098</t>
  </si>
  <si>
    <t>ORD0153</t>
  </si>
  <si>
    <t>270</t>
  </si>
  <si>
    <t>20</t>
  </si>
  <si>
    <t>7.4</t>
  </si>
  <si>
    <t>ORD0240</t>
  </si>
  <si>
    <t>2026-01-04</t>
  </si>
  <si>
    <t>ORD0213</t>
  </si>
  <si>
    <t>ORD0077</t>
  </si>
  <si>
    <t>2026-01-05</t>
  </si>
  <si>
    <t>ORD0074</t>
  </si>
  <si>
    <t>484</t>
  </si>
  <si>
    <t>124</t>
  </si>
  <si>
    <t>25.6</t>
  </si>
  <si>
    <t>ORD0161</t>
  </si>
  <si>
    <t>ORD0042</t>
  </si>
  <si>
    <t>Sandwich</t>
  </si>
  <si>
    <t>280</t>
  </si>
  <si>
    <t>160</t>
  </si>
  <si>
    <t>120</t>
  </si>
  <si>
    <t>42.9</t>
  </si>
  <si>
    <t>ORD0231</t>
  </si>
  <si>
    <t>2026-01-06</t>
  </si>
  <si>
    <t>ORD0081</t>
  </si>
  <si>
    <t>65</t>
  </si>
  <si>
    <t>ORD0182</t>
  </si>
  <si>
    <t>2026-01-07</t>
  </si>
  <si>
    <t>100</t>
  </si>
  <si>
    <t>ORD0012</t>
  </si>
  <si>
    <t>ORD0005</t>
  </si>
  <si>
    <t>ORD0227</t>
  </si>
  <si>
    <t>2026-01-08</t>
  </si>
  <si>
    <t>ORD0194</t>
  </si>
  <si>
    <t>ORD0069</t>
  </si>
  <si>
    <t>ORD0200</t>
  </si>
  <si>
    <t>ORD0234</t>
  </si>
  <si>
    <t>2026-01-10</t>
  </si>
  <si>
    <t>198</t>
  </si>
  <si>
    <t>18</t>
  </si>
  <si>
    <t>9.1</t>
  </si>
  <si>
    <t>ORD0054</t>
  </si>
  <si>
    <t>ORD0193</t>
  </si>
  <si>
    <t>ORD0011</t>
  </si>
  <si>
    <t>2026-01-11</t>
  </si>
  <si>
    <t>ORD0127</t>
  </si>
  <si>
    <t>2026-01-12</t>
  </si>
  <si>
    <t>ORD0097</t>
  </si>
  <si>
    <t>ORD0223</t>
  </si>
  <si>
    <t>2026-01-13</t>
  </si>
  <si>
    <t>ORD0205</t>
  </si>
  <si>
    <t>252</t>
  </si>
  <si>
    <t>92</t>
  </si>
  <si>
    <t>36.5</t>
  </si>
  <si>
    <t>ORD0043</t>
  </si>
  <si>
    <t>118</t>
  </si>
  <si>
    <t>59.6</t>
  </si>
  <si>
    <t>ORD0183</t>
  </si>
  <si>
    <t>2026-01-14</t>
  </si>
  <si>
    <t>ORD0190</t>
  </si>
  <si>
    <t>154</t>
  </si>
  <si>
    <t>74</t>
  </si>
  <si>
    <t>48.1</t>
  </si>
  <si>
    <t>ORD0233</t>
  </si>
  <si>
    <t>ORD0014</t>
  </si>
  <si>
    <t>ORD0087</t>
  </si>
  <si>
    <t>ORD0191</t>
  </si>
  <si>
    <t>ORD0180</t>
  </si>
  <si>
    <t>2026-01-15</t>
  </si>
  <si>
    <t>ORD0216</t>
  </si>
  <si>
    <t>ORD0004</t>
  </si>
  <si>
    <t>3</t>
  </si>
  <si>
    <t>540</t>
  </si>
  <si>
    <t>345</t>
  </si>
  <si>
    <t>195</t>
  </si>
  <si>
    <t>ORD0104</t>
  </si>
  <si>
    <t>600</t>
  </si>
  <si>
    <t>500</t>
  </si>
  <si>
    <t>ORD0172</t>
  </si>
  <si>
    <t>ORD0056</t>
  </si>
  <si>
    <t>2026-01-17</t>
  </si>
  <si>
    <t>ORD0133</t>
  </si>
  <si>
    <t>140</t>
  </si>
  <si>
    <t>60</t>
  </si>
  <si>
    <t>ORD0062</t>
  </si>
  <si>
    <t>ORD0034</t>
  </si>
  <si>
    <t>83</t>
  </si>
  <si>
    <t>41.9</t>
  </si>
  <si>
    <t>ORD0189</t>
  </si>
  <si>
    <t>2026-01-18</t>
  </si>
  <si>
    <t>ORD0057</t>
  </si>
  <si>
    <t>2026-01-19</t>
  </si>
  <si>
    <t>ORD0028</t>
  </si>
  <si>
    <t>ORD0187</t>
  </si>
  <si>
    <t>2026-01-20</t>
  </si>
  <si>
    <t>ORD0025</t>
  </si>
  <si>
    <t>ORD0196</t>
  </si>
  <si>
    <t>ORD0064</t>
  </si>
  <si>
    <t>ORD0031</t>
  </si>
  <si>
    <t>ORD0113</t>
  </si>
  <si>
    <t>2026-01-21</t>
  </si>
  <si>
    <t>ORD0176</t>
  </si>
  <si>
    <t>ORD0114</t>
  </si>
  <si>
    <t>ORD0243</t>
  </si>
  <si>
    <t>ORD0165</t>
  </si>
  <si>
    <t>2026-01-22</t>
  </si>
  <si>
    <t>396</t>
  </si>
  <si>
    <t>166</t>
  </si>
  <si>
    <t>ORD0032</t>
  </si>
  <si>
    <t>ORD0117</t>
  </si>
  <si>
    <t>ORD0084</t>
  </si>
  <si>
    <t>ORD0048</t>
  </si>
  <si>
    <t>2026-01-23</t>
  </si>
  <si>
    <t>ORD0110</t>
  </si>
  <si>
    <t>ORD0199</t>
  </si>
  <si>
    <t>ORD0055</t>
  </si>
  <si>
    <t>2026-01-24</t>
  </si>
  <si>
    <t>ORD0065</t>
  </si>
  <si>
    <t>2026-01-25</t>
  </si>
  <si>
    <t>ORD0115</t>
  </si>
  <si>
    <t>ORD0220</t>
  </si>
  <si>
    <t>99</t>
  </si>
  <si>
    <t>59</t>
  </si>
  <si>
    <t>ORD0090</t>
  </si>
  <si>
    <t>ORD0130</t>
  </si>
  <si>
    <t>2026-01-26</t>
  </si>
  <si>
    <t>ORD0096</t>
  </si>
  <si>
    <t>ORD0141</t>
  </si>
  <si>
    <t>900</t>
  </si>
  <si>
    <t>750</t>
  </si>
  <si>
    <t>150</t>
  </si>
  <si>
    <t>ORD0163</t>
  </si>
  <si>
    <t>2026-01-27</t>
  </si>
  <si>
    <t>ORD0212</t>
  </si>
  <si>
    <t>ORD0106</t>
  </si>
  <si>
    <t>ORD0083</t>
  </si>
  <si>
    <t>ORD0085</t>
  </si>
  <si>
    <t>ORD0132</t>
  </si>
  <si>
    <t>ORD0033</t>
  </si>
  <si>
    <t>2026-01-28</t>
  </si>
  <si>
    <t>ORD0017</t>
  </si>
  <si>
    <t>ORD0147</t>
  </si>
  <si>
    <t>2026-01-29</t>
  </si>
  <si>
    <t>ORD0169</t>
  </si>
  <si>
    <t>ORD0126</t>
  </si>
  <si>
    <t>ORD0121</t>
  </si>
  <si>
    <t>ORD0148</t>
  </si>
  <si>
    <t>2026-01-30</t>
  </si>
  <si>
    <t>ORD0102</t>
  </si>
  <si>
    <t>ORD0204</t>
  </si>
  <si>
    <t>2026-01-31</t>
  </si>
  <si>
    <t>ORD0112</t>
  </si>
  <si>
    <t>ORD0016</t>
  </si>
  <si>
    <t>2026-02-01</t>
  </si>
  <si>
    <t>Feb-2026</t>
  </si>
  <si>
    <t>ORD0122</t>
  </si>
  <si>
    <t>ORD0146</t>
  </si>
  <si>
    <t>2026-02-03</t>
  </si>
  <si>
    <t>ORD0225</t>
  </si>
  <si>
    <t>2026-02-04</t>
  </si>
  <si>
    <t>ORD0207</t>
  </si>
  <si>
    <t>ORD0192</t>
  </si>
  <si>
    <t>ORD0052</t>
  </si>
  <si>
    <t>ORD0101</t>
  </si>
  <si>
    <t>242</t>
  </si>
  <si>
    <t>62</t>
  </si>
  <si>
    <t>ORD0109</t>
  </si>
  <si>
    <t>2026-02-05</t>
  </si>
  <si>
    <t>ORD0222</t>
  </si>
  <si>
    <t>440</t>
  </si>
  <si>
    <t>ORD0029</t>
  </si>
  <si>
    <t>594</t>
  </si>
  <si>
    <t>54</t>
  </si>
  <si>
    <t>ORD0219</t>
  </si>
  <si>
    <t>2026-02-06</t>
  </si>
  <si>
    <t>ORD0185</t>
  </si>
  <si>
    <t>ORD0023</t>
  </si>
  <si>
    <t>2026-02-07</t>
  </si>
  <si>
    <t>ORD0232</t>
  </si>
  <si>
    <t>126</t>
  </si>
  <si>
    <t>46</t>
  </si>
  <si>
    <t>ORD0063</t>
  </si>
  <si>
    <t>2026-02-08</t>
  </si>
  <si>
    <t>ORD0143</t>
  </si>
  <si>
    <t>ORD0162</t>
  </si>
  <si>
    <t>ORD0159</t>
  </si>
  <si>
    <t>2026-02-09</t>
  </si>
  <si>
    <t>ORD0010</t>
  </si>
  <si>
    <t>2026-02-10</t>
  </si>
  <si>
    <t>ORD0131</t>
  </si>
  <si>
    <t>ORD0177</t>
  </si>
  <si>
    <t>ORD0210</t>
  </si>
  <si>
    <t>2026-02-12</t>
  </si>
  <si>
    <t>ORD0008</t>
  </si>
  <si>
    <t>2026-02-13</t>
  </si>
  <si>
    <t>ORD0138</t>
  </si>
  <si>
    <t>ORD0184</t>
  </si>
  <si>
    <t>2026-02-14</t>
  </si>
  <si>
    <t>ORD0215</t>
  </si>
  <si>
    <t>ORD0202</t>
  </si>
  <si>
    <t>2026-02-15</t>
  </si>
  <si>
    <t>249</t>
  </si>
  <si>
    <t>ORD0174</t>
  </si>
  <si>
    <t>ORD0151</t>
  </si>
  <si>
    <t>ORD0035</t>
  </si>
  <si>
    <t>ORD0173</t>
  </si>
  <si>
    <t>ORD0037</t>
  </si>
  <si>
    <t>2026-02-16</t>
  </si>
  <si>
    <t>ORD0226</t>
  </si>
  <si>
    <t>ORD0120</t>
  </si>
  <si>
    <t>ORD0045</t>
  </si>
  <si>
    <t>2026-02-17</t>
  </si>
  <si>
    <t>ORD0209</t>
  </si>
  <si>
    <t>ORD0160</t>
  </si>
  <si>
    <t>ORD0038</t>
  </si>
  <si>
    <t>ORD0067</t>
  </si>
  <si>
    <t>2026-02-18</t>
  </si>
  <si>
    <t>ORD0100</t>
  </si>
  <si>
    <t>ORD0061</t>
  </si>
  <si>
    <t>2026-02-19</t>
  </si>
  <si>
    <t>ORD0241</t>
  </si>
  <si>
    <t>ORD0007</t>
  </si>
  <si>
    <t>ORD0250</t>
  </si>
  <si>
    <t>2026-02-20</t>
  </si>
  <si>
    <t>ORD0079</t>
  </si>
  <si>
    <t>ORD0116</t>
  </si>
  <si>
    <t>ORD0105</t>
  </si>
  <si>
    <t>ORD0211</t>
  </si>
  <si>
    <t>ORD0246</t>
  </si>
  <si>
    <t>2026-02-21</t>
  </si>
  <si>
    <t>ORD0015</t>
  </si>
  <si>
    <t>ORD0020</t>
  </si>
  <si>
    <t>ORD0235</t>
  </si>
  <si>
    <t>ORD0167</t>
  </si>
  <si>
    <t>36</t>
  </si>
  <si>
    <t>ORD0108</t>
  </si>
  <si>
    <t>ORD0059</t>
  </si>
  <si>
    <t>2026-02-22</t>
  </si>
  <si>
    <t>ORD0244</t>
  </si>
  <si>
    <t>ORD0134</t>
  </si>
  <si>
    <t>ORD0178</t>
  </si>
  <si>
    <t>2026-02-23</t>
  </si>
  <si>
    <t>ORD0135</t>
  </si>
  <si>
    <t>ORD0218</t>
  </si>
  <si>
    <t>2026-02-24</t>
  </si>
  <si>
    <t>ORD0245</t>
  </si>
  <si>
    <t>ORD0125</t>
  </si>
  <si>
    <t>ORD0170</t>
  </si>
  <si>
    <t>2026-02-25</t>
  </si>
  <si>
    <t>ORD0214</t>
  </si>
  <si>
    <t>ORD0021</t>
  </si>
  <si>
    <t>ORD0026</t>
  </si>
  <si>
    <t>2026-02-26</t>
  </si>
  <si>
    <t>ORD0039</t>
  </si>
  <si>
    <t>ORD0003</t>
  </si>
  <si>
    <t>2026-02-27</t>
  </si>
  <si>
    <t>ORD0197</t>
  </si>
  <si>
    <t>2026-02-28</t>
  </si>
  <si>
    <t>ORD0024</t>
  </si>
  <si>
    <t>ORD0237</t>
  </si>
  <si>
    <t>2026-03-01</t>
  </si>
  <si>
    <t>Mar-2026</t>
  </si>
  <si>
    <t>ORD0175</t>
  </si>
  <si>
    <t>ORD0027</t>
  </si>
  <si>
    <t>ORD0111</t>
  </si>
  <si>
    <t>ORD0154</t>
  </si>
  <si>
    <t>2026-03-02</t>
  </si>
  <si>
    <t>660</t>
  </si>
  <si>
    <t>ORD0047</t>
  </si>
  <si>
    <t>2026-03-03</t>
  </si>
  <si>
    <t>ORD0009</t>
  </si>
  <si>
    <t>ORD0019</t>
  </si>
  <si>
    <t>ORD0119</t>
  </si>
  <si>
    <t>ORD0152</t>
  </si>
  <si>
    <t>2026-03-04</t>
  </si>
  <si>
    <t>ORD0118</t>
  </si>
  <si>
    <t>ORD0092</t>
  </si>
  <si>
    <t>2026-03-05</t>
  </si>
  <si>
    <t>ORD0089</t>
  </si>
  <si>
    <t>ORD0051</t>
  </si>
  <si>
    <t>2026-03-06</t>
  </si>
  <si>
    <t>ORD0228</t>
  </si>
  <si>
    <t>324</t>
  </si>
  <si>
    <t>94</t>
  </si>
  <si>
    <t>ORD0072</t>
  </si>
  <si>
    <t>ORD0206</t>
  </si>
  <si>
    <t>ORD0166</t>
  </si>
  <si>
    <t>ORD0078</t>
  </si>
  <si>
    <t>2026-03-07</t>
  </si>
  <si>
    <t>ORD0188</t>
  </si>
  <si>
    <t>ORD0203</t>
  </si>
  <si>
    <t>ORD0040</t>
  </si>
  <si>
    <t>ORD0107</t>
  </si>
  <si>
    <t>ORD0224</t>
  </si>
  <si>
    <t>2026-03-08</t>
  </si>
  <si>
    <t>ORD0156</t>
  </si>
  <si>
    <t>ORD0046</t>
  </si>
  <si>
    <t>ORD0036</t>
  </si>
  <si>
    <t>ORD0053</t>
  </si>
  <si>
    <t>2026-03-09</t>
  </si>
  <si>
    <t>ORD0149</t>
  </si>
  <si>
    <t>ORD0217</t>
  </si>
  <si>
    <t>ORD0158</t>
  </si>
  <si>
    <t>2026-03-10</t>
  </si>
  <si>
    <t>ORD0071</t>
  </si>
  <si>
    <t>ORD0058</t>
  </si>
  <si>
    <t>ORD0093</t>
  </si>
  <si>
    <t>2026-03-11</t>
  </si>
  <si>
    <t>ORD0242</t>
  </si>
  <si>
    <t>2026-03-12</t>
  </si>
  <si>
    <t>ORD0076</t>
  </si>
  <si>
    <t>2026-03-13</t>
  </si>
  <si>
    <t>ORD0123</t>
  </si>
  <si>
    <t>ORD0001</t>
  </si>
  <si>
    <t>ORD0181</t>
  </si>
  <si>
    <t>2026-03-14</t>
  </si>
  <si>
    <t>ORD0137</t>
  </si>
  <si>
    <t>ORD0070</t>
  </si>
  <si>
    <t>ORD0075</t>
  </si>
  <si>
    <t>ORD0139</t>
  </si>
  <si>
    <t>2026-03-15</t>
  </si>
  <si>
    <t>ORD0068</t>
  </si>
  <si>
    <t>ORD0201</t>
  </si>
  <si>
    <t>ORD0221</t>
  </si>
  <si>
    <t>2026-03-16</t>
  </si>
  <si>
    <t>308</t>
  </si>
  <si>
    <t>148</t>
  </si>
  <si>
    <t>ORD0248</t>
  </si>
  <si>
    <t>ORD0229</t>
  </si>
  <si>
    <t>2026-03-17</t>
  </si>
  <si>
    <t>ORD0195</t>
  </si>
  <si>
    <t>ORD0060</t>
  </si>
  <si>
    <t>ORD0179</t>
  </si>
  <si>
    <t>2026-03-18</t>
  </si>
  <si>
    <t>ORD0073</t>
  </si>
  <si>
    <t>ORD0236</t>
  </si>
  <si>
    <t>2026-03-20</t>
  </si>
  <si>
    <t>ORD0157</t>
  </si>
  <si>
    <t>ORD0142</t>
  </si>
  <si>
    <t>ORD0095</t>
  </si>
  <si>
    <t>ORD0186</t>
  </si>
  <si>
    <t>ORD0082</t>
  </si>
  <si>
    <t>2026-03-21</t>
  </si>
  <si>
    <t>ORD0066</t>
  </si>
  <si>
    <t>ORD0080</t>
  </si>
  <si>
    <t>2026-03-22</t>
  </si>
  <si>
    <t>ORD0086</t>
  </si>
  <si>
    <t>ORD0129</t>
  </si>
  <si>
    <t>ORD0030</t>
  </si>
  <si>
    <t>2026-03-23</t>
  </si>
  <si>
    <t>ORD0164</t>
  </si>
  <si>
    <t>2026-03-24</t>
  </si>
  <si>
    <t>ORD0136</t>
  </si>
  <si>
    <t>ORD0239</t>
  </si>
  <si>
    <t>ORD0238</t>
  </si>
  <si>
    <t>ORD0249</t>
  </si>
  <si>
    <t>ORD0099</t>
  </si>
  <si>
    <t>2026-03-25</t>
  </si>
  <si>
    <t>ORD0050</t>
  </si>
  <si>
    <t>ORD0208</t>
  </si>
  <si>
    <t>2026-03-26</t>
  </si>
  <si>
    <t>ORD0128</t>
  </si>
  <si>
    <t>2026-03-27</t>
  </si>
  <si>
    <t>810</t>
  </si>
  <si>
    <t>ORD0041</t>
  </si>
  <si>
    <t>ORD0091</t>
  </si>
  <si>
    <t>ORD0145</t>
  </si>
  <si>
    <t>ORD0013</t>
  </si>
  <si>
    <t>ORD0140</t>
  </si>
  <si>
    <t>2026-03-28</t>
  </si>
  <si>
    <t>82</t>
  </si>
  <si>
    <t>ORD0168</t>
  </si>
  <si>
    <t>ORD0150</t>
  </si>
  <si>
    <t>2026-03-29</t>
  </si>
  <si>
    <t>ORD0124</t>
  </si>
  <si>
    <t>ORD0103</t>
  </si>
  <si>
    <t>2026-03-30</t>
  </si>
  <si>
    <t>ORD0198</t>
  </si>
  <si>
    <t>ORD0155</t>
  </si>
  <si>
    <t>ORD0044</t>
  </si>
  <si>
    <t>2026-03-31</t>
  </si>
  <si>
    <t>Year</t>
  </si>
  <si>
    <t>Quarter</t>
  </si>
  <si>
    <t>Month_Name</t>
  </si>
  <si>
    <t>Year_Month</t>
  </si>
  <si>
    <t>Average_Selling_Price</t>
  </si>
  <si>
    <t>Calculated_Profit_Margin_%</t>
  </si>
  <si>
    <t>Review_Flag</t>
  </si>
  <si>
    <t>Review_Reason</t>
  </si>
  <si>
    <t>Dine-In</t>
  </si>
  <si>
    <t>OK</t>
  </si>
  <si>
    <t>Upi</t>
  </si>
  <si>
    <t>Sales KPI Analysis</t>
  </si>
  <si>
    <t>KPIs use cleaned records only. Figures are formula-driven and do not assume unavailable fields.</t>
  </si>
  <si>
    <t>KPI Name</t>
  </si>
  <si>
    <t>Value</t>
  </si>
  <si>
    <t>Calculation Logic</t>
  </si>
  <si>
    <t>Required Columns</t>
  </si>
  <si>
    <t>Remarks</t>
  </si>
  <si>
    <t>Total Sales</t>
  </si>
  <si>
    <t>SUM(Sales)</t>
  </si>
  <si>
    <t>Top-line revenue across cleaned records.</t>
  </si>
  <si>
    <t>Quantity Sold</t>
  </si>
  <si>
    <t>SUM(Quantity)</t>
  </si>
  <si>
    <t>Total units sold.</t>
  </si>
  <si>
    <t>Orders</t>
  </si>
  <si>
    <t>COUNT(Order_ID)</t>
  </si>
  <si>
    <t>Order rows after exact duplicate removal.</t>
  </si>
  <si>
    <t>Average Order Value</t>
  </si>
  <si>
    <t>Total Sales / Orders</t>
  </si>
  <si>
    <t>Sales, Order_ID</t>
  </si>
  <si>
    <t>Average revenue per order.</t>
  </si>
  <si>
    <t>Total Cost</t>
  </si>
  <si>
    <t>SUM(Cost)</t>
  </si>
  <si>
    <t>Aggregate cost.</t>
  </si>
  <si>
    <t>Total Profit</t>
  </si>
  <si>
    <t>SUM(Profit)</t>
  </si>
  <si>
    <t>Aggregate profit.</t>
  </si>
  <si>
    <t>Overall Profit Margin %</t>
  </si>
  <si>
    <t>Total Profit / Total Sales</t>
  </si>
  <si>
    <t>Profit, Sales</t>
  </si>
  <si>
    <t>Weighted overall margin.</t>
  </si>
  <si>
    <t>Average Selling Price</t>
  </si>
  <si>
    <t>Total Sales / Quantity Sold</t>
  </si>
  <si>
    <t>Sales, Quantity</t>
  </si>
  <si>
    <t>Blended sales per unit.</t>
  </si>
  <si>
    <t>Original Rows</t>
  </si>
  <si>
    <t>COUNTROWS(Original_Data)</t>
  </si>
  <si>
    <t>All original columns</t>
  </si>
  <si>
    <t>Quality check baseline.</t>
  </si>
  <si>
    <t>Cleaned Rows</t>
  </si>
  <si>
    <t>COUNTROWS(Clean_Data)</t>
  </si>
  <si>
    <t>All cleaned columns</t>
  </si>
  <si>
    <t>After removing exact duplicates only.</t>
  </si>
  <si>
    <t>Exact Duplicates Removed</t>
  </si>
  <si>
    <t>Original Rows - Cleaned Rows</t>
  </si>
  <si>
    <t>All columns</t>
  </si>
  <si>
    <t>Only exact duplicate rows were removed.</t>
  </si>
  <si>
    <t>Rows Flagged for Review</t>
  </si>
  <si>
    <t>COUNTIF(Review_Flag,"Review")</t>
  </si>
  <si>
    <t>Flagged rows were retained for audit and review.</t>
  </si>
  <si>
    <t>Monthly Sales Trend</t>
  </si>
  <si>
    <t>2026-01</t>
  </si>
  <si>
    <t>2026-02</t>
  </si>
  <si>
    <t>2026-03</t>
  </si>
  <si>
    <t>Sales by Product</t>
  </si>
  <si>
    <t>Sales by City</t>
  </si>
  <si>
    <t>Sales by Category</t>
  </si>
  <si>
    <t>Sales by Age Group</t>
  </si>
  <si>
    <t>Sales by Payment Mode</t>
  </si>
  <si>
    <t>Order Type Sales</t>
  </si>
  <si>
    <t>Profit by Product</t>
  </si>
  <si>
    <t>Sales Performance Dashboard</t>
  </si>
  <si>
    <t>Management view based only on Clean_Data and KPI_Analysis. Missing dimensions are explicitly disclosed.</t>
  </si>
  <si>
    <t>Profit Margin</t>
  </si>
  <si>
    <t>Avg Order Value</t>
  </si>
  <si>
    <t>Business Insights</t>
  </si>
  <si>
    <t>Data availability note
Customer, salesperson, and product category fields are not present in the uploaded CSV. Top Customers, Salesperson Sales, and Sales by Category were therefore not fabricated. Available alternatives are City, Age Group, Payment Mode, and Order Type.</t>
  </si>
  <si>
    <t>• Pizza is the leading product by sales at ₹19,500.</t>
  </si>
  <si>
    <t>• Pune is the leading city by sales at ₹28,958.</t>
  </si>
  <si>
    <t>• 2026-01 is the strongest month by sales at ₹22,646.</t>
  </si>
  <si>
    <t>• Overall profit is ₹17,211 on sales of ₹61,336.</t>
  </si>
  <si>
    <t>• 0 rows are flagged for review and remain in the cleaned dataset.</t>
  </si>
  <si>
    <t>Cleaning Log and Quality Checks</t>
  </si>
  <si>
    <t>Transparent record of cleaning actions, decisions, affected rows, and business implications.</t>
  </si>
  <si>
    <t>Quality Check</t>
  </si>
  <si>
    <t>Result</t>
  </si>
  <si>
    <t>Rows received in uploaded CSV</t>
  </si>
  <si>
    <t>Rows retained after exact duplicate removal</t>
  </si>
  <si>
    <t>Removed only complete row matches</t>
  </si>
  <si>
    <t>Retained in Clean_Data</t>
  </si>
  <si>
    <t>Chart Sources</t>
  </si>
  <si>
    <t>Clean_Data and KPI_Analysis</t>
  </si>
  <si>
    <t>No chart reads from Original_Data</t>
  </si>
  <si>
    <t>Step</t>
  </si>
  <si>
    <t>Field/Area</t>
  </si>
  <si>
    <t>Action Taken</t>
  </si>
  <si>
    <t>Affected Rows/Items</t>
  </si>
  <si>
    <t>Headers</t>
  </si>
  <si>
    <t>All headers</t>
  </si>
  <si>
    <t>Trimmed and standardized headers to Excel-friendly names</t>
  </si>
  <si>
    <t>Original headers remain unchanged in Original_Data.</t>
  </si>
  <si>
    <t>Text values</t>
  </si>
  <si>
    <t>Text columns</t>
  </si>
  <si>
    <t>Trimmed whitespace and standardized categorical case</t>
  </si>
  <si>
    <t>Supports consistent grouping and charts.</t>
  </si>
  <si>
    <t>Dates</t>
  </si>
  <si>
    <t>Converted valid dates to Excel date values</t>
  </si>
  <si>
    <t>Invalid dates would be flagged.</t>
  </si>
  <si>
    <t>Numbers</t>
  </si>
  <si>
    <t>Quantity, Sales, Cost, Profit, Profit_Margin_%</t>
  </si>
  <si>
    <t>Converted numeric text to numeric data types</t>
  </si>
  <si>
    <t>Invalid numeric values would be flagged.</t>
  </si>
  <si>
    <t>Duplicates</t>
  </si>
  <si>
    <t>All source columns</t>
  </si>
  <si>
    <t>Removed exact duplicate cleaned rows only</t>
  </si>
  <si>
    <t>No fuzzy or near-duplicate deletion performed.</t>
  </si>
  <si>
    <t>Derived fields</t>
  </si>
  <si>
    <t>Year, Quarter, Month_Name, Year_Month, Average_Selling_Price, Calculated_Profit_Margin_%</t>
  </si>
  <si>
    <t>Added formula-driven analytical fields</t>
  </si>
  <si>
    <t>Derived only because required columns are available.</t>
  </si>
  <si>
    <t>Validation</t>
  </si>
  <si>
    <t>Profit and Profit Margin %</t>
  </si>
  <si>
    <t>Compared Profit with Sales - Cost and margin with Profit / Sales</t>
  </si>
  <si>
    <t>Suspicious records retained and flagged.</t>
  </si>
  <si>
    <t>Availability</t>
  </si>
  <si>
    <t>Category, Customer, Salesperson</t>
  </si>
  <si>
    <t>Not available in uploaded data</t>
  </si>
  <si>
    <t>Corresponding KPIs/charts were not assumed or fabricated.</t>
  </si>
  <si>
    <t>Data Dictionary</t>
  </si>
  <si>
    <t>Definitions, data types, transformations, KPI usage, and interpretation guidance.</t>
  </si>
  <si>
    <t>Cleaned Column</t>
  </si>
  <si>
    <t>Original Name</t>
  </si>
  <si>
    <t>Data Type</t>
  </si>
  <si>
    <t>Meaning</t>
  </si>
  <si>
    <t>Sample Value</t>
  </si>
  <si>
    <t>Cleaning Applied</t>
  </si>
  <si>
    <t>KPI Usage</t>
  </si>
  <si>
    <t>Text</t>
  </si>
  <si>
    <t>Unique order identifier</t>
  </si>
  <si>
    <t>Trimmed; standardized/type converted as applicable</t>
  </si>
  <si>
    <t>KPI / Chart</t>
  </si>
  <si>
    <t>Source field retained in Clean_Data</t>
  </si>
  <si>
    <t>Date</t>
  </si>
  <si>
    <t>Order transaction date</t>
  </si>
  <si>
    <t>Customer age band</t>
  </si>
  <si>
    <t>Order city</t>
  </si>
  <si>
    <t>Product sold</t>
  </si>
  <si>
    <t>Number</t>
  </si>
  <si>
    <t>Units sold</t>
  </si>
  <si>
    <t>Sales revenue</t>
  </si>
  <si>
    <t>Associated cost</t>
  </si>
  <si>
    <t>Sales minus cost</t>
  </si>
  <si>
    <t>Payment method</t>
  </si>
  <si>
    <t>Dine-in or delivery</t>
  </si>
  <si>
    <t>Source-provided profit margin percentage</t>
  </si>
  <si>
    <t>Source-provided month label</t>
  </si>
  <si>
    <t>Time Analysis</t>
  </si>
  <si>
    <t>Derived</t>
  </si>
  <si>
    <t>Order year</t>
  </si>
  <si>
    <t>Formula-driven</t>
  </si>
  <si>
    <t>Derived formula</t>
  </si>
  <si>
    <t>Calculated from available cleaned columns</t>
  </si>
  <si>
    <t>Calendar quarter</t>
  </si>
  <si>
    <t>Full month name</t>
  </si>
  <si>
    <t>Sortable YYYY-MM period</t>
  </si>
  <si>
    <t>Sales divided by quantity</t>
  </si>
  <si>
    <t>Profit divided by sales</t>
  </si>
  <si>
    <t>Quality review status</t>
  </si>
  <si>
    <t>Quality Control</t>
  </si>
  <si>
    <t>Explanation of flagged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</si>
</sst>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h:mm:ss"/>
    <numFmt numFmtId="165" formatCode="dd\-mmm\-yyyy"/>
    <numFmt numFmtId="166" formatCode="\₹#,##0.00;[Red]\(\₹#,##0.00\);\-"/>
    <numFmt numFmtId="167" formatCode="0.0"/>
    <numFmt numFmtId="168" formatCode="0.0%"/>
    <numFmt numFmtId="169" formatCode="\₹#,##0"/>
  </numFmts>
  <fonts count="9">
    <font>
      <sz val="11"/>
      <color theme="1"/>
      <name val="Calibri"/>
      <family val="2"/>
      <scheme val="minor"/>
    </font>
    <font>
      <b/>
      <sz val="11"/>
      <color rgb="FFFFFFFF"/>
      <name val="Calibri"/>
    </font>
    <font>
      <sz val="11"/>
      <color rgb="FF008000"/>
      <name val="Calibri"/>
    </font>
    <font>
      <sz val="11"/>
      <color rgb="FF000000"/>
      <name val="Calibri"/>
    </font>
    <font>
      <b/>
      <sz val="18"/>
      <color rgb="FFFFFFFF"/>
      <name val="Calibri"/>
    </font>
    <font>
      <i/>
      <sz val="11"/>
      <color rgb="FF666666"/>
      <name val="Calibri"/>
    </font>
    <font>
      <b/>
      <sz val="12"/>
      <color rgb="FFFFFFFF"/>
      <name val="Calibri"/>
    </font>
    <font>
      <b/>
      <sz val="17"/>
      <color rgb="FF17365D"/>
      <name val="Calibri"/>
    </font>
    <font>
      <sz val="11"/>
      <color rgb="FF9C6500"/>
      <name val="Calibri"/>
    </font>
  </fonts>
  <fills count="9">
    <fill>
      <patternFill patternType="none"/>
    </fill>
    <fill>
      <patternFill patternType="gray125"/>
    </fill>
    <fill>
      <patternFill patternType="solid">
        <fgColor rgb="FF1F4E78"/>
      </patternFill>
    </fill>
    <fill>
      <patternFill patternType="solid">
        <fgColor rgb="FF17365D"/>
      </patternFill>
    </fill>
    <fill>
      <patternFill patternType="solid">
        <fgColor rgb="FF5B9BD5"/>
      </patternFill>
    </fill>
    <fill>
      <patternFill patternType="solid">
        <fgColor rgb="FF008C95"/>
      </patternFill>
    </fill>
    <fill>
      <patternFill patternType="solid">
        <fgColor rgb="FFDDEBF7"/>
      </patternFill>
    </fill>
    <fill>
      <patternFill patternType="solid">
        <fgColor rgb="FF70AD47"/>
      </patternFill>
    </fill>
    <fill>
      <patternFill patternType="solid">
        <fgColor rgb="FFFFF2CC"/>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wrapText="1"/>
    </xf>
    <xf numFmtId="0" fontId="2" fillId="0" borderId="0" xfId="0" applyFont="1"/>
    <xf numFmtId="165" fontId="2" fillId="0" borderId="0" xfId="0" applyNumberFormat="1" applyFont="1"/>
    <xf numFmtId="3" fontId="2" fillId="0" borderId="0" xfId="0" applyNumberFormat="1" applyFont="1"/>
    <xf numFmtId="166" fontId="2" fillId="0" borderId="0" xfId="0" applyNumberFormat="1" applyFont="1"/>
    <xf numFmtId="167" fontId="2" fillId="0" borderId="0" xfId="0" applyNumberFormat="1" applyFont="1"/>
    <xf numFmtId="0" fontId="3" fillId="0" borderId="0" xfId="0" applyFont="1"/>
    <xf numFmtId="166" fontId="3" fillId="0" borderId="0" xfId="0" applyNumberFormat="1" applyFont="1"/>
    <xf numFmtId="168" fontId="3" fillId="0" borderId="0" xfId="0" applyNumberFormat="1" applyFont="1"/>
    <xf numFmtId="166" fontId="0" fillId="0" borderId="0" xfId="0" applyNumberFormat="1"/>
    <xf numFmtId="168" fontId="0" fillId="0" borderId="0" xfId="0" applyNumberFormat="1"/>
    <xf numFmtId="0" fontId="6" fillId="4" borderId="0" xfId="0" applyFont="1" applyFill="1"/>
    <xf numFmtId="164" fontId="0" fillId="0" borderId="0" xfId="0" applyNumberFormat="1"/>
    <xf numFmtId="0" fontId="5" fillId="0" borderId="0" xfId="0" applyFont="1" applyAlignment="1">
      <alignment wrapText="1"/>
    </xf>
    <xf numFmtId="168" fontId="7" fillId="6" borderId="0" xfId="0" applyNumberFormat="1" applyFont="1" applyFill="1" applyAlignment="1">
      <alignment horizontal="center" vertical="center"/>
    </xf>
    <xf numFmtId="0" fontId="1" fillId="5" borderId="0" xfId="0" applyFont="1" applyFill="1" applyAlignment="1">
      <alignment horizontal="center"/>
    </xf>
    <xf numFmtId="0" fontId="0" fillId="0" borderId="0" xfId="0" applyAlignment="1">
      <alignment wrapText="1"/>
    </xf>
    <xf numFmtId="169" fontId="7" fillId="6" borderId="0" xfId="0" applyNumberFormat="1" applyFont="1" applyFill="1" applyAlignment="1">
      <alignment horizontal="center" vertical="center"/>
    </xf>
    <xf numFmtId="3" fontId="7" fillId="6" borderId="0" xfId="0" applyNumberFormat="1" applyFont="1" applyFill="1" applyAlignment="1">
      <alignment horizontal="center" vertical="center"/>
    </xf>
    <xf numFmtId="0" fontId="8" fillId="8" borderId="0" xfId="0" applyFont="1" applyFill="1" applyAlignment="1">
      <alignment vertical="top" wrapText="1"/>
    </xf>
    <xf numFmtId="0" fontId="4" fillId="3" borderId="0" xfId="0" applyFont="1" applyFill="1" applyAlignment="1"/>
    <xf numFmtId="0" fontId="0" fillId="0" borderId="0" xfId="0" applyAlignment="1"/>
    <xf numFmtId="0" fontId="1" fillId="7" borderId="0" xfId="0" applyFont="1" applyFill="1" applyAlignment="1"/>
  </cellXfs>
  <cellStyles count="1">
    <cellStyle name="Normal" xfId="0" builtinId="0"/>
  </cellStyles>
  <dxfs count="1">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Monthly Sales Trend</a:t>
            </a:r>
          </a:p>
        </c:rich>
      </c:tx>
      <c:overlay val="1"/>
    </c:title>
    <c:autoTitleDeleted val="0"/>
    <c:plotArea>
      <c:layout/>
      <c:lineChart>
        <c:grouping val="standard"/>
        <c:varyColors val="1"/>
        <c:ser>
          <c:idx val="0"/>
          <c:order val="0"/>
          <c:tx>
            <c:strRef>
              <c:f>KPI_Analysis!B21</c:f>
              <c:strCache>
                <c:ptCount val="1"/>
                <c:pt idx="0">
                  <c:v>Sales</c:v>
                </c:pt>
              </c:strCache>
            </c:strRef>
          </c:tx>
          <c:spPr>
            <a:ln>
              <a:prstDash val="solid"/>
            </a:ln>
          </c:spPr>
          <c:marker>
            <c:symbol val="none"/>
          </c:marker>
          <c:cat>
            <c:strRef>
              <c:f>KPI_Analysis!$A$22:$A$24</c:f>
              <c:strCache>
                <c:ptCount val="3"/>
                <c:pt idx="0">
                  <c:v>2026-01</c:v>
                </c:pt>
                <c:pt idx="1">
                  <c:v>2026-02</c:v>
                </c:pt>
                <c:pt idx="2">
                  <c:v>2026-03</c:v>
                </c:pt>
              </c:strCache>
            </c:strRef>
          </c:cat>
          <c:val>
            <c:numRef>
              <c:f>KPI_Analysis!$B$22:$B$24</c:f>
              <c:numCache>
                <c:formatCode>\₹#,##0.00;[Red]\(\₹#,##0.00\);\-</c:formatCode>
                <c:ptCount val="3"/>
                <c:pt idx="0">
                  <c:v>22646</c:v>
                </c:pt>
                <c:pt idx="1">
                  <c:v>16767</c:v>
                </c:pt>
                <c:pt idx="2">
                  <c:v>21923</c:v>
                </c:pt>
              </c:numCache>
            </c:numRef>
          </c:val>
          <c:smooth val="1"/>
          <c:extLst>
            <c:ext xmlns:c16="http://schemas.microsoft.com/office/drawing/2014/chart" uri="{C3380CC4-5D6E-409C-BE32-E72D297353CC}">
              <c16:uniqueId val="{00000000-4AA4-4674-B8E6-6682AE8C0B61}"/>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Year-Month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Sales (₹)</a:t>
                </a:r>
              </a:p>
            </c:rich>
          </c:tx>
          <c:overlay val="1"/>
        </c:title>
        <c:numFmt formatCode="\₹#,##0.00;[Red]\(\₹#,##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Sales by Product</a:t>
            </a:r>
          </a:p>
        </c:rich>
      </c:tx>
      <c:overlay val="1"/>
    </c:title>
    <c:autoTitleDeleted val="0"/>
    <c:plotArea>
      <c:layout/>
      <c:barChart>
        <c:barDir val="bar"/>
        <c:grouping val="clustered"/>
        <c:varyColors val="1"/>
        <c:ser>
          <c:idx val="0"/>
          <c:order val="0"/>
          <c:tx>
            <c:strRef>
              <c:f>KPI_Analysis!B29</c:f>
              <c:strCache>
                <c:ptCount val="1"/>
                <c:pt idx="0">
                  <c:v>Sales</c:v>
                </c:pt>
              </c:strCache>
            </c:strRef>
          </c:tx>
          <c:spPr>
            <a:ln>
              <a:prstDash val="solid"/>
            </a:ln>
          </c:spPr>
          <c:invertIfNegative val="1"/>
          <c:cat>
            <c:strRef>
              <c:f>KPI_Analysis!$A$30:$A$34</c:f>
              <c:strCache>
                <c:ptCount val="5"/>
                <c:pt idx="0">
                  <c:v>Burger</c:v>
                </c:pt>
                <c:pt idx="1">
                  <c:v>Coffee</c:v>
                </c:pt>
                <c:pt idx="2">
                  <c:v>Pasta</c:v>
                </c:pt>
                <c:pt idx="3">
                  <c:v>Pizza</c:v>
                </c:pt>
                <c:pt idx="4">
                  <c:v>Sandwich</c:v>
                </c:pt>
              </c:strCache>
            </c:strRef>
          </c:cat>
          <c:val>
            <c:numRef>
              <c:f>KPI_Analysis!$B$30:$B$34</c:f>
              <c:numCache>
                <c:formatCode>\₹#,##0.00;[Red]\(\₹#,##0.00\);\-</c:formatCode>
                <c:ptCount val="5"/>
                <c:pt idx="0">
                  <c:v>13626</c:v>
                </c:pt>
                <c:pt idx="1">
                  <c:v>5778</c:v>
                </c:pt>
                <c:pt idx="2">
                  <c:v>13948</c:v>
                </c:pt>
                <c:pt idx="3">
                  <c:v>19500</c:v>
                </c:pt>
                <c:pt idx="4">
                  <c:v>8484</c:v>
                </c:pt>
              </c:numCache>
            </c:numRef>
          </c:val>
          <c:extLst>
            <c:ext xmlns:c16="http://schemas.microsoft.com/office/drawing/2014/chart" uri="{C3380CC4-5D6E-409C-BE32-E72D297353CC}">
              <c16:uniqueId val="{00000000-2C32-4E10-B705-332C591E060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Product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Sales / Profit (₹)</a:t>
                </a:r>
              </a:p>
            </c:rich>
          </c:tx>
          <c:overlay val="1"/>
        </c:title>
        <c:numFmt formatCode="\₹#,##0.00;[Red]\(\₹#,##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Sales by City</a:t>
            </a:r>
          </a:p>
        </c:rich>
      </c:tx>
      <c:overlay val="1"/>
    </c:title>
    <c:autoTitleDeleted val="0"/>
    <c:plotArea>
      <c:layout/>
      <c:barChart>
        <c:barDir val="bar"/>
        <c:grouping val="clustered"/>
        <c:varyColors val="1"/>
        <c:ser>
          <c:idx val="0"/>
          <c:order val="0"/>
          <c:tx>
            <c:strRef>
              <c:f>KPI_Analysis!B39</c:f>
              <c:strCache>
                <c:ptCount val="1"/>
                <c:pt idx="0">
                  <c:v>Sales</c:v>
                </c:pt>
              </c:strCache>
            </c:strRef>
          </c:tx>
          <c:spPr>
            <a:ln>
              <a:prstDash val="solid"/>
            </a:ln>
          </c:spPr>
          <c:invertIfNegative val="1"/>
          <c:cat>
            <c:strRef>
              <c:f>KPI_Analysis!$A$40:$A$42</c:f>
              <c:strCache>
                <c:ptCount val="3"/>
                <c:pt idx="0">
                  <c:v>Mumbai</c:v>
                </c:pt>
                <c:pt idx="1">
                  <c:v>Nashik</c:v>
                </c:pt>
                <c:pt idx="2">
                  <c:v>Pune</c:v>
                </c:pt>
              </c:strCache>
            </c:strRef>
          </c:cat>
          <c:val>
            <c:numRef>
              <c:f>KPI_Analysis!$B$40:$B$42</c:f>
              <c:numCache>
                <c:formatCode>\₹#,##0.00;[Red]\(\₹#,##0.00\);\-</c:formatCode>
                <c:ptCount val="3"/>
                <c:pt idx="0">
                  <c:v>20623</c:v>
                </c:pt>
                <c:pt idx="1">
                  <c:v>11755</c:v>
                </c:pt>
                <c:pt idx="2">
                  <c:v>28958</c:v>
                </c:pt>
              </c:numCache>
            </c:numRef>
          </c:val>
          <c:extLst>
            <c:ext xmlns:c16="http://schemas.microsoft.com/office/drawing/2014/chart" uri="{C3380CC4-5D6E-409C-BE32-E72D297353CC}">
              <c16:uniqueId val="{00000000-1047-429E-BDA3-5C1A3AACAE8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City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Sales / Profit (₹)</a:t>
                </a:r>
              </a:p>
            </c:rich>
          </c:tx>
          <c:overlay val="1"/>
        </c:title>
        <c:numFmt formatCode="\₹#,##0.00;[Red]\(\₹#,##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Sales by Age Group</a:t>
            </a:r>
          </a:p>
        </c:rich>
      </c:tx>
      <c:overlay val="1"/>
    </c:title>
    <c:autoTitleDeleted val="0"/>
    <c:plotArea>
      <c:layout/>
      <c:barChart>
        <c:barDir val="bar"/>
        <c:grouping val="clustered"/>
        <c:varyColors val="1"/>
        <c:ser>
          <c:idx val="0"/>
          <c:order val="0"/>
          <c:tx>
            <c:strRef>
              <c:f>KPI_Analysis!B57</c:f>
              <c:strCache>
                <c:ptCount val="1"/>
                <c:pt idx="0">
                  <c:v>Sales</c:v>
                </c:pt>
              </c:strCache>
            </c:strRef>
          </c:tx>
          <c:spPr>
            <a:ln>
              <a:prstDash val="solid"/>
            </a:ln>
          </c:spPr>
          <c:invertIfNegative val="1"/>
          <c:cat>
            <c:strRef>
              <c:f>KPI_Analysis!$A$58:$A$61</c:f>
              <c:strCache>
                <c:ptCount val="4"/>
                <c:pt idx="0">
                  <c:v>18-24</c:v>
                </c:pt>
                <c:pt idx="1">
                  <c:v>25-34</c:v>
                </c:pt>
                <c:pt idx="2">
                  <c:v>35-44</c:v>
                </c:pt>
                <c:pt idx="3">
                  <c:v>45+</c:v>
                </c:pt>
              </c:strCache>
            </c:strRef>
          </c:cat>
          <c:val>
            <c:numRef>
              <c:f>KPI_Analysis!$B$58:$B$61</c:f>
              <c:numCache>
                <c:formatCode>\₹#,##0.00;[Red]\(\₹#,##0.00\);\-</c:formatCode>
                <c:ptCount val="4"/>
                <c:pt idx="0">
                  <c:v>16811</c:v>
                </c:pt>
                <c:pt idx="1">
                  <c:v>16957</c:v>
                </c:pt>
                <c:pt idx="2">
                  <c:v>13587</c:v>
                </c:pt>
                <c:pt idx="3">
                  <c:v>13981</c:v>
                </c:pt>
              </c:numCache>
            </c:numRef>
          </c:val>
          <c:extLst>
            <c:ext xmlns:c16="http://schemas.microsoft.com/office/drawing/2014/chart" uri="{C3380CC4-5D6E-409C-BE32-E72D297353CC}">
              <c16:uniqueId val="{00000000-A0A1-475B-8116-8CED68953CD6}"/>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Age Group</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Sales / Profit (₹)</a:t>
                </a:r>
              </a:p>
            </c:rich>
          </c:tx>
          <c:overlay val="1"/>
        </c:title>
        <c:numFmt formatCode="\₹#,##0.00;[Red]\(\₹#,##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Sales by Payment Mode</a:t>
            </a:r>
          </a:p>
        </c:rich>
      </c:tx>
      <c:overlay val="1"/>
    </c:title>
    <c:autoTitleDeleted val="0"/>
    <c:plotArea>
      <c:layout/>
      <c:pieChart>
        <c:varyColors val="1"/>
        <c:ser>
          <c:idx val="0"/>
          <c:order val="0"/>
          <c:tx>
            <c:strRef>
              <c:f>KPI_Analysis!B66</c:f>
              <c:strCache>
                <c:ptCount val="1"/>
                <c:pt idx="0">
                  <c:v>Sales</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KPI_Analysis!$A$67:$A$69</c:f>
              <c:strCache>
                <c:ptCount val="3"/>
                <c:pt idx="0">
                  <c:v>Card</c:v>
                </c:pt>
                <c:pt idx="1">
                  <c:v>Cash</c:v>
                </c:pt>
                <c:pt idx="2">
                  <c:v>Upi</c:v>
                </c:pt>
              </c:strCache>
            </c:strRef>
          </c:cat>
          <c:val>
            <c:numRef>
              <c:f>KPI_Analysis!$B$67:$B$69</c:f>
              <c:numCache>
                <c:formatCode>\₹#,##0.00;[Red]\(\₹#,##0.00\);\-</c:formatCode>
                <c:ptCount val="3"/>
                <c:pt idx="0">
                  <c:v>17258</c:v>
                </c:pt>
                <c:pt idx="1">
                  <c:v>10925</c:v>
                </c:pt>
                <c:pt idx="2">
                  <c:v>33153</c:v>
                </c:pt>
              </c:numCache>
            </c:numRef>
          </c:val>
          <c:extLst>
            <c:ext xmlns:c16="http://schemas.microsoft.com/office/drawing/2014/chart" uri="{C3380CC4-5D6E-409C-BE32-E72D297353CC}">
              <c16:uniqueId val="{00000000-32CA-4196-B93E-978C7E0FDA44}"/>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Order Type Sales</a:t>
            </a:r>
          </a:p>
        </c:rich>
      </c:tx>
      <c:overlay val="1"/>
    </c:title>
    <c:autoTitleDeleted val="0"/>
    <c:plotArea>
      <c:layout/>
      <c:pieChart>
        <c:varyColors val="1"/>
        <c:ser>
          <c:idx val="0"/>
          <c:order val="0"/>
          <c:tx>
            <c:strRef>
              <c:f>KPI_Analysis!B74</c:f>
              <c:strCache>
                <c:ptCount val="1"/>
                <c:pt idx="0">
                  <c:v>Sales</c:v>
                </c:pt>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KPI_Analysis!$A$75:$A$76</c:f>
              <c:strCache>
                <c:ptCount val="2"/>
                <c:pt idx="0">
                  <c:v>Delivery</c:v>
                </c:pt>
                <c:pt idx="1">
                  <c:v>Dine-In</c:v>
                </c:pt>
              </c:strCache>
            </c:strRef>
          </c:cat>
          <c:val>
            <c:numRef>
              <c:f>KPI_Analysis!$B$75:$B$76</c:f>
              <c:numCache>
                <c:formatCode>\₹#,##0.00;[Red]\(\₹#,##0.00\);\-</c:formatCode>
                <c:ptCount val="2"/>
                <c:pt idx="0">
                  <c:v>23860</c:v>
                </c:pt>
                <c:pt idx="1">
                  <c:v>37476</c:v>
                </c:pt>
              </c:numCache>
            </c:numRef>
          </c:val>
          <c:extLst>
            <c:ext xmlns:c16="http://schemas.microsoft.com/office/drawing/2014/chart" uri="{C3380CC4-5D6E-409C-BE32-E72D297353CC}">
              <c16:uniqueId val="{00000000-7373-42D6-85E9-D8932022F4B2}"/>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Profit by Product</a:t>
            </a:r>
          </a:p>
        </c:rich>
      </c:tx>
      <c:overlay val="1"/>
    </c:title>
    <c:autoTitleDeleted val="0"/>
    <c:plotArea>
      <c:layout/>
      <c:barChart>
        <c:barDir val="bar"/>
        <c:grouping val="clustered"/>
        <c:varyColors val="1"/>
        <c:ser>
          <c:idx val="0"/>
          <c:order val="0"/>
          <c:tx>
            <c:strRef>
              <c:f>KPI_Analysis!B81</c:f>
              <c:strCache>
                <c:ptCount val="1"/>
                <c:pt idx="0">
                  <c:v>Profit</c:v>
                </c:pt>
              </c:strCache>
            </c:strRef>
          </c:tx>
          <c:spPr>
            <a:ln>
              <a:prstDash val="solid"/>
            </a:ln>
          </c:spPr>
          <c:invertIfNegative val="1"/>
          <c:cat>
            <c:strRef>
              <c:f>KPI_Analysis!$A$82:$A$86</c:f>
              <c:strCache>
                <c:ptCount val="5"/>
                <c:pt idx="0">
                  <c:v>Burger</c:v>
                </c:pt>
                <c:pt idx="1">
                  <c:v>Coffee</c:v>
                </c:pt>
                <c:pt idx="2">
                  <c:v>Pasta</c:v>
                </c:pt>
                <c:pt idx="3">
                  <c:v>Pizza</c:v>
                </c:pt>
                <c:pt idx="4">
                  <c:v>Sandwich</c:v>
                </c:pt>
              </c:strCache>
            </c:strRef>
          </c:cat>
          <c:val>
            <c:numRef>
              <c:f>KPI_Analysis!$B$82:$B$86</c:f>
              <c:numCache>
                <c:formatCode>\₹#,##0.00;[Red]\(\₹#,##0.00\);\-</c:formatCode>
                <c:ptCount val="5"/>
                <c:pt idx="0">
                  <c:v>5001</c:v>
                </c:pt>
                <c:pt idx="1">
                  <c:v>3178</c:v>
                </c:pt>
                <c:pt idx="2">
                  <c:v>2428</c:v>
                </c:pt>
                <c:pt idx="3">
                  <c:v>3000</c:v>
                </c:pt>
                <c:pt idx="4">
                  <c:v>3604</c:v>
                </c:pt>
              </c:numCache>
            </c:numRef>
          </c:val>
          <c:extLst>
            <c:ext xmlns:c16="http://schemas.microsoft.com/office/drawing/2014/chart" uri="{C3380CC4-5D6E-409C-BE32-E72D297353CC}">
              <c16:uniqueId val="{00000000-1C63-4C1D-A611-D6C4B605886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Product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Sales / Profit (₹)</a:t>
                </a:r>
              </a:p>
            </c:rich>
          </c:tx>
          <c:overlay val="1"/>
        </c:title>
        <c:numFmt formatCode="\₹#,##0.00;[Red]\(\₹#,##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0</xdr:rowOff>
    </xdr:from>
    <xdr:ext cx="504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18</xdr:row>
      <xdr:rowOff>0</xdr:rowOff>
    </xdr:from>
    <xdr:ext cx="5040000" cy="288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35</xdr:row>
      <xdr:rowOff>0</xdr:rowOff>
    </xdr:from>
    <xdr:ext cx="5040000" cy="288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0</xdr:colOff>
      <xdr:row>35</xdr:row>
      <xdr:rowOff>0</xdr:rowOff>
    </xdr:from>
    <xdr:ext cx="5040000" cy="288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52</xdr:row>
      <xdr:rowOff>0</xdr:rowOff>
    </xdr:from>
    <xdr:ext cx="5040000" cy="288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0</xdr:colOff>
      <xdr:row>52</xdr:row>
      <xdr:rowOff>0</xdr:rowOff>
    </xdr:from>
    <xdr:ext cx="5040000" cy="2880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69</xdr:row>
      <xdr:rowOff>0</xdr:rowOff>
    </xdr:from>
    <xdr:ext cx="5040000" cy="2880000"/>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iginalData" displayName="OriginalData" ref="A1:M251">
  <autoFilter ref="A1:M251" xr:uid="{00000000-0009-0000-0100-000001000000}"/>
  <tableColumns count="13">
    <tableColumn id="1" xr3:uid="{00000000-0010-0000-0000-000001000000}" name="Order_ID"/>
    <tableColumn id="2" xr3:uid="{00000000-0010-0000-0000-000002000000}" name="Order_Date"/>
    <tableColumn id="3" xr3:uid="{00000000-0010-0000-0000-000003000000}" name="Age_Group"/>
    <tableColumn id="4" xr3:uid="{00000000-0010-0000-0000-000004000000}" name="City"/>
    <tableColumn id="5" xr3:uid="{00000000-0010-0000-0000-000005000000}" name="Product"/>
    <tableColumn id="6" xr3:uid="{00000000-0010-0000-0000-000006000000}" name="Quantity"/>
    <tableColumn id="7" xr3:uid="{00000000-0010-0000-0000-000007000000}" name="Sales"/>
    <tableColumn id="8" xr3:uid="{00000000-0010-0000-0000-000008000000}" name="Cost"/>
    <tableColumn id="9" xr3:uid="{00000000-0010-0000-0000-000009000000}" name="Profit"/>
    <tableColumn id="10" xr3:uid="{00000000-0010-0000-0000-00000A000000}" name="Payment_Mode"/>
    <tableColumn id="11" xr3:uid="{00000000-0010-0000-0000-00000B000000}" name="Order_Type"/>
    <tableColumn id="12" xr3:uid="{00000000-0010-0000-0000-00000C000000}" name="Profit_Margin_%"/>
    <tableColumn id="13" xr3:uid="{00000000-0010-0000-0000-00000D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Data" displayName="CleanData" ref="A1:U251">
  <autoFilter ref="A1:U251" xr:uid="{00000000-0009-0000-0100-000002000000}"/>
  <tableColumns count="21">
    <tableColumn id="1" xr3:uid="{00000000-0010-0000-0100-000001000000}" name="Order_ID"/>
    <tableColumn id="2" xr3:uid="{00000000-0010-0000-0100-000002000000}" name="Order_Date"/>
    <tableColumn id="3" xr3:uid="{00000000-0010-0000-0100-000003000000}" name="Age_Group"/>
    <tableColumn id="4" xr3:uid="{00000000-0010-0000-0100-000004000000}" name="City"/>
    <tableColumn id="5" xr3:uid="{00000000-0010-0000-0100-000005000000}" name="Product"/>
    <tableColumn id="6" xr3:uid="{00000000-0010-0000-0100-000006000000}" name="Quantity"/>
    <tableColumn id="7" xr3:uid="{00000000-0010-0000-0100-000007000000}" name="Sales"/>
    <tableColumn id="8" xr3:uid="{00000000-0010-0000-0100-000008000000}" name="Cost"/>
    <tableColumn id="9" xr3:uid="{00000000-0010-0000-0100-000009000000}" name="Profit"/>
    <tableColumn id="10" xr3:uid="{00000000-0010-0000-0100-00000A000000}" name="Payment_Mode"/>
    <tableColumn id="11" xr3:uid="{00000000-0010-0000-0100-00000B000000}" name="Order_Type"/>
    <tableColumn id="12" xr3:uid="{00000000-0010-0000-0100-00000C000000}" name="Profit_Margin_%"/>
    <tableColumn id="13" xr3:uid="{00000000-0010-0000-0100-00000D000000}" name="Month"/>
    <tableColumn id="14" xr3:uid="{00000000-0010-0000-0100-00000E000000}" name="Year"/>
    <tableColumn id="15" xr3:uid="{00000000-0010-0000-0100-00000F000000}" name="Quarter"/>
    <tableColumn id="16" xr3:uid="{00000000-0010-0000-0100-000010000000}" name="Month_Name"/>
    <tableColumn id="17" xr3:uid="{00000000-0010-0000-0100-000011000000}" name="Year_Month"/>
    <tableColumn id="18" xr3:uid="{00000000-0010-0000-0100-000012000000}" name="Average_Selling_Price"/>
    <tableColumn id="19" xr3:uid="{00000000-0010-0000-0100-000013000000}" name="Calculated_Profit_Margin_%"/>
    <tableColumn id="20" xr3:uid="{00000000-0010-0000-0100-000014000000}" name="Review_Flag"/>
    <tableColumn id="21" xr3:uid="{00000000-0010-0000-0100-000015000000}" name="Review_Reas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KPIList" displayName="KPIList" ref="A4:E16">
  <autoFilter ref="A4:E16" xr:uid="{00000000-0009-0000-0100-000003000000}"/>
  <tableColumns count="5">
    <tableColumn id="1" xr3:uid="{00000000-0010-0000-0200-000001000000}" name="KPI Name"/>
    <tableColumn id="2" xr3:uid="{00000000-0010-0000-0200-000002000000}" name="Value"/>
    <tableColumn id="3" xr3:uid="{00000000-0010-0000-0200-000003000000}" name="Calculation Logic"/>
    <tableColumn id="4" xr3:uid="{00000000-0010-0000-0200-000004000000}" name="Required Columns"/>
    <tableColumn id="5" xr3:uid="{00000000-0010-0000-0200-000005000000}" name="Remark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nthly_Sales_Trend" displayName="Monthly_Sales_Trend" ref="A21:B24">
  <autoFilter ref="A21:B24" xr:uid="{00000000-0009-0000-0100-000004000000}"/>
  <tableColumns count="2">
    <tableColumn id="1" xr3:uid="{00000000-0010-0000-0300-000001000000}" name="Year_Month"/>
    <tableColumn id="2" xr3:uid="{00000000-0010-0000-0300-000002000000}" name="Sales"/>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ales_by_Product" displayName="Sales_by_Product" ref="A29:B34">
  <autoFilter ref="A29:B34" xr:uid="{00000000-0009-0000-0100-000005000000}"/>
  <tableColumns count="2">
    <tableColumn id="1" xr3:uid="{00000000-0010-0000-0400-000001000000}" name="Product"/>
    <tableColumn id="2" xr3:uid="{00000000-0010-0000-0400-000002000000}" name="Sales"/>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les_by_City" displayName="Sales_by_City" ref="A39:B42">
  <autoFilter ref="A39:B42" xr:uid="{00000000-0009-0000-0100-000006000000}"/>
  <tableColumns count="2">
    <tableColumn id="1" xr3:uid="{00000000-0010-0000-0500-000001000000}" name="City"/>
    <tableColumn id="2" xr3:uid="{00000000-0010-0000-0500-000002000000}" name="Sales"/>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ales_by_Category" displayName="Sales_by_Category" ref="A47:B52">
  <autoFilter ref="A47:B52" xr:uid="{00000000-0009-0000-0100-000007000000}"/>
  <tableColumns count="2">
    <tableColumn id="1" xr3:uid="{00000000-0010-0000-0600-000001000000}" name="Product"/>
    <tableColumn id="2" xr3:uid="{00000000-0010-0000-0600-000002000000}" name="Sales"/>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ales_by_Age_Group" displayName="Sales_by_Age_Group" ref="A57:B61">
  <autoFilter ref="A57:B61" xr:uid="{00000000-0009-0000-0100-000008000000}"/>
  <tableColumns count="2">
    <tableColumn id="1" xr3:uid="{00000000-0010-0000-0700-000001000000}" name="Age_Group"/>
    <tableColumn id="2" xr3:uid="{00000000-0010-0000-0700-000002000000}" name="Sales"/>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ales_by_Payment_Mode" displayName="Sales_by_Payment_Mode" ref="A66:B69">
  <autoFilter ref="A66:B69" xr:uid="{00000000-0009-0000-0100-000009000000}"/>
  <tableColumns count="2">
    <tableColumn id="1" xr3:uid="{00000000-0010-0000-0800-000001000000}" name="Payment_Mode"/>
    <tableColumn id="2" xr3:uid="{00000000-0010-0000-0800-000002000000}" name="Sales"/>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rder_Type_Sales" displayName="Order_Type_Sales" ref="A74:B76">
  <autoFilter ref="A74:B76" xr:uid="{00000000-0009-0000-0100-00000A000000}"/>
  <tableColumns count="2">
    <tableColumn id="1" xr3:uid="{00000000-0010-0000-0900-000001000000}" name="Order_Type"/>
    <tableColumn id="2" xr3:uid="{00000000-0010-0000-0900-000002000000}" name="Sales"/>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rofit_by_Product" displayName="Profit_by_Product" ref="A81:B86">
  <autoFilter ref="A81:B86" xr:uid="{00000000-0009-0000-0100-00000B000000}"/>
  <tableColumns count="2">
    <tableColumn id="1" xr3:uid="{00000000-0010-0000-0A00-000001000000}" name="Product"/>
    <tableColumn id="2" xr3:uid="{00000000-0010-0000-0A00-000002000000}" name="Profit"/>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QualityChecks" displayName="QualityChecks" ref="A4:C9">
  <autoFilter ref="A4:C9" xr:uid="{00000000-0009-0000-0100-00000C000000}"/>
  <tableColumns count="3">
    <tableColumn id="1" xr3:uid="{00000000-0010-0000-0B00-000001000000}" name="Quality Check"/>
    <tableColumn id="2" xr3:uid="{00000000-0010-0000-0B00-000002000000}" name="Result"/>
    <tableColumn id="3" xr3:uid="{00000000-0010-0000-0B00-000003000000}" name="Remark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CleaningSteps" displayName="CleaningSteps" ref="A12:E20">
  <autoFilter ref="A12:E20" xr:uid="{00000000-0009-0000-0100-00000D000000}"/>
  <tableColumns count="5">
    <tableColumn id="1" xr3:uid="{00000000-0010-0000-0C00-000001000000}" name="Step"/>
    <tableColumn id="2" xr3:uid="{00000000-0010-0000-0C00-000002000000}" name="Field/Area"/>
    <tableColumn id="3" xr3:uid="{00000000-0010-0000-0C00-000003000000}" name="Action Taken"/>
    <tableColumn id="4" xr3:uid="{00000000-0010-0000-0C00-000004000000}" name="Affected Rows/Items"/>
    <tableColumn id="5" xr3:uid="{00000000-0010-0000-0C00-000005000000}" name="Remark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DataDictionary" displayName="DataDictionary" ref="A4:H25">
  <autoFilter ref="A4:H25" xr:uid="{00000000-0009-0000-0100-00000E000000}"/>
  <tableColumns count="8">
    <tableColumn id="1" xr3:uid="{00000000-0010-0000-0D00-000001000000}" name="Cleaned Column"/>
    <tableColumn id="2" xr3:uid="{00000000-0010-0000-0D00-000002000000}" name="Original Name"/>
    <tableColumn id="3" xr3:uid="{00000000-0010-0000-0D00-000003000000}" name="Data Type"/>
    <tableColumn id="4" xr3:uid="{00000000-0010-0000-0D00-000004000000}" name="Meaning"/>
    <tableColumn id="5" xr3:uid="{00000000-0010-0000-0D00-000005000000}" name="Sample Value"/>
    <tableColumn id="6" xr3:uid="{00000000-0010-0000-0D00-000006000000}" name="Cleaning Applied"/>
    <tableColumn id="7" xr3:uid="{00000000-0010-0000-0D00-000007000000}" name="KPI Usage"/>
    <tableColumn id="8" xr3:uid="{00000000-0010-0000-0D00-000008000000}"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1"/>
  <sheetViews>
    <sheetView showGridLines="0" tabSelected="1" workbookViewId="0">
      <pane ySplit="1" topLeftCell="A2" activePane="bottomLeft" state="frozen"/>
      <selection pane="bottomLeft"/>
    </sheetView>
  </sheetViews>
  <sheetFormatPr defaultRowHeight="15"/>
  <cols>
    <col min="1" max="1" width="10" customWidth="1"/>
    <col min="2" max="2" width="12" customWidth="1"/>
    <col min="3" max="3" width="11" customWidth="1"/>
    <col min="4" max="9" width="10" customWidth="1"/>
    <col min="10" max="10" width="14" customWidth="1"/>
    <col min="11" max="11" width="12" customWidth="1"/>
    <col min="12" max="12" width="17" customWidth="1"/>
    <col min="13" max="13" width="10"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20</v>
      </c>
      <c r="I2" t="s">
        <v>21</v>
      </c>
      <c r="J2" t="s">
        <v>22</v>
      </c>
      <c r="K2" t="s">
        <v>23</v>
      </c>
      <c r="L2" t="s">
        <v>24</v>
      </c>
      <c r="M2" t="s">
        <v>25</v>
      </c>
    </row>
    <row r="3" spans="1:13">
      <c r="A3" t="s">
        <v>26</v>
      </c>
      <c r="B3" t="s">
        <v>14</v>
      </c>
      <c r="C3" t="s">
        <v>27</v>
      </c>
      <c r="D3" t="s">
        <v>16</v>
      </c>
      <c r="E3" t="s">
        <v>17</v>
      </c>
      <c r="F3" t="s">
        <v>18</v>
      </c>
      <c r="G3" t="s">
        <v>28</v>
      </c>
      <c r="H3" t="s">
        <v>20</v>
      </c>
      <c r="I3" t="s">
        <v>29</v>
      </c>
      <c r="J3" t="s">
        <v>30</v>
      </c>
      <c r="K3" t="s">
        <v>31</v>
      </c>
      <c r="L3" t="s">
        <v>32</v>
      </c>
      <c r="M3" t="s">
        <v>25</v>
      </c>
    </row>
    <row r="4" spans="1:13">
      <c r="A4" t="s">
        <v>33</v>
      </c>
      <c r="B4" t="s">
        <v>14</v>
      </c>
      <c r="C4" t="s">
        <v>34</v>
      </c>
      <c r="D4" t="s">
        <v>16</v>
      </c>
      <c r="E4" t="s">
        <v>17</v>
      </c>
      <c r="F4" t="s">
        <v>18</v>
      </c>
      <c r="G4" t="s">
        <v>28</v>
      </c>
      <c r="H4" t="s">
        <v>20</v>
      </c>
      <c r="I4" t="s">
        <v>29</v>
      </c>
      <c r="J4" t="s">
        <v>30</v>
      </c>
      <c r="K4" t="s">
        <v>23</v>
      </c>
      <c r="L4" t="s">
        <v>32</v>
      </c>
      <c r="M4" t="s">
        <v>25</v>
      </c>
    </row>
    <row r="5" spans="1:13">
      <c r="A5" t="s">
        <v>35</v>
      </c>
      <c r="B5" t="s">
        <v>14</v>
      </c>
      <c r="C5" t="s">
        <v>34</v>
      </c>
      <c r="D5" t="s">
        <v>16</v>
      </c>
      <c r="E5" t="s">
        <v>36</v>
      </c>
      <c r="F5" t="s">
        <v>18</v>
      </c>
      <c r="G5" t="s">
        <v>37</v>
      </c>
      <c r="H5" t="s">
        <v>38</v>
      </c>
      <c r="I5" t="s">
        <v>20</v>
      </c>
      <c r="J5" t="s">
        <v>30</v>
      </c>
      <c r="K5" t="s">
        <v>23</v>
      </c>
      <c r="L5" t="s">
        <v>39</v>
      </c>
      <c r="M5" t="s">
        <v>25</v>
      </c>
    </row>
    <row r="6" spans="1:13">
      <c r="A6" t="s">
        <v>40</v>
      </c>
      <c r="B6" t="s">
        <v>41</v>
      </c>
      <c r="C6" t="s">
        <v>27</v>
      </c>
      <c r="D6" t="s">
        <v>42</v>
      </c>
      <c r="E6" t="s">
        <v>43</v>
      </c>
      <c r="F6" t="s">
        <v>18</v>
      </c>
      <c r="G6" t="s">
        <v>44</v>
      </c>
      <c r="H6" t="s">
        <v>45</v>
      </c>
      <c r="I6" t="s">
        <v>46</v>
      </c>
      <c r="J6" t="s">
        <v>22</v>
      </c>
      <c r="K6" t="s">
        <v>23</v>
      </c>
      <c r="L6" t="s">
        <v>47</v>
      </c>
      <c r="M6" t="s">
        <v>25</v>
      </c>
    </row>
    <row r="7" spans="1:13">
      <c r="A7" t="s">
        <v>48</v>
      </c>
      <c r="B7" t="s">
        <v>41</v>
      </c>
      <c r="C7" t="s">
        <v>49</v>
      </c>
      <c r="D7" t="s">
        <v>42</v>
      </c>
      <c r="E7" t="s">
        <v>43</v>
      </c>
      <c r="F7" t="s">
        <v>18</v>
      </c>
      <c r="G7" t="s">
        <v>50</v>
      </c>
      <c r="H7" t="s">
        <v>45</v>
      </c>
      <c r="I7" t="s">
        <v>29</v>
      </c>
      <c r="J7" t="s">
        <v>22</v>
      </c>
      <c r="K7" t="s">
        <v>31</v>
      </c>
      <c r="L7" t="s">
        <v>51</v>
      </c>
      <c r="M7" t="s">
        <v>25</v>
      </c>
    </row>
    <row r="8" spans="1:13">
      <c r="A8" t="s">
        <v>52</v>
      </c>
      <c r="B8" t="s">
        <v>41</v>
      </c>
      <c r="C8" t="s">
        <v>34</v>
      </c>
      <c r="D8" t="s">
        <v>53</v>
      </c>
      <c r="E8" t="s">
        <v>43</v>
      </c>
      <c r="F8" t="s">
        <v>18</v>
      </c>
      <c r="G8" t="s">
        <v>50</v>
      </c>
      <c r="H8" t="s">
        <v>45</v>
      </c>
      <c r="I8" t="s">
        <v>29</v>
      </c>
      <c r="J8" t="s">
        <v>30</v>
      </c>
      <c r="K8" t="s">
        <v>31</v>
      </c>
      <c r="L8" t="s">
        <v>51</v>
      </c>
      <c r="M8" t="s">
        <v>25</v>
      </c>
    </row>
    <row r="9" spans="1:13">
      <c r="A9" t="s">
        <v>54</v>
      </c>
      <c r="B9" t="s">
        <v>55</v>
      </c>
      <c r="C9" t="s">
        <v>34</v>
      </c>
      <c r="D9" t="s">
        <v>42</v>
      </c>
      <c r="E9" t="s">
        <v>56</v>
      </c>
      <c r="F9" t="s">
        <v>18</v>
      </c>
      <c r="G9" t="s">
        <v>57</v>
      </c>
      <c r="H9" t="s">
        <v>58</v>
      </c>
      <c r="I9" t="s">
        <v>59</v>
      </c>
      <c r="J9" t="s">
        <v>30</v>
      </c>
      <c r="K9" t="s">
        <v>31</v>
      </c>
      <c r="L9" t="s">
        <v>60</v>
      </c>
      <c r="M9" t="s">
        <v>25</v>
      </c>
    </row>
    <row r="10" spans="1:13">
      <c r="A10" t="s">
        <v>61</v>
      </c>
      <c r="B10" t="s">
        <v>55</v>
      </c>
      <c r="C10" t="s">
        <v>34</v>
      </c>
      <c r="D10" t="s">
        <v>42</v>
      </c>
      <c r="E10" t="s">
        <v>43</v>
      </c>
      <c r="F10" t="s">
        <v>18</v>
      </c>
      <c r="G10" t="s">
        <v>50</v>
      </c>
      <c r="H10" t="s">
        <v>45</v>
      </c>
      <c r="I10" t="s">
        <v>29</v>
      </c>
      <c r="J10" t="s">
        <v>62</v>
      </c>
      <c r="K10" t="s">
        <v>23</v>
      </c>
      <c r="L10" t="s">
        <v>51</v>
      </c>
      <c r="M10" t="s">
        <v>25</v>
      </c>
    </row>
    <row r="11" spans="1:13">
      <c r="A11" t="s">
        <v>63</v>
      </c>
      <c r="B11" t="s">
        <v>55</v>
      </c>
      <c r="C11" t="s">
        <v>15</v>
      </c>
      <c r="D11" t="s">
        <v>16</v>
      </c>
      <c r="E11" t="s">
        <v>43</v>
      </c>
      <c r="F11" t="s">
        <v>18</v>
      </c>
      <c r="G11" t="s">
        <v>50</v>
      </c>
      <c r="H11" t="s">
        <v>45</v>
      </c>
      <c r="I11" t="s">
        <v>29</v>
      </c>
      <c r="J11" t="s">
        <v>30</v>
      </c>
      <c r="K11" t="s">
        <v>23</v>
      </c>
      <c r="L11" t="s">
        <v>51</v>
      </c>
      <c r="M11" t="s">
        <v>25</v>
      </c>
    </row>
    <row r="12" spans="1:13">
      <c r="A12" t="s">
        <v>64</v>
      </c>
      <c r="B12" t="s">
        <v>55</v>
      </c>
      <c r="C12" t="s">
        <v>15</v>
      </c>
      <c r="D12" t="s">
        <v>42</v>
      </c>
      <c r="E12" t="s">
        <v>56</v>
      </c>
      <c r="F12" t="s">
        <v>65</v>
      </c>
      <c r="G12" t="s">
        <v>66</v>
      </c>
      <c r="H12" t="s">
        <v>67</v>
      </c>
      <c r="I12" t="s">
        <v>68</v>
      </c>
      <c r="J12" t="s">
        <v>62</v>
      </c>
      <c r="K12" t="s">
        <v>31</v>
      </c>
      <c r="L12" t="s">
        <v>69</v>
      </c>
      <c r="M12" t="s">
        <v>25</v>
      </c>
    </row>
    <row r="13" spans="1:13">
      <c r="A13" t="s">
        <v>70</v>
      </c>
      <c r="B13" t="s">
        <v>55</v>
      </c>
      <c r="C13" t="s">
        <v>34</v>
      </c>
      <c r="D13" t="s">
        <v>16</v>
      </c>
      <c r="E13" t="s">
        <v>36</v>
      </c>
      <c r="F13" t="s">
        <v>18</v>
      </c>
      <c r="G13" t="s">
        <v>37</v>
      </c>
      <c r="H13" t="s">
        <v>38</v>
      </c>
      <c r="I13" t="s">
        <v>20</v>
      </c>
      <c r="J13" t="s">
        <v>30</v>
      </c>
      <c r="K13" t="s">
        <v>23</v>
      </c>
      <c r="L13" t="s">
        <v>39</v>
      </c>
      <c r="M13" t="s">
        <v>25</v>
      </c>
    </row>
    <row r="14" spans="1:13">
      <c r="A14" t="s">
        <v>71</v>
      </c>
      <c r="B14" t="s">
        <v>55</v>
      </c>
      <c r="C14" t="s">
        <v>27</v>
      </c>
      <c r="D14" t="s">
        <v>16</v>
      </c>
      <c r="E14" t="s">
        <v>43</v>
      </c>
      <c r="F14" t="s">
        <v>18</v>
      </c>
      <c r="G14" t="s">
        <v>72</v>
      </c>
      <c r="H14" t="s">
        <v>45</v>
      </c>
      <c r="I14" t="s">
        <v>73</v>
      </c>
      <c r="J14" t="s">
        <v>62</v>
      </c>
      <c r="K14" t="s">
        <v>31</v>
      </c>
      <c r="L14" t="s">
        <v>74</v>
      </c>
      <c r="M14" t="s">
        <v>25</v>
      </c>
    </row>
    <row r="15" spans="1:13">
      <c r="A15" t="s">
        <v>75</v>
      </c>
      <c r="B15" t="s">
        <v>76</v>
      </c>
      <c r="C15" t="s">
        <v>15</v>
      </c>
      <c r="D15" t="s">
        <v>53</v>
      </c>
      <c r="E15" t="s">
        <v>17</v>
      </c>
      <c r="F15" t="s">
        <v>18</v>
      </c>
      <c r="G15" t="s">
        <v>28</v>
      </c>
      <c r="H15" t="s">
        <v>20</v>
      </c>
      <c r="I15" t="s">
        <v>29</v>
      </c>
      <c r="J15" t="s">
        <v>22</v>
      </c>
      <c r="K15" t="s">
        <v>23</v>
      </c>
      <c r="L15" t="s">
        <v>32</v>
      </c>
      <c r="M15" t="s">
        <v>25</v>
      </c>
    </row>
    <row r="16" spans="1:13">
      <c r="A16" t="s">
        <v>77</v>
      </c>
      <c r="B16" t="s">
        <v>76</v>
      </c>
      <c r="C16" t="s">
        <v>34</v>
      </c>
      <c r="D16" t="s">
        <v>16</v>
      </c>
      <c r="E16" t="s">
        <v>17</v>
      </c>
      <c r="F16" t="s">
        <v>18</v>
      </c>
      <c r="G16" t="s">
        <v>19</v>
      </c>
      <c r="H16" t="s">
        <v>20</v>
      </c>
      <c r="I16" t="s">
        <v>21</v>
      </c>
      <c r="J16" t="s">
        <v>22</v>
      </c>
      <c r="K16" t="s">
        <v>23</v>
      </c>
      <c r="L16" t="s">
        <v>24</v>
      </c>
      <c r="M16" t="s">
        <v>25</v>
      </c>
    </row>
    <row r="17" spans="1:13">
      <c r="A17" t="s">
        <v>78</v>
      </c>
      <c r="B17" t="s">
        <v>79</v>
      </c>
      <c r="C17" t="s">
        <v>49</v>
      </c>
      <c r="D17" t="s">
        <v>16</v>
      </c>
      <c r="E17" t="s">
        <v>36</v>
      </c>
      <c r="F17" t="s">
        <v>18</v>
      </c>
      <c r="G17" t="s">
        <v>37</v>
      </c>
      <c r="H17" t="s">
        <v>38</v>
      </c>
      <c r="I17" t="s">
        <v>20</v>
      </c>
      <c r="J17" t="s">
        <v>30</v>
      </c>
      <c r="K17" t="s">
        <v>23</v>
      </c>
      <c r="L17" t="s">
        <v>39</v>
      </c>
      <c r="M17" t="s">
        <v>25</v>
      </c>
    </row>
    <row r="18" spans="1:13">
      <c r="A18" t="s">
        <v>80</v>
      </c>
      <c r="B18" t="s">
        <v>79</v>
      </c>
      <c r="C18" t="s">
        <v>27</v>
      </c>
      <c r="D18" t="s">
        <v>42</v>
      </c>
      <c r="E18" t="s">
        <v>36</v>
      </c>
      <c r="F18" t="s">
        <v>65</v>
      </c>
      <c r="G18" t="s">
        <v>81</v>
      </c>
      <c r="H18" t="s">
        <v>66</v>
      </c>
      <c r="I18" t="s">
        <v>82</v>
      </c>
      <c r="J18" t="s">
        <v>22</v>
      </c>
      <c r="K18" t="s">
        <v>31</v>
      </c>
      <c r="L18" t="s">
        <v>83</v>
      </c>
      <c r="M18" t="s">
        <v>25</v>
      </c>
    </row>
    <row r="19" spans="1:13">
      <c r="A19" t="s">
        <v>84</v>
      </c>
      <c r="B19" t="s">
        <v>79</v>
      </c>
      <c r="C19" t="s">
        <v>34</v>
      </c>
      <c r="D19" t="s">
        <v>16</v>
      </c>
      <c r="E19" t="s">
        <v>17</v>
      </c>
      <c r="F19" t="s">
        <v>18</v>
      </c>
      <c r="G19" t="s">
        <v>19</v>
      </c>
      <c r="H19" t="s">
        <v>20</v>
      </c>
      <c r="I19" t="s">
        <v>21</v>
      </c>
      <c r="J19" t="s">
        <v>62</v>
      </c>
      <c r="K19" t="s">
        <v>23</v>
      </c>
      <c r="L19" t="s">
        <v>24</v>
      </c>
      <c r="M19" t="s">
        <v>25</v>
      </c>
    </row>
    <row r="20" spans="1:13">
      <c r="A20" t="s">
        <v>85</v>
      </c>
      <c r="B20" t="s">
        <v>79</v>
      </c>
      <c r="C20" t="s">
        <v>34</v>
      </c>
      <c r="D20" t="s">
        <v>16</v>
      </c>
      <c r="E20" t="s">
        <v>86</v>
      </c>
      <c r="F20" t="s">
        <v>65</v>
      </c>
      <c r="G20" t="s">
        <v>87</v>
      </c>
      <c r="H20" t="s">
        <v>88</v>
      </c>
      <c r="I20" t="s">
        <v>89</v>
      </c>
      <c r="J20" t="s">
        <v>30</v>
      </c>
      <c r="K20" t="s">
        <v>23</v>
      </c>
      <c r="L20" t="s">
        <v>90</v>
      </c>
      <c r="M20" t="s">
        <v>25</v>
      </c>
    </row>
    <row r="21" spans="1:13">
      <c r="A21" t="s">
        <v>91</v>
      </c>
      <c r="B21" t="s">
        <v>92</v>
      </c>
      <c r="C21" t="s">
        <v>49</v>
      </c>
      <c r="D21" t="s">
        <v>42</v>
      </c>
      <c r="E21" t="s">
        <v>36</v>
      </c>
      <c r="F21" t="s">
        <v>65</v>
      </c>
      <c r="G21" t="s">
        <v>81</v>
      </c>
      <c r="H21" t="s">
        <v>66</v>
      </c>
      <c r="I21" t="s">
        <v>82</v>
      </c>
      <c r="J21" t="s">
        <v>22</v>
      </c>
      <c r="K21" t="s">
        <v>23</v>
      </c>
      <c r="L21" t="s">
        <v>83</v>
      </c>
      <c r="M21" t="s">
        <v>25</v>
      </c>
    </row>
    <row r="22" spans="1:13">
      <c r="A22" t="s">
        <v>93</v>
      </c>
      <c r="B22" t="s">
        <v>92</v>
      </c>
      <c r="C22" t="s">
        <v>27</v>
      </c>
      <c r="D22" t="s">
        <v>16</v>
      </c>
      <c r="E22" t="s">
        <v>56</v>
      </c>
      <c r="F22" t="s">
        <v>18</v>
      </c>
      <c r="G22" t="s">
        <v>38</v>
      </c>
      <c r="H22" t="s">
        <v>58</v>
      </c>
      <c r="I22" t="s">
        <v>94</v>
      </c>
      <c r="J22" t="s">
        <v>22</v>
      </c>
      <c r="K22" t="s">
        <v>23</v>
      </c>
      <c r="L22" t="s">
        <v>69</v>
      </c>
      <c r="M22" t="s">
        <v>25</v>
      </c>
    </row>
    <row r="23" spans="1:13">
      <c r="A23" t="s">
        <v>95</v>
      </c>
      <c r="B23" t="s">
        <v>96</v>
      </c>
      <c r="C23" t="s">
        <v>15</v>
      </c>
      <c r="D23" t="s">
        <v>42</v>
      </c>
      <c r="E23" t="s">
        <v>17</v>
      </c>
      <c r="F23" t="s">
        <v>65</v>
      </c>
      <c r="G23" t="s">
        <v>38</v>
      </c>
      <c r="H23" t="s">
        <v>46</v>
      </c>
      <c r="I23" t="s">
        <v>97</v>
      </c>
      <c r="J23" t="s">
        <v>22</v>
      </c>
      <c r="K23" t="s">
        <v>23</v>
      </c>
      <c r="L23" t="s">
        <v>32</v>
      </c>
      <c r="M23" t="s">
        <v>25</v>
      </c>
    </row>
    <row r="24" spans="1:13">
      <c r="A24" t="s">
        <v>98</v>
      </c>
      <c r="B24" t="s">
        <v>96</v>
      </c>
      <c r="C24" t="s">
        <v>15</v>
      </c>
      <c r="D24" t="s">
        <v>16</v>
      </c>
      <c r="E24" t="s">
        <v>43</v>
      </c>
      <c r="F24" t="s">
        <v>18</v>
      </c>
      <c r="G24" t="s">
        <v>72</v>
      </c>
      <c r="H24" t="s">
        <v>45</v>
      </c>
      <c r="I24" t="s">
        <v>73</v>
      </c>
      <c r="J24" t="s">
        <v>30</v>
      </c>
      <c r="K24" t="s">
        <v>23</v>
      </c>
      <c r="L24" t="s">
        <v>74</v>
      </c>
      <c r="M24" t="s">
        <v>25</v>
      </c>
    </row>
    <row r="25" spans="1:13">
      <c r="A25" t="s">
        <v>99</v>
      </c>
      <c r="B25" t="s">
        <v>96</v>
      </c>
      <c r="C25" t="s">
        <v>49</v>
      </c>
      <c r="D25" t="s">
        <v>16</v>
      </c>
      <c r="E25" t="s">
        <v>86</v>
      </c>
      <c r="F25" t="s">
        <v>65</v>
      </c>
      <c r="G25" t="s">
        <v>87</v>
      </c>
      <c r="H25" t="s">
        <v>88</v>
      </c>
      <c r="I25" t="s">
        <v>89</v>
      </c>
      <c r="J25" t="s">
        <v>62</v>
      </c>
      <c r="K25" t="s">
        <v>23</v>
      </c>
      <c r="L25" t="s">
        <v>90</v>
      </c>
      <c r="M25" t="s">
        <v>25</v>
      </c>
    </row>
    <row r="26" spans="1:13">
      <c r="A26" t="s">
        <v>100</v>
      </c>
      <c r="B26" t="s">
        <v>101</v>
      </c>
      <c r="C26" t="s">
        <v>15</v>
      </c>
      <c r="D26" t="s">
        <v>16</v>
      </c>
      <c r="E26" t="s">
        <v>56</v>
      </c>
      <c r="F26" t="s">
        <v>18</v>
      </c>
      <c r="G26" t="s">
        <v>57</v>
      </c>
      <c r="H26" t="s">
        <v>58</v>
      </c>
      <c r="I26" t="s">
        <v>59</v>
      </c>
      <c r="J26" t="s">
        <v>30</v>
      </c>
      <c r="K26" t="s">
        <v>31</v>
      </c>
      <c r="L26" t="s">
        <v>60</v>
      </c>
      <c r="M26" t="s">
        <v>25</v>
      </c>
    </row>
    <row r="27" spans="1:13">
      <c r="A27" t="s">
        <v>102</v>
      </c>
      <c r="B27" t="s">
        <v>101</v>
      </c>
      <c r="C27" t="s">
        <v>27</v>
      </c>
      <c r="D27" t="s">
        <v>16</v>
      </c>
      <c r="E27" t="s">
        <v>56</v>
      </c>
      <c r="F27" t="s">
        <v>18</v>
      </c>
      <c r="G27" t="s">
        <v>38</v>
      </c>
      <c r="H27" t="s">
        <v>58</v>
      </c>
      <c r="I27" t="s">
        <v>94</v>
      </c>
      <c r="J27" t="s">
        <v>30</v>
      </c>
      <c r="K27" t="s">
        <v>23</v>
      </c>
      <c r="L27" t="s">
        <v>69</v>
      </c>
      <c r="M27" t="s">
        <v>25</v>
      </c>
    </row>
    <row r="28" spans="1:13">
      <c r="A28" t="s">
        <v>103</v>
      </c>
      <c r="B28" t="s">
        <v>101</v>
      </c>
      <c r="C28" t="s">
        <v>34</v>
      </c>
      <c r="D28" t="s">
        <v>16</v>
      </c>
      <c r="E28" t="s">
        <v>56</v>
      </c>
      <c r="F28" t="s">
        <v>18</v>
      </c>
      <c r="G28" t="s">
        <v>38</v>
      </c>
      <c r="H28" t="s">
        <v>58</v>
      </c>
      <c r="I28" t="s">
        <v>94</v>
      </c>
      <c r="J28" t="s">
        <v>30</v>
      </c>
      <c r="K28" t="s">
        <v>23</v>
      </c>
      <c r="L28" t="s">
        <v>69</v>
      </c>
      <c r="M28" t="s">
        <v>25</v>
      </c>
    </row>
    <row r="29" spans="1:13">
      <c r="A29" t="s">
        <v>104</v>
      </c>
      <c r="B29" t="s">
        <v>101</v>
      </c>
      <c r="C29" t="s">
        <v>34</v>
      </c>
      <c r="D29" t="s">
        <v>53</v>
      </c>
      <c r="E29" t="s">
        <v>56</v>
      </c>
      <c r="F29" t="s">
        <v>18</v>
      </c>
      <c r="G29" t="s">
        <v>38</v>
      </c>
      <c r="H29" t="s">
        <v>58</v>
      </c>
      <c r="I29" t="s">
        <v>94</v>
      </c>
      <c r="J29" t="s">
        <v>30</v>
      </c>
      <c r="K29" t="s">
        <v>31</v>
      </c>
      <c r="L29" t="s">
        <v>69</v>
      </c>
      <c r="M29" t="s">
        <v>25</v>
      </c>
    </row>
    <row r="30" spans="1:13">
      <c r="A30" t="s">
        <v>105</v>
      </c>
      <c r="B30" t="s">
        <v>106</v>
      </c>
      <c r="C30" t="s">
        <v>27</v>
      </c>
      <c r="D30" t="s">
        <v>16</v>
      </c>
      <c r="E30" t="s">
        <v>36</v>
      </c>
      <c r="F30" t="s">
        <v>18</v>
      </c>
      <c r="G30" t="s">
        <v>107</v>
      </c>
      <c r="H30" t="s">
        <v>38</v>
      </c>
      <c r="I30" t="s">
        <v>108</v>
      </c>
      <c r="J30" t="s">
        <v>30</v>
      </c>
      <c r="K30" t="s">
        <v>31</v>
      </c>
      <c r="L30" t="s">
        <v>109</v>
      </c>
      <c r="M30" t="s">
        <v>25</v>
      </c>
    </row>
    <row r="31" spans="1:13">
      <c r="A31" t="s">
        <v>110</v>
      </c>
      <c r="B31" t="s">
        <v>106</v>
      </c>
      <c r="C31" t="s">
        <v>15</v>
      </c>
      <c r="D31" t="s">
        <v>53</v>
      </c>
      <c r="E31" t="s">
        <v>36</v>
      </c>
      <c r="F31" t="s">
        <v>18</v>
      </c>
      <c r="G31" t="s">
        <v>37</v>
      </c>
      <c r="H31" t="s">
        <v>38</v>
      </c>
      <c r="I31" t="s">
        <v>20</v>
      </c>
      <c r="J31" t="s">
        <v>62</v>
      </c>
      <c r="K31" t="s">
        <v>23</v>
      </c>
      <c r="L31" t="s">
        <v>39</v>
      </c>
      <c r="M31" t="s">
        <v>25</v>
      </c>
    </row>
    <row r="32" spans="1:13">
      <c r="A32" t="s">
        <v>111</v>
      </c>
      <c r="B32" t="s">
        <v>106</v>
      </c>
      <c r="C32" t="s">
        <v>34</v>
      </c>
      <c r="D32" t="s">
        <v>16</v>
      </c>
      <c r="E32" t="s">
        <v>43</v>
      </c>
      <c r="F32" t="s">
        <v>18</v>
      </c>
      <c r="G32" t="s">
        <v>50</v>
      </c>
      <c r="H32" t="s">
        <v>45</v>
      </c>
      <c r="I32" t="s">
        <v>29</v>
      </c>
      <c r="J32" t="s">
        <v>30</v>
      </c>
      <c r="K32" t="s">
        <v>31</v>
      </c>
      <c r="L32" t="s">
        <v>51</v>
      </c>
      <c r="M32" t="s">
        <v>25</v>
      </c>
    </row>
    <row r="33" spans="1:13">
      <c r="A33" t="s">
        <v>112</v>
      </c>
      <c r="B33" t="s">
        <v>113</v>
      </c>
      <c r="C33" t="s">
        <v>15</v>
      </c>
      <c r="D33" t="s">
        <v>42</v>
      </c>
      <c r="E33" t="s">
        <v>56</v>
      </c>
      <c r="F33" t="s">
        <v>18</v>
      </c>
      <c r="G33" t="s">
        <v>38</v>
      </c>
      <c r="H33" t="s">
        <v>58</v>
      </c>
      <c r="I33" t="s">
        <v>94</v>
      </c>
      <c r="J33" t="s">
        <v>22</v>
      </c>
      <c r="K33" t="s">
        <v>23</v>
      </c>
      <c r="L33" t="s">
        <v>69</v>
      </c>
      <c r="M33" t="s">
        <v>25</v>
      </c>
    </row>
    <row r="34" spans="1:13">
      <c r="A34" t="s">
        <v>114</v>
      </c>
      <c r="B34" t="s">
        <v>115</v>
      </c>
      <c r="C34" t="s">
        <v>27</v>
      </c>
      <c r="D34" t="s">
        <v>16</v>
      </c>
      <c r="E34" t="s">
        <v>36</v>
      </c>
      <c r="F34" t="s">
        <v>18</v>
      </c>
      <c r="G34" t="s">
        <v>107</v>
      </c>
      <c r="H34" t="s">
        <v>38</v>
      </c>
      <c r="I34" t="s">
        <v>108</v>
      </c>
      <c r="J34" t="s">
        <v>22</v>
      </c>
      <c r="K34" t="s">
        <v>23</v>
      </c>
      <c r="L34" t="s">
        <v>109</v>
      </c>
      <c r="M34" t="s">
        <v>25</v>
      </c>
    </row>
    <row r="35" spans="1:13">
      <c r="A35" t="s">
        <v>116</v>
      </c>
      <c r="B35" t="s">
        <v>115</v>
      </c>
      <c r="C35" t="s">
        <v>34</v>
      </c>
      <c r="D35" t="s">
        <v>42</v>
      </c>
      <c r="E35" t="s">
        <v>56</v>
      </c>
      <c r="F35" t="s">
        <v>65</v>
      </c>
      <c r="G35" t="s">
        <v>66</v>
      </c>
      <c r="H35" t="s">
        <v>67</v>
      </c>
      <c r="I35" t="s">
        <v>68</v>
      </c>
      <c r="J35" t="s">
        <v>30</v>
      </c>
      <c r="K35" t="s">
        <v>23</v>
      </c>
      <c r="L35" t="s">
        <v>69</v>
      </c>
      <c r="M35" t="s">
        <v>25</v>
      </c>
    </row>
    <row r="36" spans="1:13">
      <c r="A36" t="s">
        <v>117</v>
      </c>
      <c r="B36" t="s">
        <v>118</v>
      </c>
      <c r="C36" t="s">
        <v>34</v>
      </c>
      <c r="D36" t="s">
        <v>42</v>
      </c>
      <c r="E36" t="s">
        <v>43</v>
      </c>
      <c r="F36" t="s">
        <v>18</v>
      </c>
      <c r="G36" t="s">
        <v>50</v>
      </c>
      <c r="H36" t="s">
        <v>45</v>
      </c>
      <c r="I36" t="s">
        <v>29</v>
      </c>
      <c r="J36" t="s">
        <v>30</v>
      </c>
      <c r="K36" t="s">
        <v>31</v>
      </c>
      <c r="L36" t="s">
        <v>51</v>
      </c>
      <c r="M36" t="s">
        <v>25</v>
      </c>
    </row>
    <row r="37" spans="1:13">
      <c r="A37" t="s">
        <v>119</v>
      </c>
      <c r="B37" t="s">
        <v>118</v>
      </c>
      <c r="C37" t="s">
        <v>49</v>
      </c>
      <c r="D37" t="s">
        <v>53</v>
      </c>
      <c r="E37" t="s">
        <v>86</v>
      </c>
      <c r="F37" t="s">
        <v>65</v>
      </c>
      <c r="G37" t="s">
        <v>120</v>
      </c>
      <c r="H37" t="s">
        <v>88</v>
      </c>
      <c r="I37" t="s">
        <v>121</v>
      </c>
      <c r="J37" t="s">
        <v>30</v>
      </c>
      <c r="K37" t="s">
        <v>23</v>
      </c>
      <c r="L37" t="s">
        <v>122</v>
      </c>
      <c r="M37" t="s">
        <v>25</v>
      </c>
    </row>
    <row r="38" spans="1:13">
      <c r="A38" t="s">
        <v>123</v>
      </c>
      <c r="B38" t="s">
        <v>118</v>
      </c>
      <c r="C38" t="s">
        <v>34</v>
      </c>
      <c r="D38" t="s">
        <v>16</v>
      </c>
      <c r="E38" t="s">
        <v>17</v>
      </c>
      <c r="F38" t="s">
        <v>65</v>
      </c>
      <c r="G38" t="s">
        <v>107</v>
      </c>
      <c r="H38" t="s">
        <v>46</v>
      </c>
      <c r="I38" t="s">
        <v>124</v>
      </c>
      <c r="J38" t="s">
        <v>22</v>
      </c>
      <c r="K38" t="s">
        <v>23</v>
      </c>
      <c r="L38" t="s">
        <v>125</v>
      </c>
      <c r="M38" t="s">
        <v>25</v>
      </c>
    </row>
    <row r="39" spans="1:13">
      <c r="A39" t="s">
        <v>126</v>
      </c>
      <c r="B39" t="s">
        <v>127</v>
      </c>
      <c r="C39" t="s">
        <v>34</v>
      </c>
      <c r="D39" t="s">
        <v>42</v>
      </c>
      <c r="E39" t="s">
        <v>17</v>
      </c>
      <c r="F39" t="s">
        <v>18</v>
      </c>
      <c r="G39" t="s">
        <v>28</v>
      </c>
      <c r="H39" t="s">
        <v>20</v>
      </c>
      <c r="I39" t="s">
        <v>29</v>
      </c>
      <c r="J39" t="s">
        <v>22</v>
      </c>
      <c r="K39" t="s">
        <v>23</v>
      </c>
      <c r="L39" t="s">
        <v>32</v>
      </c>
      <c r="M39" t="s">
        <v>25</v>
      </c>
    </row>
    <row r="40" spans="1:13">
      <c r="A40" t="s">
        <v>128</v>
      </c>
      <c r="B40" t="s">
        <v>127</v>
      </c>
      <c r="C40" t="s">
        <v>49</v>
      </c>
      <c r="D40" t="s">
        <v>16</v>
      </c>
      <c r="E40" t="s">
        <v>86</v>
      </c>
      <c r="F40" t="s">
        <v>18</v>
      </c>
      <c r="G40" t="s">
        <v>129</v>
      </c>
      <c r="H40" t="s">
        <v>46</v>
      </c>
      <c r="I40" t="s">
        <v>130</v>
      </c>
      <c r="J40" t="s">
        <v>30</v>
      </c>
      <c r="K40" t="s">
        <v>23</v>
      </c>
      <c r="L40" t="s">
        <v>131</v>
      </c>
      <c r="M40" t="s">
        <v>25</v>
      </c>
    </row>
    <row r="41" spans="1:13">
      <c r="A41" t="s">
        <v>132</v>
      </c>
      <c r="B41" t="s">
        <v>127</v>
      </c>
      <c r="C41" t="s">
        <v>27</v>
      </c>
      <c r="D41" t="s">
        <v>16</v>
      </c>
      <c r="E41" t="s">
        <v>56</v>
      </c>
      <c r="F41" t="s">
        <v>18</v>
      </c>
      <c r="G41" t="s">
        <v>38</v>
      </c>
      <c r="H41" t="s">
        <v>58</v>
      </c>
      <c r="I41" t="s">
        <v>94</v>
      </c>
      <c r="J41" t="s">
        <v>30</v>
      </c>
      <c r="K41" t="s">
        <v>23</v>
      </c>
      <c r="L41" t="s">
        <v>69</v>
      </c>
      <c r="M41" t="s">
        <v>25</v>
      </c>
    </row>
    <row r="42" spans="1:13">
      <c r="A42" t="s">
        <v>133</v>
      </c>
      <c r="B42" t="s">
        <v>127</v>
      </c>
      <c r="C42" t="s">
        <v>27</v>
      </c>
      <c r="D42" t="s">
        <v>42</v>
      </c>
      <c r="E42" t="s">
        <v>17</v>
      </c>
      <c r="F42" t="s">
        <v>18</v>
      </c>
      <c r="G42" t="s">
        <v>28</v>
      </c>
      <c r="H42" t="s">
        <v>20</v>
      </c>
      <c r="I42" t="s">
        <v>29</v>
      </c>
      <c r="J42" t="s">
        <v>30</v>
      </c>
      <c r="K42" t="s">
        <v>23</v>
      </c>
      <c r="L42" t="s">
        <v>32</v>
      </c>
      <c r="M42" t="s">
        <v>25</v>
      </c>
    </row>
    <row r="43" spans="1:13">
      <c r="A43" t="s">
        <v>134</v>
      </c>
      <c r="B43" t="s">
        <v>127</v>
      </c>
      <c r="C43" t="s">
        <v>49</v>
      </c>
      <c r="D43" t="s">
        <v>42</v>
      </c>
      <c r="E43" t="s">
        <v>86</v>
      </c>
      <c r="F43" t="s">
        <v>65</v>
      </c>
      <c r="G43" t="s">
        <v>87</v>
      </c>
      <c r="H43" t="s">
        <v>88</v>
      </c>
      <c r="I43" t="s">
        <v>89</v>
      </c>
      <c r="J43" t="s">
        <v>22</v>
      </c>
      <c r="K43" t="s">
        <v>23</v>
      </c>
      <c r="L43" t="s">
        <v>90</v>
      </c>
      <c r="M43" t="s">
        <v>25</v>
      </c>
    </row>
    <row r="44" spans="1:13">
      <c r="A44" t="s">
        <v>135</v>
      </c>
      <c r="B44" t="s">
        <v>127</v>
      </c>
      <c r="C44" t="s">
        <v>27</v>
      </c>
      <c r="D44" t="s">
        <v>42</v>
      </c>
      <c r="E44" t="s">
        <v>56</v>
      </c>
      <c r="F44" t="s">
        <v>18</v>
      </c>
      <c r="G44" t="s">
        <v>38</v>
      </c>
      <c r="H44" t="s">
        <v>58</v>
      </c>
      <c r="I44" t="s">
        <v>94</v>
      </c>
      <c r="J44" t="s">
        <v>30</v>
      </c>
      <c r="K44" t="s">
        <v>31</v>
      </c>
      <c r="L44" t="s">
        <v>69</v>
      </c>
      <c r="M44" t="s">
        <v>25</v>
      </c>
    </row>
    <row r="45" spans="1:13">
      <c r="A45" t="s">
        <v>136</v>
      </c>
      <c r="B45" t="s">
        <v>137</v>
      </c>
      <c r="C45" t="s">
        <v>49</v>
      </c>
      <c r="D45" t="s">
        <v>42</v>
      </c>
      <c r="E45" t="s">
        <v>86</v>
      </c>
      <c r="F45" t="s">
        <v>65</v>
      </c>
      <c r="G45" t="s">
        <v>87</v>
      </c>
      <c r="H45" t="s">
        <v>88</v>
      </c>
      <c r="I45" t="s">
        <v>89</v>
      </c>
      <c r="J45" t="s">
        <v>62</v>
      </c>
      <c r="K45" t="s">
        <v>23</v>
      </c>
      <c r="L45" t="s">
        <v>90</v>
      </c>
      <c r="M45" t="s">
        <v>25</v>
      </c>
    </row>
    <row r="46" spans="1:13">
      <c r="A46" t="s">
        <v>138</v>
      </c>
      <c r="B46" t="s">
        <v>137</v>
      </c>
      <c r="C46" t="s">
        <v>34</v>
      </c>
      <c r="D46" t="s">
        <v>16</v>
      </c>
      <c r="E46" t="s">
        <v>86</v>
      </c>
      <c r="F46" t="s">
        <v>65</v>
      </c>
      <c r="G46" t="s">
        <v>87</v>
      </c>
      <c r="H46" t="s">
        <v>88</v>
      </c>
      <c r="I46" t="s">
        <v>89</v>
      </c>
      <c r="J46" t="s">
        <v>62</v>
      </c>
      <c r="K46" t="s">
        <v>31</v>
      </c>
      <c r="L46" t="s">
        <v>90</v>
      </c>
      <c r="M46" t="s">
        <v>25</v>
      </c>
    </row>
    <row r="47" spans="1:13">
      <c r="A47" t="s">
        <v>139</v>
      </c>
      <c r="B47" t="s">
        <v>137</v>
      </c>
      <c r="C47" t="s">
        <v>49</v>
      </c>
      <c r="D47" t="s">
        <v>42</v>
      </c>
      <c r="E47" t="s">
        <v>56</v>
      </c>
      <c r="F47" t="s">
        <v>140</v>
      </c>
      <c r="G47" t="s">
        <v>141</v>
      </c>
      <c r="H47" t="s">
        <v>142</v>
      </c>
      <c r="I47" t="s">
        <v>143</v>
      </c>
      <c r="J47" t="s">
        <v>30</v>
      </c>
      <c r="K47" t="s">
        <v>31</v>
      </c>
      <c r="L47" t="s">
        <v>69</v>
      </c>
      <c r="M47" t="s">
        <v>25</v>
      </c>
    </row>
    <row r="48" spans="1:13">
      <c r="A48" t="s">
        <v>144</v>
      </c>
      <c r="B48" t="s">
        <v>137</v>
      </c>
      <c r="C48" t="s">
        <v>27</v>
      </c>
      <c r="D48" t="s">
        <v>53</v>
      </c>
      <c r="E48" t="s">
        <v>43</v>
      </c>
      <c r="F48" t="s">
        <v>65</v>
      </c>
      <c r="G48" t="s">
        <v>145</v>
      </c>
      <c r="H48" t="s">
        <v>146</v>
      </c>
      <c r="I48" t="s">
        <v>97</v>
      </c>
      <c r="J48" t="s">
        <v>30</v>
      </c>
      <c r="K48" t="s">
        <v>23</v>
      </c>
      <c r="L48" t="s">
        <v>51</v>
      </c>
      <c r="M48" t="s">
        <v>25</v>
      </c>
    </row>
    <row r="49" spans="1:13">
      <c r="A49" t="s">
        <v>147</v>
      </c>
      <c r="B49" t="s">
        <v>137</v>
      </c>
      <c r="C49" t="s">
        <v>49</v>
      </c>
      <c r="D49" t="s">
        <v>53</v>
      </c>
      <c r="E49" t="s">
        <v>17</v>
      </c>
      <c r="F49" t="s">
        <v>18</v>
      </c>
      <c r="G49" t="s">
        <v>28</v>
      </c>
      <c r="H49" t="s">
        <v>20</v>
      </c>
      <c r="I49" t="s">
        <v>29</v>
      </c>
      <c r="J49" t="s">
        <v>30</v>
      </c>
      <c r="K49" t="s">
        <v>31</v>
      </c>
      <c r="L49" t="s">
        <v>32</v>
      </c>
      <c r="M49" t="s">
        <v>25</v>
      </c>
    </row>
    <row r="50" spans="1:13">
      <c r="A50" t="s">
        <v>148</v>
      </c>
      <c r="B50" t="s">
        <v>149</v>
      </c>
      <c r="C50" t="s">
        <v>15</v>
      </c>
      <c r="D50" t="s">
        <v>53</v>
      </c>
      <c r="E50" t="s">
        <v>17</v>
      </c>
      <c r="F50" t="s">
        <v>18</v>
      </c>
      <c r="G50" t="s">
        <v>28</v>
      </c>
      <c r="H50" t="s">
        <v>20</v>
      </c>
      <c r="I50" t="s">
        <v>29</v>
      </c>
      <c r="J50" t="s">
        <v>30</v>
      </c>
      <c r="K50" t="s">
        <v>31</v>
      </c>
      <c r="L50" t="s">
        <v>32</v>
      </c>
      <c r="M50" t="s">
        <v>25</v>
      </c>
    </row>
    <row r="51" spans="1:13">
      <c r="A51" t="s">
        <v>150</v>
      </c>
      <c r="B51" t="s">
        <v>149</v>
      </c>
      <c r="C51" t="s">
        <v>15</v>
      </c>
      <c r="D51" t="s">
        <v>42</v>
      </c>
      <c r="E51" t="s">
        <v>86</v>
      </c>
      <c r="F51" t="s">
        <v>18</v>
      </c>
      <c r="G51" t="s">
        <v>151</v>
      </c>
      <c r="H51" t="s">
        <v>46</v>
      </c>
      <c r="I51" t="s">
        <v>152</v>
      </c>
      <c r="J51" t="s">
        <v>30</v>
      </c>
      <c r="K51" t="s">
        <v>23</v>
      </c>
      <c r="L51" t="s">
        <v>90</v>
      </c>
      <c r="M51" t="s">
        <v>25</v>
      </c>
    </row>
    <row r="52" spans="1:13">
      <c r="A52" t="s">
        <v>153</v>
      </c>
      <c r="B52" t="s">
        <v>149</v>
      </c>
      <c r="C52" t="s">
        <v>27</v>
      </c>
      <c r="D52" t="s">
        <v>42</v>
      </c>
      <c r="E52" t="s">
        <v>43</v>
      </c>
      <c r="F52" t="s">
        <v>18</v>
      </c>
      <c r="G52" t="s">
        <v>44</v>
      </c>
      <c r="H52" t="s">
        <v>45</v>
      </c>
      <c r="I52" t="s">
        <v>46</v>
      </c>
      <c r="J52" t="s">
        <v>30</v>
      </c>
      <c r="K52" t="s">
        <v>31</v>
      </c>
      <c r="L52" t="s">
        <v>47</v>
      </c>
      <c r="M52" t="s">
        <v>25</v>
      </c>
    </row>
    <row r="53" spans="1:13">
      <c r="A53" t="s">
        <v>154</v>
      </c>
      <c r="B53" t="s">
        <v>149</v>
      </c>
      <c r="C53" t="s">
        <v>34</v>
      </c>
      <c r="D53" t="s">
        <v>53</v>
      </c>
      <c r="E53" t="s">
        <v>56</v>
      </c>
      <c r="F53" t="s">
        <v>18</v>
      </c>
      <c r="G53" t="s">
        <v>107</v>
      </c>
      <c r="H53" t="s">
        <v>58</v>
      </c>
      <c r="I53" t="s">
        <v>155</v>
      </c>
      <c r="J53" t="s">
        <v>62</v>
      </c>
      <c r="K53" t="s">
        <v>23</v>
      </c>
      <c r="L53" t="s">
        <v>156</v>
      </c>
      <c r="M53" t="s">
        <v>25</v>
      </c>
    </row>
    <row r="54" spans="1:13">
      <c r="A54" t="s">
        <v>157</v>
      </c>
      <c r="B54" t="s">
        <v>158</v>
      </c>
      <c r="C54" t="s">
        <v>49</v>
      </c>
      <c r="D54" t="s">
        <v>16</v>
      </c>
      <c r="E54" t="s">
        <v>36</v>
      </c>
      <c r="F54" t="s">
        <v>18</v>
      </c>
      <c r="G54" t="s">
        <v>37</v>
      </c>
      <c r="H54" t="s">
        <v>38</v>
      </c>
      <c r="I54" t="s">
        <v>20</v>
      </c>
      <c r="J54" t="s">
        <v>22</v>
      </c>
      <c r="K54" t="s">
        <v>23</v>
      </c>
      <c r="L54" t="s">
        <v>39</v>
      </c>
      <c r="M54" t="s">
        <v>25</v>
      </c>
    </row>
    <row r="55" spans="1:13">
      <c r="A55" t="s">
        <v>159</v>
      </c>
      <c r="B55" t="s">
        <v>160</v>
      </c>
      <c r="C55" t="s">
        <v>49</v>
      </c>
      <c r="D55" t="s">
        <v>53</v>
      </c>
      <c r="E55" t="s">
        <v>43</v>
      </c>
      <c r="F55" t="s">
        <v>18</v>
      </c>
      <c r="G55" t="s">
        <v>50</v>
      </c>
      <c r="H55" t="s">
        <v>45</v>
      </c>
      <c r="I55" t="s">
        <v>29</v>
      </c>
      <c r="J55" t="s">
        <v>22</v>
      </c>
      <c r="K55" t="s">
        <v>23</v>
      </c>
      <c r="L55" t="s">
        <v>51</v>
      </c>
      <c r="M55" t="s">
        <v>25</v>
      </c>
    </row>
    <row r="56" spans="1:13">
      <c r="A56" t="s">
        <v>161</v>
      </c>
      <c r="B56" t="s">
        <v>160</v>
      </c>
      <c r="C56" t="s">
        <v>49</v>
      </c>
      <c r="D56" t="s">
        <v>53</v>
      </c>
      <c r="E56" t="s">
        <v>17</v>
      </c>
      <c r="F56" t="s">
        <v>18</v>
      </c>
      <c r="G56" t="s">
        <v>19</v>
      </c>
      <c r="H56" t="s">
        <v>20</v>
      </c>
      <c r="I56" t="s">
        <v>21</v>
      </c>
      <c r="J56" t="s">
        <v>30</v>
      </c>
      <c r="K56" t="s">
        <v>31</v>
      </c>
      <c r="L56" t="s">
        <v>24</v>
      </c>
      <c r="M56" t="s">
        <v>25</v>
      </c>
    </row>
    <row r="57" spans="1:13">
      <c r="A57" t="s">
        <v>162</v>
      </c>
      <c r="B57" t="s">
        <v>163</v>
      </c>
      <c r="C57" t="s">
        <v>34</v>
      </c>
      <c r="D57" t="s">
        <v>53</v>
      </c>
      <c r="E57" t="s">
        <v>36</v>
      </c>
      <c r="F57" t="s">
        <v>18</v>
      </c>
      <c r="G57" t="s">
        <v>37</v>
      </c>
      <c r="H57" t="s">
        <v>38</v>
      </c>
      <c r="I57" t="s">
        <v>20</v>
      </c>
      <c r="J57" t="s">
        <v>22</v>
      </c>
      <c r="K57" t="s">
        <v>23</v>
      </c>
      <c r="L57" t="s">
        <v>39</v>
      </c>
      <c r="M57" t="s">
        <v>25</v>
      </c>
    </row>
    <row r="58" spans="1:13">
      <c r="A58" t="s">
        <v>164</v>
      </c>
      <c r="B58" t="s">
        <v>163</v>
      </c>
      <c r="C58" t="s">
        <v>15</v>
      </c>
      <c r="D58" t="s">
        <v>53</v>
      </c>
      <c r="E58" t="s">
        <v>17</v>
      </c>
      <c r="F58" t="s">
        <v>65</v>
      </c>
      <c r="G58" t="s">
        <v>38</v>
      </c>
      <c r="H58" t="s">
        <v>46</v>
      </c>
      <c r="I58" t="s">
        <v>97</v>
      </c>
      <c r="J58" t="s">
        <v>30</v>
      </c>
      <c r="K58" t="s">
        <v>23</v>
      </c>
      <c r="L58" t="s">
        <v>32</v>
      </c>
      <c r="M58" t="s">
        <v>25</v>
      </c>
    </row>
    <row r="59" spans="1:13">
      <c r="A59" t="s">
        <v>165</v>
      </c>
      <c r="B59" t="s">
        <v>163</v>
      </c>
      <c r="C59" t="s">
        <v>34</v>
      </c>
      <c r="D59" t="s">
        <v>16</v>
      </c>
      <c r="E59" t="s">
        <v>86</v>
      </c>
      <c r="F59" t="s">
        <v>18</v>
      </c>
      <c r="G59" t="s">
        <v>151</v>
      </c>
      <c r="H59" t="s">
        <v>46</v>
      </c>
      <c r="I59" t="s">
        <v>152</v>
      </c>
      <c r="J59" t="s">
        <v>30</v>
      </c>
      <c r="K59" t="s">
        <v>23</v>
      </c>
      <c r="L59" t="s">
        <v>90</v>
      </c>
      <c r="M59" t="s">
        <v>25</v>
      </c>
    </row>
    <row r="60" spans="1:13">
      <c r="A60" t="s">
        <v>166</v>
      </c>
      <c r="B60" t="s">
        <v>163</v>
      </c>
      <c r="C60" t="s">
        <v>27</v>
      </c>
      <c r="D60" t="s">
        <v>53</v>
      </c>
      <c r="E60" t="s">
        <v>43</v>
      </c>
      <c r="F60" t="s">
        <v>18</v>
      </c>
      <c r="G60" t="s">
        <v>50</v>
      </c>
      <c r="H60" t="s">
        <v>45</v>
      </c>
      <c r="I60" t="s">
        <v>29</v>
      </c>
      <c r="J60" t="s">
        <v>22</v>
      </c>
      <c r="K60" t="s">
        <v>31</v>
      </c>
      <c r="L60" t="s">
        <v>51</v>
      </c>
      <c r="M60" t="s">
        <v>25</v>
      </c>
    </row>
    <row r="61" spans="1:13">
      <c r="A61" t="s">
        <v>167</v>
      </c>
      <c r="B61" t="s">
        <v>163</v>
      </c>
      <c r="C61" t="s">
        <v>15</v>
      </c>
      <c r="D61" t="s">
        <v>53</v>
      </c>
      <c r="E61" t="s">
        <v>43</v>
      </c>
      <c r="F61" t="s">
        <v>18</v>
      </c>
      <c r="G61" t="s">
        <v>50</v>
      </c>
      <c r="H61" t="s">
        <v>45</v>
      </c>
      <c r="I61" t="s">
        <v>29</v>
      </c>
      <c r="J61" t="s">
        <v>22</v>
      </c>
      <c r="K61" t="s">
        <v>23</v>
      </c>
      <c r="L61" t="s">
        <v>51</v>
      </c>
      <c r="M61" t="s">
        <v>25</v>
      </c>
    </row>
    <row r="62" spans="1:13">
      <c r="A62" t="s">
        <v>168</v>
      </c>
      <c r="B62" t="s">
        <v>169</v>
      </c>
      <c r="C62" t="s">
        <v>15</v>
      </c>
      <c r="D62" t="s">
        <v>16</v>
      </c>
      <c r="E62" t="s">
        <v>36</v>
      </c>
      <c r="F62" t="s">
        <v>18</v>
      </c>
      <c r="G62" t="s">
        <v>37</v>
      </c>
      <c r="H62" t="s">
        <v>38</v>
      </c>
      <c r="I62" t="s">
        <v>20</v>
      </c>
      <c r="J62" t="s">
        <v>62</v>
      </c>
      <c r="K62" t="s">
        <v>31</v>
      </c>
      <c r="L62" t="s">
        <v>39</v>
      </c>
      <c r="M62" t="s">
        <v>25</v>
      </c>
    </row>
    <row r="63" spans="1:13">
      <c r="A63" t="s">
        <v>170</v>
      </c>
      <c r="B63" t="s">
        <v>169</v>
      </c>
      <c r="C63" t="s">
        <v>15</v>
      </c>
      <c r="D63" t="s">
        <v>16</v>
      </c>
      <c r="E63" t="s">
        <v>36</v>
      </c>
      <c r="F63" t="s">
        <v>18</v>
      </c>
      <c r="G63" t="s">
        <v>37</v>
      </c>
      <c r="H63" t="s">
        <v>38</v>
      </c>
      <c r="I63" t="s">
        <v>20</v>
      </c>
      <c r="J63" t="s">
        <v>62</v>
      </c>
      <c r="K63" t="s">
        <v>31</v>
      </c>
      <c r="L63" t="s">
        <v>39</v>
      </c>
      <c r="M63" t="s">
        <v>25</v>
      </c>
    </row>
    <row r="64" spans="1:13">
      <c r="A64" t="s">
        <v>171</v>
      </c>
      <c r="B64" t="s">
        <v>169</v>
      </c>
      <c r="C64" t="s">
        <v>27</v>
      </c>
      <c r="D64" t="s">
        <v>16</v>
      </c>
      <c r="E64" t="s">
        <v>86</v>
      </c>
      <c r="F64" t="s">
        <v>18</v>
      </c>
      <c r="G64" t="s">
        <v>151</v>
      </c>
      <c r="H64" t="s">
        <v>46</v>
      </c>
      <c r="I64" t="s">
        <v>152</v>
      </c>
      <c r="J64" t="s">
        <v>22</v>
      </c>
      <c r="K64" t="s">
        <v>23</v>
      </c>
      <c r="L64" t="s">
        <v>90</v>
      </c>
      <c r="M64" t="s">
        <v>25</v>
      </c>
    </row>
    <row r="65" spans="1:13">
      <c r="A65" t="s">
        <v>172</v>
      </c>
      <c r="B65" t="s">
        <v>169</v>
      </c>
      <c r="C65" t="s">
        <v>34</v>
      </c>
      <c r="D65" t="s">
        <v>16</v>
      </c>
      <c r="E65" t="s">
        <v>43</v>
      </c>
      <c r="F65" t="s">
        <v>65</v>
      </c>
      <c r="G65" t="s">
        <v>141</v>
      </c>
      <c r="H65" t="s">
        <v>146</v>
      </c>
      <c r="I65" t="s">
        <v>20</v>
      </c>
      <c r="J65" t="s">
        <v>22</v>
      </c>
      <c r="K65" t="s">
        <v>23</v>
      </c>
      <c r="L65" t="s">
        <v>74</v>
      </c>
      <c r="M65" t="s">
        <v>25</v>
      </c>
    </row>
    <row r="66" spans="1:13">
      <c r="A66" t="s">
        <v>173</v>
      </c>
      <c r="B66" t="s">
        <v>174</v>
      </c>
      <c r="C66" t="s">
        <v>15</v>
      </c>
      <c r="D66" t="s">
        <v>42</v>
      </c>
      <c r="E66" t="s">
        <v>56</v>
      </c>
      <c r="F66" t="s">
        <v>65</v>
      </c>
      <c r="G66" t="s">
        <v>175</v>
      </c>
      <c r="H66" t="s">
        <v>67</v>
      </c>
      <c r="I66" t="s">
        <v>176</v>
      </c>
      <c r="J66" t="s">
        <v>62</v>
      </c>
      <c r="K66" t="s">
        <v>23</v>
      </c>
      <c r="L66" t="s">
        <v>156</v>
      </c>
      <c r="M66" t="s">
        <v>25</v>
      </c>
    </row>
    <row r="67" spans="1:13">
      <c r="A67" t="s">
        <v>177</v>
      </c>
      <c r="B67" t="s">
        <v>174</v>
      </c>
      <c r="C67" t="s">
        <v>34</v>
      </c>
      <c r="D67" t="s">
        <v>53</v>
      </c>
      <c r="E67" t="s">
        <v>56</v>
      </c>
      <c r="F67" t="s">
        <v>18</v>
      </c>
      <c r="G67" t="s">
        <v>38</v>
      </c>
      <c r="H67" t="s">
        <v>58</v>
      </c>
      <c r="I67" t="s">
        <v>94</v>
      </c>
      <c r="J67" t="s">
        <v>30</v>
      </c>
      <c r="K67" t="s">
        <v>31</v>
      </c>
      <c r="L67" t="s">
        <v>69</v>
      </c>
      <c r="M67" t="s">
        <v>25</v>
      </c>
    </row>
    <row r="68" spans="1:13">
      <c r="A68" t="s">
        <v>178</v>
      </c>
      <c r="B68" t="s">
        <v>174</v>
      </c>
      <c r="C68" t="s">
        <v>34</v>
      </c>
      <c r="D68" t="s">
        <v>42</v>
      </c>
      <c r="E68" t="s">
        <v>43</v>
      </c>
      <c r="F68" t="s">
        <v>18</v>
      </c>
      <c r="G68" t="s">
        <v>50</v>
      </c>
      <c r="H68" t="s">
        <v>45</v>
      </c>
      <c r="I68" t="s">
        <v>29</v>
      </c>
      <c r="J68" t="s">
        <v>30</v>
      </c>
      <c r="K68" t="s">
        <v>31</v>
      </c>
      <c r="L68" t="s">
        <v>51</v>
      </c>
      <c r="M68" t="s">
        <v>25</v>
      </c>
    </row>
    <row r="69" spans="1:13">
      <c r="A69" t="s">
        <v>179</v>
      </c>
      <c r="B69" t="s">
        <v>174</v>
      </c>
      <c r="C69" t="s">
        <v>27</v>
      </c>
      <c r="D69" t="s">
        <v>42</v>
      </c>
      <c r="E69" t="s">
        <v>43</v>
      </c>
      <c r="F69" t="s">
        <v>18</v>
      </c>
      <c r="G69" t="s">
        <v>50</v>
      </c>
      <c r="H69" t="s">
        <v>45</v>
      </c>
      <c r="I69" t="s">
        <v>29</v>
      </c>
      <c r="J69" t="s">
        <v>30</v>
      </c>
      <c r="K69" t="s">
        <v>31</v>
      </c>
      <c r="L69" t="s">
        <v>51</v>
      </c>
      <c r="M69" t="s">
        <v>25</v>
      </c>
    </row>
    <row r="70" spans="1:13">
      <c r="A70" t="s">
        <v>180</v>
      </c>
      <c r="B70" t="s">
        <v>181</v>
      </c>
      <c r="C70" t="s">
        <v>34</v>
      </c>
      <c r="D70" t="s">
        <v>42</v>
      </c>
      <c r="E70" t="s">
        <v>43</v>
      </c>
      <c r="F70" t="s">
        <v>18</v>
      </c>
      <c r="G70" t="s">
        <v>50</v>
      </c>
      <c r="H70" t="s">
        <v>45</v>
      </c>
      <c r="I70" t="s">
        <v>29</v>
      </c>
      <c r="J70" t="s">
        <v>30</v>
      </c>
      <c r="K70" t="s">
        <v>23</v>
      </c>
      <c r="L70" t="s">
        <v>51</v>
      </c>
      <c r="M70" t="s">
        <v>25</v>
      </c>
    </row>
    <row r="71" spans="1:13">
      <c r="A71" t="s">
        <v>182</v>
      </c>
      <c r="B71" t="s">
        <v>181</v>
      </c>
      <c r="C71" t="s">
        <v>34</v>
      </c>
      <c r="D71" t="s">
        <v>42</v>
      </c>
      <c r="E71" t="s">
        <v>43</v>
      </c>
      <c r="F71" t="s">
        <v>18</v>
      </c>
      <c r="G71" t="s">
        <v>50</v>
      </c>
      <c r="H71" t="s">
        <v>45</v>
      </c>
      <c r="I71" t="s">
        <v>29</v>
      </c>
      <c r="J71" t="s">
        <v>62</v>
      </c>
      <c r="K71" t="s">
        <v>23</v>
      </c>
      <c r="L71" t="s">
        <v>51</v>
      </c>
      <c r="M71" t="s">
        <v>25</v>
      </c>
    </row>
    <row r="72" spans="1:13">
      <c r="A72" t="s">
        <v>183</v>
      </c>
      <c r="B72" t="s">
        <v>181</v>
      </c>
      <c r="C72" t="s">
        <v>27</v>
      </c>
      <c r="D72" t="s">
        <v>16</v>
      </c>
      <c r="E72" t="s">
        <v>43</v>
      </c>
      <c r="F72" t="s">
        <v>18</v>
      </c>
      <c r="G72" t="s">
        <v>50</v>
      </c>
      <c r="H72" t="s">
        <v>45</v>
      </c>
      <c r="I72" t="s">
        <v>29</v>
      </c>
      <c r="J72" t="s">
        <v>62</v>
      </c>
      <c r="K72" t="s">
        <v>31</v>
      </c>
      <c r="L72" t="s">
        <v>51</v>
      </c>
      <c r="M72" t="s">
        <v>25</v>
      </c>
    </row>
    <row r="73" spans="1:13">
      <c r="A73" t="s">
        <v>184</v>
      </c>
      <c r="B73" t="s">
        <v>185</v>
      </c>
      <c r="C73" t="s">
        <v>15</v>
      </c>
      <c r="D73" t="s">
        <v>53</v>
      </c>
      <c r="E73" t="s">
        <v>43</v>
      </c>
      <c r="F73" t="s">
        <v>65</v>
      </c>
      <c r="G73" t="s">
        <v>141</v>
      </c>
      <c r="H73" t="s">
        <v>146</v>
      </c>
      <c r="I73" t="s">
        <v>20</v>
      </c>
      <c r="J73" t="s">
        <v>30</v>
      </c>
      <c r="K73" t="s">
        <v>31</v>
      </c>
      <c r="L73" t="s">
        <v>74</v>
      </c>
      <c r="M73" t="s">
        <v>25</v>
      </c>
    </row>
    <row r="74" spans="1:13">
      <c r="A74" t="s">
        <v>186</v>
      </c>
      <c r="B74" t="s">
        <v>187</v>
      </c>
      <c r="C74" t="s">
        <v>34</v>
      </c>
      <c r="D74" t="s">
        <v>16</v>
      </c>
      <c r="E74" t="s">
        <v>43</v>
      </c>
      <c r="F74" t="s">
        <v>18</v>
      </c>
      <c r="G74" t="s">
        <v>72</v>
      </c>
      <c r="H74" t="s">
        <v>45</v>
      </c>
      <c r="I74" t="s">
        <v>73</v>
      </c>
      <c r="J74" t="s">
        <v>22</v>
      </c>
      <c r="K74" t="s">
        <v>31</v>
      </c>
      <c r="L74" t="s">
        <v>74</v>
      </c>
      <c r="M74" t="s">
        <v>25</v>
      </c>
    </row>
    <row r="75" spans="1:13">
      <c r="A75" t="s">
        <v>188</v>
      </c>
      <c r="B75" t="s">
        <v>187</v>
      </c>
      <c r="C75" t="s">
        <v>34</v>
      </c>
      <c r="D75" t="s">
        <v>16</v>
      </c>
      <c r="E75" t="s">
        <v>43</v>
      </c>
      <c r="F75" t="s">
        <v>18</v>
      </c>
      <c r="G75" t="s">
        <v>72</v>
      </c>
      <c r="H75" t="s">
        <v>45</v>
      </c>
      <c r="I75" t="s">
        <v>73</v>
      </c>
      <c r="J75" t="s">
        <v>30</v>
      </c>
      <c r="K75" t="s">
        <v>31</v>
      </c>
      <c r="L75" t="s">
        <v>74</v>
      </c>
      <c r="M75" t="s">
        <v>25</v>
      </c>
    </row>
    <row r="76" spans="1:13">
      <c r="A76" t="s">
        <v>189</v>
      </c>
      <c r="B76" t="s">
        <v>187</v>
      </c>
      <c r="C76" t="s">
        <v>49</v>
      </c>
      <c r="D76" t="s">
        <v>42</v>
      </c>
      <c r="E76" t="s">
        <v>17</v>
      </c>
      <c r="F76" t="s">
        <v>18</v>
      </c>
      <c r="G76" t="s">
        <v>190</v>
      </c>
      <c r="H76" t="s">
        <v>20</v>
      </c>
      <c r="I76" t="s">
        <v>191</v>
      </c>
      <c r="J76" t="s">
        <v>22</v>
      </c>
      <c r="K76" t="s">
        <v>23</v>
      </c>
      <c r="L76" t="s">
        <v>125</v>
      </c>
      <c r="M76" t="s">
        <v>25</v>
      </c>
    </row>
    <row r="77" spans="1:13">
      <c r="A77" t="s">
        <v>192</v>
      </c>
      <c r="B77" t="s">
        <v>187</v>
      </c>
      <c r="C77" t="s">
        <v>15</v>
      </c>
      <c r="D77" t="s">
        <v>16</v>
      </c>
      <c r="E77" t="s">
        <v>56</v>
      </c>
      <c r="F77" t="s">
        <v>18</v>
      </c>
      <c r="G77" t="s">
        <v>57</v>
      </c>
      <c r="H77" t="s">
        <v>58</v>
      </c>
      <c r="I77" t="s">
        <v>59</v>
      </c>
      <c r="J77" t="s">
        <v>30</v>
      </c>
      <c r="K77" t="s">
        <v>31</v>
      </c>
      <c r="L77" t="s">
        <v>60</v>
      </c>
      <c r="M77" t="s">
        <v>25</v>
      </c>
    </row>
    <row r="78" spans="1:13">
      <c r="A78" t="s">
        <v>193</v>
      </c>
      <c r="B78" t="s">
        <v>194</v>
      </c>
      <c r="C78" t="s">
        <v>27</v>
      </c>
      <c r="D78" t="s">
        <v>42</v>
      </c>
      <c r="E78" t="s">
        <v>17</v>
      </c>
      <c r="F78" t="s">
        <v>18</v>
      </c>
      <c r="G78" t="s">
        <v>28</v>
      </c>
      <c r="H78" t="s">
        <v>20</v>
      </c>
      <c r="I78" t="s">
        <v>29</v>
      </c>
      <c r="J78" t="s">
        <v>22</v>
      </c>
      <c r="K78" t="s">
        <v>31</v>
      </c>
      <c r="L78" t="s">
        <v>32</v>
      </c>
      <c r="M78" t="s">
        <v>25</v>
      </c>
    </row>
    <row r="79" spans="1:13">
      <c r="A79" t="s">
        <v>195</v>
      </c>
      <c r="B79" t="s">
        <v>194</v>
      </c>
      <c r="C79" t="s">
        <v>15</v>
      </c>
      <c r="D79" t="s">
        <v>16</v>
      </c>
      <c r="E79" t="s">
        <v>17</v>
      </c>
      <c r="F79" t="s">
        <v>18</v>
      </c>
      <c r="G79" t="s">
        <v>28</v>
      </c>
      <c r="H79" t="s">
        <v>20</v>
      </c>
      <c r="I79" t="s">
        <v>29</v>
      </c>
      <c r="J79" t="s">
        <v>62</v>
      </c>
      <c r="K79" t="s">
        <v>31</v>
      </c>
      <c r="L79" t="s">
        <v>32</v>
      </c>
      <c r="M79" t="s">
        <v>25</v>
      </c>
    </row>
    <row r="80" spans="1:13">
      <c r="A80" t="s">
        <v>196</v>
      </c>
      <c r="B80" t="s">
        <v>194</v>
      </c>
      <c r="C80" t="s">
        <v>34</v>
      </c>
      <c r="D80" t="s">
        <v>42</v>
      </c>
      <c r="E80" t="s">
        <v>43</v>
      </c>
      <c r="F80" t="s">
        <v>140</v>
      </c>
      <c r="G80" t="s">
        <v>197</v>
      </c>
      <c r="H80" t="s">
        <v>198</v>
      </c>
      <c r="I80" t="s">
        <v>199</v>
      </c>
      <c r="J80" t="s">
        <v>62</v>
      </c>
      <c r="K80" t="s">
        <v>23</v>
      </c>
      <c r="L80" t="s">
        <v>51</v>
      </c>
      <c r="M80" t="s">
        <v>25</v>
      </c>
    </row>
    <row r="81" spans="1:13">
      <c r="A81" t="s">
        <v>200</v>
      </c>
      <c r="B81" t="s">
        <v>201</v>
      </c>
      <c r="C81" t="s">
        <v>27</v>
      </c>
      <c r="D81" t="s">
        <v>16</v>
      </c>
      <c r="E81" t="s">
        <v>56</v>
      </c>
      <c r="F81" t="s">
        <v>18</v>
      </c>
      <c r="G81" t="s">
        <v>107</v>
      </c>
      <c r="H81" t="s">
        <v>58</v>
      </c>
      <c r="I81" t="s">
        <v>155</v>
      </c>
      <c r="J81" t="s">
        <v>30</v>
      </c>
      <c r="K81" t="s">
        <v>23</v>
      </c>
      <c r="L81" t="s">
        <v>156</v>
      </c>
      <c r="M81" t="s">
        <v>25</v>
      </c>
    </row>
    <row r="82" spans="1:13">
      <c r="A82" t="s">
        <v>202</v>
      </c>
      <c r="B82" t="s">
        <v>201</v>
      </c>
      <c r="C82" t="s">
        <v>15</v>
      </c>
      <c r="D82" t="s">
        <v>42</v>
      </c>
      <c r="E82" t="s">
        <v>86</v>
      </c>
      <c r="F82" t="s">
        <v>18</v>
      </c>
      <c r="G82" t="s">
        <v>129</v>
      </c>
      <c r="H82" t="s">
        <v>46</v>
      </c>
      <c r="I82" t="s">
        <v>130</v>
      </c>
      <c r="J82" t="s">
        <v>30</v>
      </c>
      <c r="K82" t="s">
        <v>31</v>
      </c>
      <c r="L82" t="s">
        <v>131</v>
      </c>
      <c r="M82" t="s">
        <v>25</v>
      </c>
    </row>
    <row r="83" spans="1:13">
      <c r="A83" t="s">
        <v>203</v>
      </c>
      <c r="B83" t="s">
        <v>201</v>
      </c>
      <c r="C83" t="s">
        <v>34</v>
      </c>
      <c r="D83" t="s">
        <v>42</v>
      </c>
      <c r="E83" t="s">
        <v>17</v>
      </c>
      <c r="F83" t="s">
        <v>18</v>
      </c>
      <c r="G83" t="s">
        <v>19</v>
      </c>
      <c r="H83" t="s">
        <v>20</v>
      </c>
      <c r="I83" t="s">
        <v>21</v>
      </c>
      <c r="J83" t="s">
        <v>22</v>
      </c>
      <c r="K83" t="s">
        <v>31</v>
      </c>
      <c r="L83" t="s">
        <v>24</v>
      </c>
      <c r="M83" t="s">
        <v>25</v>
      </c>
    </row>
    <row r="84" spans="1:13">
      <c r="A84" t="s">
        <v>204</v>
      </c>
      <c r="B84" t="s">
        <v>201</v>
      </c>
      <c r="C84" t="s">
        <v>34</v>
      </c>
      <c r="D84" t="s">
        <v>42</v>
      </c>
      <c r="E84" t="s">
        <v>43</v>
      </c>
      <c r="F84" t="s">
        <v>65</v>
      </c>
      <c r="G84" t="s">
        <v>145</v>
      </c>
      <c r="H84" t="s">
        <v>146</v>
      </c>
      <c r="I84" t="s">
        <v>97</v>
      </c>
      <c r="J84" t="s">
        <v>30</v>
      </c>
      <c r="K84" t="s">
        <v>31</v>
      </c>
      <c r="L84" t="s">
        <v>51</v>
      </c>
      <c r="M84" t="s">
        <v>25</v>
      </c>
    </row>
    <row r="85" spans="1:13">
      <c r="A85" t="s">
        <v>205</v>
      </c>
      <c r="B85" t="s">
        <v>201</v>
      </c>
      <c r="C85" t="s">
        <v>27</v>
      </c>
      <c r="D85" t="s">
        <v>16</v>
      </c>
      <c r="E85" t="s">
        <v>56</v>
      </c>
      <c r="F85" t="s">
        <v>18</v>
      </c>
      <c r="G85" t="s">
        <v>38</v>
      </c>
      <c r="H85" t="s">
        <v>58</v>
      </c>
      <c r="I85" t="s">
        <v>94</v>
      </c>
      <c r="J85" t="s">
        <v>22</v>
      </c>
      <c r="K85" t="s">
        <v>23</v>
      </c>
      <c r="L85" t="s">
        <v>69</v>
      </c>
      <c r="M85" t="s">
        <v>25</v>
      </c>
    </row>
    <row r="86" spans="1:13">
      <c r="A86" t="s">
        <v>206</v>
      </c>
      <c r="B86" t="s">
        <v>201</v>
      </c>
      <c r="C86" t="s">
        <v>34</v>
      </c>
      <c r="D86" t="s">
        <v>42</v>
      </c>
      <c r="E86" t="s">
        <v>56</v>
      </c>
      <c r="F86" t="s">
        <v>18</v>
      </c>
      <c r="G86" t="s">
        <v>107</v>
      </c>
      <c r="H86" t="s">
        <v>58</v>
      </c>
      <c r="I86" t="s">
        <v>155</v>
      </c>
      <c r="J86" t="s">
        <v>30</v>
      </c>
      <c r="K86" t="s">
        <v>31</v>
      </c>
      <c r="L86" t="s">
        <v>156</v>
      </c>
      <c r="M86" t="s">
        <v>25</v>
      </c>
    </row>
    <row r="87" spans="1:13">
      <c r="A87" t="s">
        <v>207</v>
      </c>
      <c r="B87" t="s">
        <v>208</v>
      </c>
      <c r="C87" t="s">
        <v>27</v>
      </c>
      <c r="D87" t="s">
        <v>16</v>
      </c>
      <c r="E87" t="s">
        <v>86</v>
      </c>
      <c r="F87" t="s">
        <v>18</v>
      </c>
      <c r="G87" t="s">
        <v>151</v>
      </c>
      <c r="H87" t="s">
        <v>46</v>
      </c>
      <c r="I87" t="s">
        <v>152</v>
      </c>
      <c r="J87" t="s">
        <v>22</v>
      </c>
      <c r="K87" t="s">
        <v>23</v>
      </c>
      <c r="L87" t="s">
        <v>90</v>
      </c>
      <c r="M87" t="s">
        <v>25</v>
      </c>
    </row>
    <row r="88" spans="1:13">
      <c r="A88" t="s">
        <v>209</v>
      </c>
      <c r="B88" t="s">
        <v>208</v>
      </c>
      <c r="C88" t="s">
        <v>15</v>
      </c>
      <c r="D88" t="s">
        <v>53</v>
      </c>
      <c r="E88" t="s">
        <v>17</v>
      </c>
      <c r="F88" t="s">
        <v>65</v>
      </c>
      <c r="G88" t="s">
        <v>38</v>
      </c>
      <c r="H88" t="s">
        <v>46</v>
      </c>
      <c r="I88" t="s">
        <v>97</v>
      </c>
      <c r="J88" t="s">
        <v>30</v>
      </c>
      <c r="K88" t="s">
        <v>31</v>
      </c>
      <c r="L88" t="s">
        <v>32</v>
      </c>
      <c r="M88" t="s">
        <v>25</v>
      </c>
    </row>
    <row r="89" spans="1:13">
      <c r="A89" t="s">
        <v>210</v>
      </c>
      <c r="B89" t="s">
        <v>211</v>
      </c>
      <c r="C89" t="s">
        <v>27</v>
      </c>
      <c r="D89" t="s">
        <v>16</v>
      </c>
      <c r="E89" t="s">
        <v>56</v>
      </c>
      <c r="F89" t="s">
        <v>18</v>
      </c>
      <c r="G89" t="s">
        <v>57</v>
      </c>
      <c r="H89" t="s">
        <v>58</v>
      </c>
      <c r="I89" t="s">
        <v>59</v>
      </c>
      <c r="J89" t="s">
        <v>30</v>
      </c>
      <c r="K89" t="s">
        <v>23</v>
      </c>
      <c r="L89" t="s">
        <v>60</v>
      </c>
      <c r="M89" t="s">
        <v>25</v>
      </c>
    </row>
    <row r="90" spans="1:13">
      <c r="A90" t="s">
        <v>212</v>
      </c>
      <c r="B90" t="s">
        <v>211</v>
      </c>
      <c r="C90" t="s">
        <v>15</v>
      </c>
      <c r="D90" t="s">
        <v>53</v>
      </c>
      <c r="E90" t="s">
        <v>36</v>
      </c>
      <c r="F90" t="s">
        <v>18</v>
      </c>
      <c r="G90" t="s">
        <v>37</v>
      </c>
      <c r="H90" t="s">
        <v>38</v>
      </c>
      <c r="I90" t="s">
        <v>20</v>
      </c>
      <c r="J90" t="s">
        <v>22</v>
      </c>
      <c r="K90" t="s">
        <v>23</v>
      </c>
      <c r="L90" t="s">
        <v>39</v>
      </c>
      <c r="M90" t="s">
        <v>25</v>
      </c>
    </row>
    <row r="91" spans="1:13">
      <c r="A91" t="s">
        <v>213</v>
      </c>
      <c r="B91" t="s">
        <v>211</v>
      </c>
      <c r="C91" t="s">
        <v>34</v>
      </c>
      <c r="D91" t="s">
        <v>53</v>
      </c>
      <c r="E91" t="s">
        <v>56</v>
      </c>
      <c r="F91" t="s">
        <v>65</v>
      </c>
      <c r="G91" t="s">
        <v>66</v>
      </c>
      <c r="H91" t="s">
        <v>67</v>
      </c>
      <c r="I91" t="s">
        <v>68</v>
      </c>
      <c r="J91" t="s">
        <v>22</v>
      </c>
      <c r="K91" t="s">
        <v>23</v>
      </c>
      <c r="L91" t="s">
        <v>69</v>
      </c>
      <c r="M91" t="s">
        <v>25</v>
      </c>
    </row>
    <row r="92" spans="1:13">
      <c r="A92" t="s">
        <v>214</v>
      </c>
      <c r="B92" t="s">
        <v>211</v>
      </c>
      <c r="C92" t="s">
        <v>49</v>
      </c>
      <c r="D92" t="s">
        <v>16</v>
      </c>
      <c r="E92" t="s">
        <v>56</v>
      </c>
      <c r="F92" t="s">
        <v>18</v>
      </c>
      <c r="G92" t="s">
        <v>38</v>
      </c>
      <c r="H92" t="s">
        <v>58</v>
      </c>
      <c r="I92" t="s">
        <v>94</v>
      </c>
      <c r="J92" t="s">
        <v>30</v>
      </c>
      <c r="K92" t="s">
        <v>31</v>
      </c>
      <c r="L92" t="s">
        <v>69</v>
      </c>
      <c r="M92" t="s">
        <v>25</v>
      </c>
    </row>
    <row r="93" spans="1:13">
      <c r="A93" t="s">
        <v>215</v>
      </c>
      <c r="B93" t="s">
        <v>216</v>
      </c>
      <c r="C93" t="s">
        <v>49</v>
      </c>
      <c r="D93" t="s">
        <v>42</v>
      </c>
      <c r="E93" t="s">
        <v>43</v>
      </c>
      <c r="F93" t="s">
        <v>18</v>
      </c>
      <c r="G93" t="s">
        <v>50</v>
      </c>
      <c r="H93" t="s">
        <v>45</v>
      </c>
      <c r="I93" t="s">
        <v>29</v>
      </c>
      <c r="J93" t="s">
        <v>22</v>
      </c>
      <c r="K93" t="s">
        <v>23</v>
      </c>
      <c r="L93" t="s">
        <v>51</v>
      </c>
      <c r="M93" t="s">
        <v>25</v>
      </c>
    </row>
    <row r="94" spans="1:13">
      <c r="A94" t="s">
        <v>217</v>
      </c>
      <c r="B94" t="s">
        <v>216</v>
      </c>
      <c r="C94" t="s">
        <v>27</v>
      </c>
      <c r="D94" t="s">
        <v>53</v>
      </c>
      <c r="E94" t="s">
        <v>17</v>
      </c>
      <c r="F94" t="s">
        <v>18</v>
      </c>
      <c r="G94" t="s">
        <v>19</v>
      </c>
      <c r="H94" t="s">
        <v>20</v>
      </c>
      <c r="I94" t="s">
        <v>21</v>
      </c>
      <c r="J94" t="s">
        <v>22</v>
      </c>
      <c r="K94" t="s">
        <v>23</v>
      </c>
      <c r="L94" t="s">
        <v>24</v>
      </c>
      <c r="M94" t="s">
        <v>25</v>
      </c>
    </row>
    <row r="95" spans="1:13">
      <c r="A95" t="s">
        <v>218</v>
      </c>
      <c r="B95" t="s">
        <v>219</v>
      </c>
      <c r="C95" t="s">
        <v>15</v>
      </c>
      <c r="D95" t="s">
        <v>42</v>
      </c>
      <c r="E95" t="s">
        <v>17</v>
      </c>
      <c r="F95" t="s">
        <v>18</v>
      </c>
      <c r="G95" t="s">
        <v>19</v>
      </c>
      <c r="H95" t="s">
        <v>20</v>
      </c>
      <c r="I95" t="s">
        <v>21</v>
      </c>
      <c r="J95" t="s">
        <v>22</v>
      </c>
      <c r="K95" t="s">
        <v>31</v>
      </c>
      <c r="L95" t="s">
        <v>24</v>
      </c>
      <c r="M95" t="s">
        <v>25</v>
      </c>
    </row>
    <row r="96" spans="1:13">
      <c r="A96" t="s">
        <v>220</v>
      </c>
      <c r="B96" t="s">
        <v>219</v>
      </c>
      <c r="C96" t="s">
        <v>34</v>
      </c>
      <c r="D96" t="s">
        <v>16</v>
      </c>
      <c r="E96" t="s">
        <v>17</v>
      </c>
      <c r="F96" t="s">
        <v>18</v>
      </c>
      <c r="G96" t="s">
        <v>28</v>
      </c>
      <c r="H96" t="s">
        <v>20</v>
      </c>
      <c r="I96" t="s">
        <v>29</v>
      </c>
      <c r="J96" t="s">
        <v>30</v>
      </c>
      <c r="K96" t="s">
        <v>31</v>
      </c>
      <c r="L96" t="s">
        <v>32</v>
      </c>
      <c r="M96" t="s">
        <v>25</v>
      </c>
    </row>
    <row r="97" spans="1:13">
      <c r="A97" t="s">
        <v>221</v>
      </c>
      <c r="B97" t="s">
        <v>222</v>
      </c>
      <c r="C97" t="s">
        <v>49</v>
      </c>
      <c r="D97" t="s">
        <v>16</v>
      </c>
      <c r="E97" t="s">
        <v>17</v>
      </c>
      <c r="F97" t="s">
        <v>18</v>
      </c>
      <c r="G97" t="s">
        <v>28</v>
      </c>
      <c r="H97" t="s">
        <v>20</v>
      </c>
      <c r="I97" t="s">
        <v>29</v>
      </c>
      <c r="J97" t="s">
        <v>62</v>
      </c>
      <c r="K97" t="s">
        <v>31</v>
      </c>
      <c r="L97" t="s">
        <v>32</v>
      </c>
      <c r="M97" t="s">
        <v>223</v>
      </c>
    </row>
    <row r="98" spans="1:13">
      <c r="A98" t="s">
        <v>224</v>
      </c>
      <c r="B98" t="s">
        <v>222</v>
      </c>
      <c r="C98" t="s">
        <v>27</v>
      </c>
      <c r="D98" t="s">
        <v>16</v>
      </c>
      <c r="E98" t="s">
        <v>43</v>
      </c>
      <c r="F98" t="s">
        <v>18</v>
      </c>
      <c r="G98" t="s">
        <v>72</v>
      </c>
      <c r="H98" t="s">
        <v>45</v>
      </c>
      <c r="I98" t="s">
        <v>73</v>
      </c>
      <c r="J98" t="s">
        <v>22</v>
      </c>
      <c r="K98" t="s">
        <v>23</v>
      </c>
      <c r="L98" t="s">
        <v>74</v>
      </c>
      <c r="M98" t="s">
        <v>223</v>
      </c>
    </row>
    <row r="99" spans="1:13">
      <c r="A99" t="s">
        <v>225</v>
      </c>
      <c r="B99" t="s">
        <v>226</v>
      </c>
      <c r="C99" t="s">
        <v>49</v>
      </c>
      <c r="D99" t="s">
        <v>16</v>
      </c>
      <c r="E99" t="s">
        <v>43</v>
      </c>
      <c r="F99" t="s">
        <v>18</v>
      </c>
      <c r="G99" t="s">
        <v>50</v>
      </c>
      <c r="H99" t="s">
        <v>45</v>
      </c>
      <c r="I99" t="s">
        <v>29</v>
      </c>
      <c r="J99" t="s">
        <v>30</v>
      </c>
      <c r="K99" t="s">
        <v>31</v>
      </c>
      <c r="L99" t="s">
        <v>51</v>
      </c>
      <c r="M99" t="s">
        <v>223</v>
      </c>
    </row>
    <row r="100" spans="1:13">
      <c r="A100" t="s">
        <v>227</v>
      </c>
      <c r="B100" t="s">
        <v>228</v>
      </c>
      <c r="C100" t="s">
        <v>34</v>
      </c>
      <c r="D100" t="s">
        <v>16</v>
      </c>
      <c r="E100" t="s">
        <v>43</v>
      </c>
      <c r="F100" t="s">
        <v>18</v>
      </c>
      <c r="G100" t="s">
        <v>72</v>
      </c>
      <c r="H100" t="s">
        <v>45</v>
      </c>
      <c r="I100" t="s">
        <v>73</v>
      </c>
      <c r="J100" t="s">
        <v>22</v>
      </c>
      <c r="K100" t="s">
        <v>23</v>
      </c>
      <c r="L100" t="s">
        <v>74</v>
      </c>
      <c r="M100" t="s">
        <v>223</v>
      </c>
    </row>
    <row r="101" spans="1:13">
      <c r="A101" t="s">
        <v>229</v>
      </c>
      <c r="B101" t="s">
        <v>228</v>
      </c>
      <c r="C101" t="s">
        <v>34</v>
      </c>
      <c r="D101" t="s">
        <v>42</v>
      </c>
      <c r="E101" t="s">
        <v>86</v>
      </c>
      <c r="F101" t="s">
        <v>18</v>
      </c>
      <c r="G101" t="s">
        <v>151</v>
      </c>
      <c r="H101" t="s">
        <v>46</v>
      </c>
      <c r="I101" t="s">
        <v>152</v>
      </c>
      <c r="J101" t="s">
        <v>30</v>
      </c>
      <c r="K101" t="s">
        <v>31</v>
      </c>
      <c r="L101" t="s">
        <v>90</v>
      </c>
      <c r="M101" t="s">
        <v>223</v>
      </c>
    </row>
    <row r="102" spans="1:13">
      <c r="A102" t="s">
        <v>230</v>
      </c>
      <c r="B102" t="s">
        <v>228</v>
      </c>
      <c r="C102" t="s">
        <v>49</v>
      </c>
      <c r="D102" t="s">
        <v>42</v>
      </c>
      <c r="E102" t="s">
        <v>43</v>
      </c>
      <c r="F102" t="s">
        <v>18</v>
      </c>
      <c r="G102" t="s">
        <v>50</v>
      </c>
      <c r="H102" t="s">
        <v>45</v>
      </c>
      <c r="I102" t="s">
        <v>29</v>
      </c>
      <c r="J102" t="s">
        <v>22</v>
      </c>
      <c r="K102" t="s">
        <v>23</v>
      </c>
      <c r="L102" t="s">
        <v>51</v>
      </c>
      <c r="M102" t="s">
        <v>223</v>
      </c>
    </row>
    <row r="103" spans="1:13">
      <c r="A103" t="s">
        <v>231</v>
      </c>
      <c r="B103" t="s">
        <v>228</v>
      </c>
      <c r="C103" t="s">
        <v>34</v>
      </c>
      <c r="D103" t="s">
        <v>16</v>
      </c>
      <c r="E103" t="s">
        <v>43</v>
      </c>
      <c r="F103" t="s">
        <v>18</v>
      </c>
      <c r="G103" t="s">
        <v>50</v>
      </c>
      <c r="H103" t="s">
        <v>45</v>
      </c>
      <c r="I103" t="s">
        <v>29</v>
      </c>
      <c r="J103" t="s">
        <v>22</v>
      </c>
      <c r="K103" t="s">
        <v>23</v>
      </c>
      <c r="L103" t="s">
        <v>51</v>
      </c>
      <c r="M103" t="s">
        <v>223</v>
      </c>
    </row>
    <row r="104" spans="1:13">
      <c r="A104" t="s">
        <v>232</v>
      </c>
      <c r="B104" t="s">
        <v>228</v>
      </c>
      <c r="C104" t="s">
        <v>15</v>
      </c>
      <c r="D104" t="s">
        <v>42</v>
      </c>
      <c r="E104" t="s">
        <v>36</v>
      </c>
      <c r="F104" t="s">
        <v>18</v>
      </c>
      <c r="G104" t="s">
        <v>233</v>
      </c>
      <c r="H104" t="s">
        <v>38</v>
      </c>
      <c r="I104" t="s">
        <v>234</v>
      </c>
      <c r="J104" t="s">
        <v>22</v>
      </c>
      <c r="K104" t="s">
        <v>23</v>
      </c>
      <c r="L104" t="s">
        <v>83</v>
      </c>
      <c r="M104" t="s">
        <v>223</v>
      </c>
    </row>
    <row r="105" spans="1:13">
      <c r="A105" t="s">
        <v>235</v>
      </c>
      <c r="B105" t="s">
        <v>236</v>
      </c>
      <c r="C105" t="s">
        <v>49</v>
      </c>
      <c r="D105" t="s">
        <v>42</v>
      </c>
      <c r="E105" t="s">
        <v>17</v>
      </c>
      <c r="F105" t="s">
        <v>18</v>
      </c>
      <c r="G105" t="s">
        <v>28</v>
      </c>
      <c r="H105" t="s">
        <v>20</v>
      </c>
      <c r="I105" t="s">
        <v>29</v>
      </c>
      <c r="J105" t="s">
        <v>22</v>
      </c>
      <c r="K105" t="s">
        <v>31</v>
      </c>
      <c r="L105" t="s">
        <v>32</v>
      </c>
      <c r="M105" t="s">
        <v>223</v>
      </c>
    </row>
    <row r="106" spans="1:13">
      <c r="A106" t="s">
        <v>237</v>
      </c>
      <c r="B106" t="s">
        <v>236</v>
      </c>
      <c r="C106" t="s">
        <v>27</v>
      </c>
      <c r="D106" t="s">
        <v>42</v>
      </c>
      <c r="E106" t="s">
        <v>36</v>
      </c>
      <c r="F106" t="s">
        <v>65</v>
      </c>
      <c r="G106" t="s">
        <v>238</v>
      </c>
      <c r="H106" t="s">
        <v>66</v>
      </c>
      <c r="I106" t="s">
        <v>46</v>
      </c>
      <c r="J106" t="s">
        <v>30</v>
      </c>
      <c r="K106" t="s">
        <v>23</v>
      </c>
      <c r="L106" t="s">
        <v>39</v>
      </c>
      <c r="M106" t="s">
        <v>223</v>
      </c>
    </row>
    <row r="107" spans="1:13">
      <c r="A107" t="s">
        <v>239</v>
      </c>
      <c r="B107" t="s">
        <v>236</v>
      </c>
      <c r="C107" t="s">
        <v>15</v>
      </c>
      <c r="D107" t="s">
        <v>42</v>
      </c>
      <c r="E107" t="s">
        <v>36</v>
      </c>
      <c r="F107" t="s">
        <v>140</v>
      </c>
      <c r="G107" t="s">
        <v>240</v>
      </c>
      <c r="H107" t="s">
        <v>141</v>
      </c>
      <c r="I107" t="s">
        <v>241</v>
      </c>
      <c r="J107" t="s">
        <v>30</v>
      </c>
      <c r="K107" t="s">
        <v>31</v>
      </c>
      <c r="L107" t="s">
        <v>109</v>
      </c>
      <c r="M107" t="s">
        <v>223</v>
      </c>
    </row>
    <row r="108" spans="1:13">
      <c r="A108" t="s">
        <v>242</v>
      </c>
      <c r="B108" t="s">
        <v>243</v>
      </c>
      <c r="C108" t="s">
        <v>15</v>
      </c>
      <c r="D108" t="s">
        <v>16</v>
      </c>
      <c r="E108" t="s">
        <v>86</v>
      </c>
      <c r="F108" t="s">
        <v>18</v>
      </c>
      <c r="G108" t="s">
        <v>151</v>
      </c>
      <c r="H108" t="s">
        <v>46</v>
      </c>
      <c r="I108" t="s">
        <v>152</v>
      </c>
      <c r="J108" t="s">
        <v>22</v>
      </c>
      <c r="K108" t="s">
        <v>23</v>
      </c>
      <c r="L108" t="s">
        <v>90</v>
      </c>
      <c r="M108" t="s">
        <v>223</v>
      </c>
    </row>
    <row r="109" spans="1:13">
      <c r="A109" t="s">
        <v>244</v>
      </c>
      <c r="B109" t="s">
        <v>243</v>
      </c>
      <c r="C109" t="s">
        <v>27</v>
      </c>
      <c r="D109" t="s">
        <v>16</v>
      </c>
      <c r="E109" t="s">
        <v>56</v>
      </c>
      <c r="F109" t="s">
        <v>65</v>
      </c>
      <c r="G109" t="s">
        <v>175</v>
      </c>
      <c r="H109" t="s">
        <v>67</v>
      </c>
      <c r="I109" t="s">
        <v>176</v>
      </c>
      <c r="J109" t="s">
        <v>30</v>
      </c>
      <c r="K109" t="s">
        <v>23</v>
      </c>
      <c r="L109" t="s">
        <v>156</v>
      </c>
      <c r="M109" t="s">
        <v>223</v>
      </c>
    </row>
    <row r="110" spans="1:13">
      <c r="A110" t="s">
        <v>245</v>
      </c>
      <c r="B110" t="s">
        <v>246</v>
      </c>
      <c r="C110" t="s">
        <v>15</v>
      </c>
      <c r="D110" t="s">
        <v>53</v>
      </c>
      <c r="E110" t="s">
        <v>17</v>
      </c>
      <c r="F110" t="s">
        <v>18</v>
      </c>
      <c r="G110" t="s">
        <v>28</v>
      </c>
      <c r="H110" t="s">
        <v>20</v>
      </c>
      <c r="I110" t="s">
        <v>29</v>
      </c>
      <c r="J110" t="s">
        <v>30</v>
      </c>
      <c r="K110" t="s">
        <v>31</v>
      </c>
      <c r="L110" t="s">
        <v>32</v>
      </c>
      <c r="M110" t="s">
        <v>223</v>
      </c>
    </row>
    <row r="111" spans="1:13">
      <c r="A111" t="s">
        <v>247</v>
      </c>
      <c r="B111" t="s">
        <v>246</v>
      </c>
      <c r="C111" t="s">
        <v>49</v>
      </c>
      <c r="D111" t="s">
        <v>42</v>
      </c>
      <c r="E111" t="s">
        <v>86</v>
      </c>
      <c r="F111" t="s">
        <v>18</v>
      </c>
      <c r="G111" t="s">
        <v>248</v>
      </c>
      <c r="H111" t="s">
        <v>46</v>
      </c>
      <c r="I111" t="s">
        <v>249</v>
      </c>
      <c r="J111" t="s">
        <v>30</v>
      </c>
      <c r="K111" t="s">
        <v>31</v>
      </c>
      <c r="L111" t="s">
        <v>122</v>
      </c>
      <c r="M111" t="s">
        <v>223</v>
      </c>
    </row>
    <row r="112" spans="1:13">
      <c r="A112" t="s">
        <v>250</v>
      </c>
      <c r="B112" t="s">
        <v>251</v>
      </c>
      <c r="C112" t="s">
        <v>34</v>
      </c>
      <c r="D112" t="s">
        <v>16</v>
      </c>
      <c r="E112" t="s">
        <v>86</v>
      </c>
      <c r="F112" t="s">
        <v>18</v>
      </c>
      <c r="G112" t="s">
        <v>151</v>
      </c>
      <c r="H112" t="s">
        <v>46</v>
      </c>
      <c r="I112" t="s">
        <v>152</v>
      </c>
      <c r="J112" t="s">
        <v>30</v>
      </c>
      <c r="K112" t="s">
        <v>23</v>
      </c>
      <c r="L112" t="s">
        <v>90</v>
      </c>
      <c r="M112" t="s">
        <v>223</v>
      </c>
    </row>
    <row r="113" spans="1:13">
      <c r="A113" t="s">
        <v>252</v>
      </c>
      <c r="B113" t="s">
        <v>251</v>
      </c>
      <c r="C113" t="s">
        <v>49</v>
      </c>
      <c r="D113" t="s">
        <v>53</v>
      </c>
      <c r="E113" t="s">
        <v>17</v>
      </c>
      <c r="F113" t="s">
        <v>65</v>
      </c>
      <c r="G113" t="s">
        <v>38</v>
      </c>
      <c r="H113" t="s">
        <v>46</v>
      </c>
      <c r="I113" t="s">
        <v>97</v>
      </c>
      <c r="J113" t="s">
        <v>30</v>
      </c>
      <c r="K113" t="s">
        <v>23</v>
      </c>
      <c r="L113" t="s">
        <v>32</v>
      </c>
      <c r="M113" t="s">
        <v>223</v>
      </c>
    </row>
    <row r="114" spans="1:13">
      <c r="A114" t="s">
        <v>253</v>
      </c>
      <c r="B114" t="s">
        <v>251</v>
      </c>
      <c r="C114" t="s">
        <v>15</v>
      </c>
      <c r="D114" t="s">
        <v>42</v>
      </c>
      <c r="E114" t="s">
        <v>36</v>
      </c>
      <c r="F114" t="s">
        <v>18</v>
      </c>
      <c r="G114" t="s">
        <v>37</v>
      </c>
      <c r="H114" t="s">
        <v>38</v>
      </c>
      <c r="I114" t="s">
        <v>20</v>
      </c>
      <c r="J114" t="s">
        <v>22</v>
      </c>
      <c r="K114" t="s">
        <v>23</v>
      </c>
      <c r="L114" t="s">
        <v>39</v>
      </c>
      <c r="M114" t="s">
        <v>223</v>
      </c>
    </row>
    <row r="115" spans="1:13">
      <c r="A115" t="s">
        <v>254</v>
      </c>
      <c r="B115" t="s">
        <v>255</v>
      </c>
      <c r="C115" t="s">
        <v>27</v>
      </c>
      <c r="D115" t="s">
        <v>42</v>
      </c>
      <c r="E115" t="s">
        <v>36</v>
      </c>
      <c r="F115" t="s">
        <v>18</v>
      </c>
      <c r="G115" t="s">
        <v>37</v>
      </c>
      <c r="H115" t="s">
        <v>38</v>
      </c>
      <c r="I115" t="s">
        <v>20</v>
      </c>
      <c r="J115" t="s">
        <v>30</v>
      </c>
      <c r="K115" t="s">
        <v>31</v>
      </c>
      <c r="L115" t="s">
        <v>39</v>
      </c>
      <c r="M115" t="s">
        <v>223</v>
      </c>
    </row>
    <row r="116" spans="1:13">
      <c r="A116" t="s">
        <v>256</v>
      </c>
      <c r="B116" t="s">
        <v>257</v>
      </c>
      <c r="C116" t="s">
        <v>27</v>
      </c>
      <c r="D116" t="s">
        <v>16</v>
      </c>
      <c r="E116" t="s">
        <v>36</v>
      </c>
      <c r="F116" t="s">
        <v>18</v>
      </c>
      <c r="G116" t="s">
        <v>37</v>
      </c>
      <c r="H116" t="s">
        <v>38</v>
      </c>
      <c r="I116" t="s">
        <v>20</v>
      </c>
      <c r="J116" t="s">
        <v>62</v>
      </c>
      <c r="K116" t="s">
        <v>31</v>
      </c>
      <c r="L116" t="s">
        <v>39</v>
      </c>
      <c r="M116" t="s">
        <v>223</v>
      </c>
    </row>
    <row r="117" spans="1:13">
      <c r="A117" t="s">
        <v>258</v>
      </c>
      <c r="B117" t="s">
        <v>257</v>
      </c>
      <c r="C117" t="s">
        <v>27</v>
      </c>
      <c r="D117" t="s">
        <v>16</v>
      </c>
      <c r="E117" t="s">
        <v>86</v>
      </c>
      <c r="F117" t="s">
        <v>65</v>
      </c>
      <c r="G117" t="s">
        <v>87</v>
      </c>
      <c r="H117" t="s">
        <v>88</v>
      </c>
      <c r="I117" t="s">
        <v>89</v>
      </c>
      <c r="J117" t="s">
        <v>30</v>
      </c>
      <c r="K117" t="s">
        <v>31</v>
      </c>
      <c r="L117" t="s">
        <v>90</v>
      </c>
      <c r="M117" t="s">
        <v>223</v>
      </c>
    </row>
    <row r="118" spans="1:13">
      <c r="A118" t="s">
        <v>259</v>
      </c>
      <c r="B118" t="s">
        <v>257</v>
      </c>
      <c r="C118" t="s">
        <v>34</v>
      </c>
      <c r="D118" t="s">
        <v>42</v>
      </c>
      <c r="E118" t="s">
        <v>17</v>
      </c>
      <c r="F118" t="s">
        <v>65</v>
      </c>
      <c r="G118" t="s">
        <v>38</v>
      </c>
      <c r="H118" t="s">
        <v>46</v>
      </c>
      <c r="I118" t="s">
        <v>97</v>
      </c>
      <c r="J118" t="s">
        <v>30</v>
      </c>
      <c r="K118" t="s">
        <v>23</v>
      </c>
      <c r="L118" t="s">
        <v>32</v>
      </c>
      <c r="M118" t="s">
        <v>223</v>
      </c>
    </row>
    <row r="119" spans="1:13">
      <c r="A119" t="s">
        <v>260</v>
      </c>
      <c r="B119" t="s">
        <v>261</v>
      </c>
      <c r="C119" t="s">
        <v>49</v>
      </c>
      <c r="D119" t="s">
        <v>16</v>
      </c>
      <c r="E119" t="s">
        <v>17</v>
      </c>
      <c r="F119" t="s">
        <v>65</v>
      </c>
      <c r="G119" t="s">
        <v>38</v>
      </c>
      <c r="H119" t="s">
        <v>46</v>
      </c>
      <c r="I119" t="s">
        <v>97</v>
      </c>
      <c r="J119" t="s">
        <v>62</v>
      </c>
      <c r="K119" t="s">
        <v>23</v>
      </c>
      <c r="L119" t="s">
        <v>32</v>
      </c>
      <c r="M119" t="s">
        <v>223</v>
      </c>
    </row>
    <row r="120" spans="1:13">
      <c r="A120" t="s">
        <v>262</v>
      </c>
      <c r="B120" t="s">
        <v>263</v>
      </c>
      <c r="C120" t="s">
        <v>34</v>
      </c>
      <c r="D120" t="s">
        <v>53</v>
      </c>
      <c r="E120" t="s">
        <v>56</v>
      </c>
      <c r="F120" t="s">
        <v>65</v>
      </c>
      <c r="G120" t="s">
        <v>175</v>
      </c>
      <c r="H120" t="s">
        <v>67</v>
      </c>
      <c r="I120" t="s">
        <v>176</v>
      </c>
      <c r="J120" t="s">
        <v>22</v>
      </c>
      <c r="K120" t="s">
        <v>23</v>
      </c>
      <c r="L120" t="s">
        <v>156</v>
      </c>
      <c r="M120" t="s">
        <v>223</v>
      </c>
    </row>
    <row r="121" spans="1:13">
      <c r="A121" t="s">
        <v>264</v>
      </c>
      <c r="B121" t="s">
        <v>263</v>
      </c>
      <c r="C121" t="s">
        <v>34</v>
      </c>
      <c r="D121" t="s">
        <v>42</v>
      </c>
      <c r="E121" t="s">
        <v>86</v>
      </c>
      <c r="F121" t="s">
        <v>18</v>
      </c>
      <c r="G121" t="s">
        <v>129</v>
      </c>
      <c r="H121" t="s">
        <v>46</v>
      </c>
      <c r="I121" t="s">
        <v>130</v>
      </c>
      <c r="J121" t="s">
        <v>30</v>
      </c>
      <c r="K121" t="s">
        <v>23</v>
      </c>
      <c r="L121" t="s">
        <v>131</v>
      </c>
      <c r="M121" t="s">
        <v>223</v>
      </c>
    </row>
    <row r="122" spans="1:13">
      <c r="A122" t="s">
        <v>265</v>
      </c>
      <c r="B122" t="s">
        <v>266</v>
      </c>
      <c r="C122" t="s">
        <v>49</v>
      </c>
      <c r="D122" t="s">
        <v>16</v>
      </c>
      <c r="E122" t="s">
        <v>86</v>
      </c>
      <c r="F122" t="s">
        <v>18</v>
      </c>
      <c r="G122" t="s">
        <v>151</v>
      </c>
      <c r="H122" t="s">
        <v>46</v>
      </c>
      <c r="I122" t="s">
        <v>152</v>
      </c>
      <c r="J122" t="s">
        <v>30</v>
      </c>
      <c r="K122" t="s">
        <v>23</v>
      </c>
      <c r="L122" t="s">
        <v>90</v>
      </c>
      <c r="M122" t="s">
        <v>223</v>
      </c>
    </row>
    <row r="123" spans="1:13">
      <c r="A123" t="s">
        <v>267</v>
      </c>
      <c r="B123" t="s">
        <v>266</v>
      </c>
      <c r="C123" t="s">
        <v>49</v>
      </c>
      <c r="D123" t="s">
        <v>16</v>
      </c>
      <c r="E123" t="s">
        <v>36</v>
      </c>
      <c r="F123" t="s">
        <v>18</v>
      </c>
      <c r="G123" t="s">
        <v>37</v>
      </c>
      <c r="H123" t="s">
        <v>38</v>
      </c>
      <c r="I123" t="s">
        <v>20</v>
      </c>
      <c r="J123" t="s">
        <v>22</v>
      </c>
      <c r="K123" t="s">
        <v>23</v>
      </c>
      <c r="L123" t="s">
        <v>39</v>
      </c>
      <c r="M123" t="s">
        <v>223</v>
      </c>
    </row>
    <row r="124" spans="1:13">
      <c r="A124" t="s">
        <v>268</v>
      </c>
      <c r="B124" t="s">
        <v>269</v>
      </c>
      <c r="C124" t="s">
        <v>27</v>
      </c>
      <c r="D124" t="s">
        <v>16</v>
      </c>
      <c r="E124" t="s">
        <v>56</v>
      </c>
      <c r="F124" t="s">
        <v>140</v>
      </c>
      <c r="G124" t="s">
        <v>240</v>
      </c>
      <c r="H124" t="s">
        <v>142</v>
      </c>
      <c r="I124" t="s">
        <v>270</v>
      </c>
      <c r="J124" t="s">
        <v>22</v>
      </c>
      <c r="K124" t="s">
        <v>23</v>
      </c>
      <c r="L124" t="s">
        <v>156</v>
      </c>
      <c r="M124" t="s">
        <v>223</v>
      </c>
    </row>
    <row r="125" spans="1:13">
      <c r="A125" t="s">
        <v>271</v>
      </c>
      <c r="B125" t="s">
        <v>269</v>
      </c>
      <c r="C125" t="s">
        <v>34</v>
      </c>
      <c r="D125" t="s">
        <v>16</v>
      </c>
      <c r="E125" t="s">
        <v>36</v>
      </c>
      <c r="F125" t="s">
        <v>18</v>
      </c>
      <c r="G125" t="s">
        <v>37</v>
      </c>
      <c r="H125" t="s">
        <v>38</v>
      </c>
      <c r="I125" t="s">
        <v>20</v>
      </c>
      <c r="J125" t="s">
        <v>30</v>
      </c>
      <c r="K125" t="s">
        <v>31</v>
      </c>
      <c r="L125" t="s">
        <v>39</v>
      </c>
      <c r="M125" t="s">
        <v>223</v>
      </c>
    </row>
    <row r="126" spans="1:13">
      <c r="A126" t="s">
        <v>272</v>
      </c>
      <c r="B126" t="s">
        <v>269</v>
      </c>
      <c r="C126" t="s">
        <v>34</v>
      </c>
      <c r="D126" t="s">
        <v>42</v>
      </c>
      <c r="E126" t="s">
        <v>43</v>
      </c>
      <c r="F126" t="s">
        <v>65</v>
      </c>
      <c r="G126" t="s">
        <v>145</v>
      </c>
      <c r="H126" t="s">
        <v>146</v>
      </c>
      <c r="I126" t="s">
        <v>97</v>
      </c>
      <c r="J126" t="s">
        <v>30</v>
      </c>
      <c r="K126" t="s">
        <v>31</v>
      </c>
      <c r="L126" t="s">
        <v>51</v>
      </c>
      <c r="M126" t="s">
        <v>223</v>
      </c>
    </row>
    <row r="127" spans="1:13">
      <c r="A127" t="s">
        <v>273</v>
      </c>
      <c r="B127" t="s">
        <v>269</v>
      </c>
      <c r="C127" t="s">
        <v>49</v>
      </c>
      <c r="D127" t="s">
        <v>53</v>
      </c>
      <c r="E127" t="s">
        <v>56</v>
      </c>
      <c r="F127" t="s">
        <v>65</v>
      </c>
      <c r="G127" t="s">
        <v>175</v>
      </c>
      <c r="H127" t="s">
        <v>67</v>
      </c>
      <c r="I127" t="s">
        <v>176</v>
      </c>
      <c r="J127" t="s">
        <v>30</v>
      </c>
      <c r="K127" t="s">
        <v>23</v>
      </c>
      <c r="L127" t="s">
        <v>156</v>
      </c>
      <c r="M127" t="s">
        <v>223</v>
      </c>
    </row>
    <row r="128" spans="1:13">
      <c r="A128" t="s">
        <v>274</v>
      </c>
      <c r="B128" t="s">
        <v>269</v>
      </c>
      <c r="C128" t="s">
        <v>49</v>
      </c>
      <c r="D128" t="s">
        <v>42</v>
      </c>
      <c r="E128" t="s">
        <v>17</v>
      </c>
      <c r="F128" t="s">
        <v>65</v>
      </c>
      <c r="G128" t="s">
        <v>38</v>
      </c>
      <c r="H128" t="s">
        <v>46</v>
      </c>
      <c r="I128" t="s">
        <v>97</v>
      </c>
      <c r="J128" t="s">
        <v>30</v>
      </c>
      <c r="K128" t="s">
        <v>23</v>
      </c>
      <c r="L128" t="s">
        <v>32</v>
      </c>
      <c r="M128" t="s">
        <v>223</v>
      </c>
    </row>
    <row r="129" spans="1:13">
      <c r="A129" t="s">
        <v>275</v>
      </c>
      <c r="B129" t="s">
        <v>276</v>
      </c>
      <c r="C129" t="s">
        <v>34</v>
      </c>
      <c r="D129" t="s">
        <v>16</v>
      </c>
      <c r="E129" t="s">
        <v>56</v>
      </c>
      <c r="F129" t="s">
        <v>18</v>
      </c>
      <c r="G129" t="s">
        <v>107</v>
      </c>
      <c r="H129" t="s">
        <v>58</v>
      </c>
      <c r="I129" t="s">
        <v>155</v>
      </c>
      <c r="J129" t="s">
        <v>30</v>
      </c>
      <c r="K129" t="s">
        <v>23</v>
      </c>
      <c r="L129" t="s">
        <v>156</v>
      </c>
      <c r="M129" t="s">
        <v>223</v>
      </c>
    </row>
    <row r="130" spans="1:13">
      <c r="A130" t="s">
        <v>277</v>
      </c>
      <c r="B130" t="s">
        <v>276</v>
      </c>
      <c r="C130" t="s">
        <v>15</v>
      </c>
      <c r="D130" t="s">
        <v>16</v>
      </c>
      <c r="E130" t="s">
        <v>36</v>
      </c>
      <c r="F130" t="s">
        <v>18</v>
      </c>
      <c r="G130" t="s">
        <v>37</v>
      </c>
      <c r="H130" t="s">
        <v>38</v>
      </c>
      <c r="I130" t="s">
        <v>20</v>
      </c>
      <c r="J130" t="s">
        <v>30</v>
      </c>
      <c r="K130" t="s">
        <v>31</v>
      </c>
      <c r="L130" t="s">
        <v>39</v>
      </c>
      <c r="M130" t="s">
        <v>223</v>
      </c>
    </row>
    <row r="131" spans="1:13">
      <c r="A131" t="s">
        <v>278</v>
      </c>
      <c r="B131" t="s">
        <v>276</v>
      </c>
      <c r="C131" t="s">
        <v>34</v>
      </c>
      <c r="D131" t="s">
        <v>16</v>
      </c>
      <c r="E131" t="s">
        <v>86</v>
      </c>
      <c r="F131" t="s">
        <v>18</v>
      </c>
      <c r="G131" t="s">
        <v>151</v>
      </c>
      <c r="H131" t="s">
        <v>46</v>
      </c>
      <c r="I131" t="s">
        <v>152</v>
      </c>
      <c r="J131" t="s">
        <v>30</v>
      </c>
      <c r="K131" t="s">
        <v>23</v>
      </c>
      <c r="L131" t="s">
        <v>90</v>
      </c>
      <c r="M131" t="s">
        <v>223</v>
      </c>
    </row>
    <row r="132" spans="1:13">
      <c r="A132" t="s">
        <v>279</v>
      </c>
      <c r="B132" t="s">
        <v>280</v>
      </c>
      <c r="C132" t="s">
        <v>27</v>
      </c>
      <c r="D132" t="s">
        <v>16</v>
      </c>
      <c r="E132" t="s">
        <v>36</v>
      </c>
      <c r="F132" t="s">
        <v>18</v>
      </c>
      <c r="G132" t="s">
        <v>37</v>
      </c>
      <c r="H132" t="s">
        <v>38</v>
      </c>
      <c r="I132" t="s">
        <v>20</v>
      </c>
      <c r="J132" t="s">
        <v>62</v>
      </c>
      <c r="K132" t="s">
        <v>31</v>
      </c>
      <c r="L132" t="s">
        <v>39</v>
      </c>
      <c r="M132" t="s">
        <v>223</v>
      </c>
    </row>
    <row r="133" spans="1:13">
      <c r="A133" t="s">
        <v>281</v>
      </c>
      <c r="B133" t="s">
        <v>280</v>
      </c>
      <c r="C133" t="s">
        <v>15</v>
      </c>
      <c r="D133" t="s">
        <v>16</v>
      </c>
      <c r="E133" t="s">
        <v>56</v>
      </c>
      <c r="F133" t="s">
        <v>18</v>
      </c>
      <c r="G133" t="s">
        <v>38</v>
      </c>
      <c r="H133" t="s">
        <v>58</v>
      </c>
      <c r="I133" t="s">
        <v>94</v>
      </c>
      <c r="J133" t="s">
        <v>30</v>
      </c>
      <c r="K133" t="s">
        <v>23</v>
      </c>
      <c r="L133" t="s">
        <v>69</v>
      </c>
      <c r="M133" t="s">
        <v>223</v>
      </c>
    </row>
    <row r="134" spans="1:13">
      <c r="A134" t="s">
        <v>282</v>
      </c>
      <c r="B134" t="s">
        <v>280</v>
      </c>
      <c r="C134" t="s">
        <v>49</v>
      </c>
      <c r="D134" t="s">
        <v>16</v>
      </c>
      <c r="E134" t="s">
        <v>43</v>
      </c>
      <c r="F134" t="s">
        <v>18</v>
      </c>
      <c r="G134" t="s">
        <v>72</v>
      </c>
      <c r="H134" t="s">
        <v>45</v>
      </c>
      <c r="I134" t="s">
        <v>73</v>
      </c>
      <c r="J134" t="s">
        <v>62</v>
      </c>
      <c r="K134" t="s">
        <v>23</v>
      </c>
      <c r="L134" t="s">
        <v>74</v>
      </c>
      <c r="M134" t="s">
        <v>223</v>
      </c>
    </row>
    <row r="135" spans="1:13">
      <c r="A135" t="s">
        <v>283</v>
      </c>
      <c r="B135" t="s">
        <v>280</v>
      </c>
      <c r="C135" t="s">
        <v>34</v>
      </c>
      <c r="D135" t="s">
        <v>53</v>
      </c>
      <c r="E135" t="s">
        <v>36</v>
      </c>
      <c r="F135" t="s">
        <v>18</v>
      </c>
      <c r="G135" t="s">
        <v>37</v>
      </c>
      <c r="H135" t="s">
        <v>38</v>
      </c>
      <c r="I135" t="s">
        <v>20</v>
      </c>
      <c r="J135" t="s">
        <v>22</v>
      </c>
      <c r="K135" t="s">
        <v>31</v>
      </c>
      <c r="L135" t="s">
        <v>39</v>
      </c>
      <c r="M135" t="s">
        <v>223</v>
      </c>
    </row>
    <row r="136" spans="1:13">
      <c r="A136" t="s">
        <v>284</v>
      </c>
      <c r="B136" t="s">
        <v>285</v>
      </c>
      <c r="C136" t="s">
        <v>49</v>
      </c>
      <c r="D136" t="s">
        <v>53</v>
      </c>
      <c r="E136" t="s">
        <v>56</v>
      </c>
      <c r="F136" t="s">
        <v>18</v>
      </c>
      <c r="G136" t="s">
        <v>38</v>
      </c>
      <c r="H136" t="s">
        <v>58</v>
      </c>
      <c r="I136" t="s">
        <v>94</v>
      </c>
      <c r="J136" t="s">
        <v>22</v>
      </c>
      <c r="K136" t="s">
        <v>23</v>
      </c>
      <c r="L136" t="s">
        <v>69</v>
      </c>
      <c r="M136" t="s">
        <v>223</v>
      </c>
    </row>
    <row r="137" spans="1:13">
      <c r="A137" t="s">
        <v>286</v>
      </c>
      <c r="B137" t="s">
        <v>285</v>
      </c>
      <c r="C137" t="s">
        <v>15</v>
      </c>
      <c r="D137" t="s">
        <v>53</v>
      </c>
      <c r="E137" t="s">
        <v>86</v>
      </c>
      <c r="F137" t="s">
        <v>65</v>
      </c>
      <c r="G137" t="s">
        <v>120</v>
      </c>
      <c r="H137" t="s">
        <v>88</v>
      </c>
      <c r="I137" t="s">
        <v>121</v>
      </c>
      <c r="J137" t="s">
        <v>30</v>
      </c>
      <c r="K137" t="s">
        <v>31</v>
      </c>
      <c r="L137" t="s">
        <v>122</v>
      </c>
      <c r="M137" t="s">
        <v>223</v>
      </c>
    </row>
    <row r="138" spans="1:13">
      <c r="A138" t="s">
        <v>287</v>
      </c>
      <c r="B138" t="s">
        <v>288</v>
      </c>
      <c r="C138" t="s">
        <v>34</v>
      </c>
      <c r="D138" t="s">
        <v>16</v>
      </c>
      <c r="E138" t="s">
        <v>17</v>
      </c>
      <c r="F138" t="s">
        <v>18</v>
      </c>
      <c r="G138" t="s">
        <v>19</v>
      </c>
      <c r="H138" t="s">
        <v>20</v>
      </c>
      <c r="I138" t="s">
        <v>21</v>
      </c>
      <c r="J138" t="s">
        <v>30</v>
      </c>
      <c r="K138" t="s">
        <v>31</v>
      </c>
      <c r="L138" t="s">
        <v>24</v>
      </c>
      <c r="M138" t="s">
        <v>223</v>
      </c>
    </row>
    <row r="139" spans="1:13">
      <c r="A139" t="s">
        <v>289</v>
      </c>
      <c r="B139" t="s">
        <v>288</v>
      </c>
      <c r="C139" t="s">
        <v>15</v>
      </c>
      <c r="D139" t="s">
        <v>16</v>
      </c>
      <c r="E139" t="s">
        <v>17</v>
      </c>
      <c r="F139" t="s">
        <v>18</v>
      </c>
      <c r="G139" t="s">
        <v>28</v>
      </c>
      <c r="H139" t="s">
        <v>20</v>
      </c>
      <c r="I139" t="s">
        <v>29</v>
      </c>
      <c r="J139" t="s">
        <v>22</v>
      </c>
      <c r="K139" t="s">
        <v>23</v>
      </c>
      <c r="L139" t="s">
        <v>32</v>
      </c>
      <c r="M139" t="s">
        <v>223</v>
      </c>
    </row>
    <row r="140" spans="1:13">
      <c r="A140" t="s">
        <v>290</v>
      </c>
      <c r="B140" t="s">
        <v>288</v>
      </c>
      <c r="C140" t="s">
        <v>34</v>
      </c>
      <c r="D140" t="s">
        <v>16</v>
      </c>
      <c r="E140" t="s">
        <v>56</v>
      </c>
      <c r="F140" t="s">
        <v>18</v>
      </c>
      <c r="G140" t="s">
        <v>38</v>
      </c>
      <c r="H140" t="s">
        <v>58</v>
      </c>
      <c r="I140" t="s">
        <v>94</v>
      </c>
      <c r="J140" t="s">
        <v>30</v>
      </c>
      <c r="K140" t="s">
        <v>23</v>
      </c>
      <c r="L140" t="s">
        <v>69</v>
      </c>
      <c r="M140" t="s">
        <v>223</v>
      </c>
    </row>
    <row r="141" spans="1:13">
      <c r="A141" t="s">
        <v>291</v>
      </c>
      <c r="B141" t="s">
        <v>292</v>
      </c>
      <c r="C141" t="s">
        <v>15</v>
      </c>
      <c r="D141" t="s">
        <v>16</v>
      </c>
      <c r="E141" t="s">
        <v>56</v>
      </c>
      <c r="F141" t="s">
        <v>65</v>
      </c>
      <c r="G141" t="s">
        <v>66</v>
      </c>
      <c r="H141" t="s">
        <v>67</v>
      </c>
      <c r="I141" t="s">
        <v>68</v>
      </c>
      <c r="J141" t="s">
        <v>30</v>
      </c>
      <c r="K141" t="s">
        <v>23</v>
      </c>
      <c r="L141" t="s">
        <v>69</v>
      </c>
      <c r="M141" t="s">
        <v>223</v>
      </c>
    </row>
    <row r="142" spans="1:13">
      <c r="A142" t="s">
        <v>293</v>
      </c>
      <c r="B142" t="s">
        <v>292</v>
      </c>
      <c r="C142" t="s">
        <v>15</v>
      </c>
      <c r="D142" t="s">
        <v>42</v>
      </c>
      <c r="E142" t="s">
        <v>86</v>
      </c>
      <c r="F142" t="s">
        <v>18</v>
      </c>
      <c r="G142" t="s">
        <v>129</v>
      </c>
      <c r="H142" t="s">
        <v>46</v>
      </c>
      <c r="I142" t="s">
        <v>130</v>
      </c>
      <c r="J142" t="s">
        <v>30</v>
      </c>
      <c r="K142" t="s">
        <v>31</v>
      </c>
      <c r="L142" t="s">
        <v>131</v>
      </c>
      <c r="M142" t="s">
        <v>223</v>
      </c>
    </row>
    <row r="143" spans="1:13">
      <c r="A143" t="s">
        <v>294</v>
      </c>
      <c r="B143" t="s">
        <v>292</v>
      </c>
      <c r="C143" t="s">
        <v>27</v>
      </c>
      <c r="D143" t="s">
        <v>16</v>
      </c>
      <c r="E143" t="s">
        <v>86</v>
      </c>
      <c r="F143" t="s">
        <v>18</v>
      </c>
      <c r="G143" t="s">
        <v>151</v>
      </c>
      <c r="H143" t="s">
        <v>46</v>
      </c>
      <c r="I143" t="s">
        <v>152</v>
      </c>
      <c r="J143" t="s">
        <v>30</v>
      </c>
      <c r="K143" t="s">
        <v>31</v>
      </c>
      <c r="L143" t="s">
        <v>90</v>
      </c>
      <c r="M143" t="s">
        <v>223</v>
      </c>
    </row>
    <row r="144" spans="1:13">
      <c r="A144" t="s">
        <v>295</v>
      </c>
      <c r="B144" t="s">
        <v>292</v>
      </c>
      <c r="C144" t="s">
        <v>49</v>
      </c>
      <c r="D144" t="s">
        <v>42</v>
      </c>
      <c r="E144" t="s">
        <v>36</v>
      </c>
      <c r="F144" t="s">
        <v>18</v>
      </c>
      <c r="G144" t="s">
        <v>37</v>
      </c>
      <c r="H144" t="s">
        <v>38</v>
      </c>
      <c r="I144" t="s">
        <v>20</v>
      </c>
      <c r="J144" t="s">
        <v>30</v>
      </c>
      <c r="K144" t="s">
        <v>23</v>
      </c>
      <c r="L144" t="s">
        <v>39</v>
      </c>
      <c r="M144" t="s">
        <v>223</v>
      </c>
    </row>
    <row r="145" spans="1:13">
      <c r="A145" t="s">
        <v>296</v>
      </c>
      <c r="B145" t="s">
        <v>292</v>
      </c>
      <c r="C145" t="s">
        <v>27</v>
      </c>
      <c r="D145" t="s">
        <v>16</v>
      </c>
      <c r="E145" t="s">
        <v>36</v>
      </c>
      <c r="F145" t="s">
        <v>65</v>
      </c>
      <c r="G145" t="s">
        <v>238</v>
      </c>
      <c r="H145" t="s">
        <v>66</v>
      </c>
      <c r="I145" t="s">
        <v>46</v>
      </c>
      <c r="J145" t="s">
        <v>30</v>
      </c>
      <c r="K145" t="s">
        <v>23</v>
      </c>
      <c r="L145" t="s">
        <v>39</v>
      </c>
      <c r="M145" t="s">
        <v>223</v>
      </c>
    </row>
    <row r="146" spans="1:13">
      <c r="A146" t="s">
        <v>297</v>
      </c>
      <c r="B146" t="s">
        <v>298</v>
      </c>
      <c r="C146" t="s">
        <v>34</v>
      </c>
      <c r="D146" t="s">
        <v>42</v>
      </c>
      <c r="E146" t="s">
        <v>86</v>
      </c>
      <c r="F146" t="s">
        <v>18</v>
      </c>
      <c r="G146" t="s">
        <v>248</v>
      </c>
      <c r="H146" t="s">
        <v>46</v>
      </c>
      <c r="I146" t="s">
        <v>249</v>
      </c>
      <c r="J146" t="s">
        <v>62</v>
      </c>
      <c r="K146" t="s">
        <v>31</v>
      </c>
      <c r="L146" t="s">
        <v>122</v>
      </c>
      <c r="M146" t="s">
        <v>223</v>
      </c>
    </row>
    <row r="147" spans="1:13">
      <c r="A147" t="s">
        <v>299</v>
      </c>
      <c r="B147" t="s">
        <v>298</v>
      </c>
      <c r="C147" t="s">
        <v>15</v>
      </c>
      <c r="D147" t="s">
        <v>53</v>
      </c>
      <c r="E147" t="s">
        <v>56</v>
      </c>
      <c r="F147" t="s">
        <v>65</v>
      </c>
      <c r="G147" t="s">
        <v>66</v>
      </c>
      <c r="H147" t="s">
        <v>67</v>
      </c>
      <c r="I147" t="s">
        <v>68</v>
      </c>
      <c r="J147" t="s">
        <v>30</v>
      </c>
      <c r="K147" t="s">
        <v>23</v>
      </c>
      <c r="L147" t="s">
        <v>69</v>
      </c>
      <c r="M147" t="s">
        <v>223</v>
      </c>
    </row>
    <row r="148" spans="1:13">
      <c r="A148" t="s">
        <v>300</v>
      </c>
      <c r="B148" t="s">
        <v>298</v>
      </c>
      <c r="C148" t="s">
        <v>27</v>
      </c>
      <c r="D148" t="s">
        <v>16</v>
      </c>
      <c r="E148" t="s">
        <v>56</v>
      </c>
      <c r="F148" t="s">
        <v>18</v>
      </c>
      <c r="G148" t="s">
        <v>38</v>
      </c>
      <c r="H148" t="s">
        <v>58</v>
      </c>
      <c r="I148" t="s">
        <v>94</v>
      </c>
      <c r="J148" t="s">
        <v>30</v>
      </c>
      <c r="K148" t="s">
        <v>31</v>
      </c>
      <c r="L148" t="s">
        <v>69</v>
      </c>
      <c r="M148" t="s">
        <v>223</v>
      </c>
    </row>
    <row r="149" spans="1:13">
      <c r="A149" t="s">
        <v>301</v>
      </c>
      <c r="B149" t="s">
        <v>298</v>
      </c>
      <c r="C149" t="s">
        <v>27</v>
      </c>
      <c r="D149" t="s">
        <v>53</v>
      </c>
      <c r="E149" t="s">
        <v>56</v>
      </c>
      <c r="F149" t="s">
        <v>65</v>
      </c>
      <c r="G149" t="s">
        <v>66</v>
      </c>
      <c r="H149" t="s">
        <v>67</v>
      </c>
      <c r="I149" t="s">
        <v>68</v>
      </c>
      <c r="J149" t="s">
        <v>22</v>
      </c>
      <c r="K149" t="s">
        <v>23</v>
      </c>
      <c r="L149" t="s">
        <v>69</v>
      </c>
      <c r="M149" t="s">
        <v>223</v>
      </c>
    </row>
    <row r="150" spans="1:13">
      <c r="A150" t="s">
        <v>302</v>
      </c>
      <c r="B150" t="s">
        <v>298</v>
      </c>
      <c r="C150" t="s">
        <v>49</v>
      </c>
      <c r="D150" t="s">
        <v>16</v>
      </c>
      <c r="E150" t="s">
        <v>36</v>
      </c>
      <c r="F150" t="s">
        <v>65</v>
      </c>
      <c r="G150" t="s">
        <v>175</v>
      </c>
      <c r="H150" t="s">
        <v>66</v>
      </c>
      <c r="I150" t="s">
        <v>303</v>
      </c>
      <c r="J150" t="s">
        <v>22</v>
      </c>
      <c r="K150" t="s">
        <v>23</v>
      </c>
      <c r="L150" t="s">
        <v>109</v>
      </c>
      <c r="M150" t="s">
        <v>223</v>
      </c>
    </row>
    <row r="151" spans="1:13">
      <c r="A151" t="s">
        <v>304</v>
      </c>
      <c r="B151" t="s">
        <v>298</v>
      </c>
      <c r="C151" t="s">
        <v>27</v>
      </c>
      <c r="D151" t="s">
        <v>42</v>
      </c>
      <c r="E151" t="s">
        <v>43</v>
      </c>
      <c r="F151" t="s">
        <v>18</v>
      </c>
      <c r="G151" t="s">
        <v>50</v>
      </c>
      <c r="H151" t="s">
        <v>45</v>
      </c>
      <c r="I151" t="s">
        <v>29</v>
      </c>
      <c r="J151" t="s">
        <v>30</v>
      </c>
      <c r="K151" t="s">
        <v>23</v>
      </c>
      <c r="L151" t="s">
        <v>51</v>
      </c>
      <c r="M151" t="s">
        <v>223</v>
      </c>
    </row>
    <row r="152" spans="1:13">
      <c r="A152" t="s">
        <v>305</v>
      </c>
      <c r="B152" t="s">
        <v>306</v>
      </c>
      <c r="C152" t="s">
        <v>49</v>
      </c>
      <c r="D152" t="s">
        <v>53</v>
      </c>
      <c r="E152" t="s">
        <v>17</v>
      </c>
      <c r="F152" t="s">
        <v>18</v>
      </c>
      <c r="G152" t="s">
        <v>28</v>
      </c>
      <c r="H152" t="s">
        <v>20</v>
      </c>
      <c r="I152" t="s">
        <v>29</v>
      </c>
      <c r="J152" t="s">
        <v>30</v>
      </c>
      <c r="K152" t="s">
        <v>31</v>
      </c>
      <c r="L152" t="s">
        <v>32</v>
      </c>
      <c r="M152" t="s">
        <v>223</v>
      </c>
    </row>
    <row r="153" spans="1:13">
      <c r="A153" t="s">
        <v>307</v>
      </c>
      <c r="B153" t="s">
        <v>306</v>
      </c>
      <c r="C153" t="s">
        <v>27</v>
      </c>
      <c r="D153" t="s">
        <v>16</v>
      </c>
      <c r="E153" t="s">
        <v>36</v>
      </c>
      <c r="F153" t="s">
        <v>18</v>
      </c>
      <c r="G153" t="s">
        <v>107</v>
      </c>
      <c r="H153" t="s">
        <v>38</v>
      </c>
      <c r="I153" t="s">
        <v>108</v>
      </c>
      <c r="J153" t="s">
        <v>30</v>
      </c>
      <c r="K153" t="s">
        <v>23</v>
      </c>
      <c r="L153" t="s">
        <v>109</v>
      </c>
      <c r="M153" t="s">
        <v>223</v>
      </c>
    </row>
    <row r="154" spans="1:13">
      <c r="A154" t="s">
        <v>308</v>
      </c>
      <c r="B154" t="s">
        <v>306</v>
      </c>
      <c r="C154" t="s">
        <v>34</v>
      </c>
      <c r="D154" t="s">
        <v>16</v>
      </c>
      <c r="E154" t="s">
        <v>36</v>
      </c>
      <c r="F154" t="s">
        <v>18</v>
      </c>
      <c r="G154" t="s">
        <v>37</v>
      </c>
      <c r="H154" t="s">
        <v>38</v>
      </c>
      <c r="I154" t="s">
        <v>20</v>
      </c>
      <c r="J154" t="s">
        <v>22</v>
      </c>
      <c r="K154" t="s">
        <v>23</v>
      </c>
      <c r="L154" t="s">
        <v>39</v>
      </c>
      <c r="M154" t="s">
        <v>223</v>
      </c>
    </row>
    <row r="155" spans="1:13">
      <c r="A155" t="s">
        <v>309</v>
      </c>
      <c r="B155" t="s">
        <v>310</v>
      </c>
      <c r="C155" t="s">
        <v>15</v>
      </c>
      <c r="D155" t="s">
        <v>16</v>
      </c>
      <c r="E155" t="s">
        <v>86</v>
      </c>
      <c r="F155" t="s">
        <v>18</v>
      </c>
      <c r="G155" t="s">
        <v>151</v>
      </c>
      <c r="H155" t="s">
        <v>46</v>
      </c>
      <c r="I155" t="s">
        <v>152</v>
      </c>
      <c r="J155" t="s">
        <v>22</v>
      </c>
      <c r="K155" t="s">
        <v>31</v>
      </c>
      <c r="L155" t="s">
        <v>90</v>
      </c>
      <c r="M155" t="s">
        <v>223</v>
      </c>
    </row>
    <row r="156" spans="1:13">
      <c r="A156" t="s">
        <v>311</v>
      </c>
      <c r="B156" t="s">
        <v>310</v>
      </c>
      <c r="C156" t="s">
        <v>49</v>
      </c>
      <c r="D156" t="s">
        <v>53</v>
      </c>
      <c r="E156" t="s">
        <v>36</v>
      </c>
      <c r="F156" t="s">
        <v>65</v>
      </c>
      <c r="G156" t="s">
        <v>238</v>
      </c>
      <c r="H156" t="s">
        <v>66</v>
      </c>
      <c r="I156" t="s">
        <v>46</v>
      </c>
      <c r="J156" t="s">
        <v>30</v>
      </c>
      <c r="K156" t="s">
        <v>23</v>
      </c>
      <c r="L156" t="s">
        <v>39</v>
      </c>
      <c r="M156" t="s">
        <v>223</v>
      </c>
    </row>
    <row r="157" spans="1:13">
      <c r="A157" t="s">
        <v>312</v>
      </c>
      <c r="B157" t="s">
        <v>313</v>
      </c>
      <c r="C157" t="s">
        <v>49</v>
      </c>
      <c r="D157" t="s">
        <v>16</v>
      </c>
      <c r="E157" t="s">
        <v>17</v>
      </c>
      <c r="F157" t="s">
        <v>18</v>
      </c>
      <c r="G157" t="s">
        <v>28</v>
      </c>
      <c r="H157" t="s">
        <v>20</v>
      </c>
      <c r="I157" t="s">
        <v>29</v>
      </c>
      <c r="J157" t="s">
        <v>62</v>
      </c>
      <c r="K157" t="s">
        <v>23</v>
      </c>
      <c r="L157" t="s">
        <v>32</v>
      </c>
      <c r="M157" t="s">
        <v>223</v>
      </c>
    </row>
    <row r="158" spans="1:13">
      <c r="A158" t="s">
        <v>314</v>
      </c>
      <c r="B158" t="s">
        <v>313</v>
      </c>
      <c r="C158" t="s">
        <v>34</v>
      </c>
      <c r="D158" t="s">
        <v>16</v>
      </c>
      <c r="E158" t="s">
        <v>17</v>
      </c>
      <c r="F158" t="s">
        <v>18</v>
      </c>
      <c r="G158" t="s">
        <v>28</v>
      </c>
      <c r="H158" t="s">
        <v>20</v>
      </c>
      <c r="I158" t="s">
        <v>29</v>
      </c>
      <c r="J158" t="s">
        <v>30</v>
      </c>
      <c r="K158" t="s">
        <v>31</v>
      </c>
      <c r="L158" t="s">
        <v>32</v>
      </c>
      <c r="M158" t="s">
        <v>223</v>
      </c>
    </row>
    <row r="159" spans="1:13">
      <c r="A159" t="s">
        <v>315</v>
      </c>
      <c r="B159" t="s">
        <v>313</v>
      </c>
      <c r="C159" t="s">
        <v>49</v>
      </c>
      <c r="D159" t="s">
        <v>42</v>
      </c>
      <c r="E159" t="s">
        <v>56</v>
      </c>
      <c r="F159" t="s">
        <v>18</v>
      </c>
      <c r="G159" t="s">
        <v>57</v>
      </c>
      <c r="H159" t="s">
        <v>58</v>
      </c>
      <c r="I159" t="s">
        <v>59</v>
      </c>
      <c r="J159" t="s">
        <v>22</v>
      </c>
      <c r="K159" t="s">
        <v>31</v>
      </c>
      <c r="L159" t="s">
        <v>60</v>
      </c>
      <c r="M159" t="s">
        <v>223</v>
      </c>
    </row>
    <row r="160" spans="1:13">
      <c r="A160" t="s">
        <v>316</v>
      </c>
      <c r="B160" t="s">
        <v>317</v>
      </c>
      <c r="C160" t="s">
        <v>27</v>
      </c>
      <c r="D160" t="s">
        <v>53</v>
      </c>
      <c r="E160" t="s">
        <v>56</v>
      </c>
      <c r="F160" t="s">
        <v>65</v>
      </c>
      <c r="G160" t="s">
        <v>66</v>
      </c>
      <c r="H160" t="s">
        <v>67</v>
      </c>
      <c r="I160" t="s">
        <v>68</v>
      </c>
      <c r="J160" t="s">
        <v>62</v>
      </c>
      <c r="K160" t="s">
        <v>31</v>
      </c>
      <c r="L160" t="s">
        <v>69</v>
      </c>
      <c r="M160" t="s">
        <v>223</v>
      </c>
    </row>
    <row r="161" spans="1:13">
      <c r="A161" t="s">
        <v>318</v>
      </c>
      <c r="B161" t="s">
        <v>317</v>
      </c>
      <c r="C161" t="s">
        <v>27</v>
      </c>
      <c r="D161" t="s">
        <v>16</v>
      </c>
      <c r="E161" t="s">
        <v>86</v>
      </c>
      <c r="F161" t="s">
        <v>65</v>
      </c>
      <c r="G161" t="s">
        <v>120</v>
      </c>
      <c r="H161" t="s">
        <v>88</v>
      </c>
      <c r="I161" t="s">
        <v>121</v>
      </c>
      <c r="J161" t="s">
        <v>62</v>
      </c>
      <c r="K161" t="s">
        <v>23</v>
      </c>
      <c r="L161" t="s">
        <v>122</v>
      </c>
      <c r="M161" t="s">
        <v>223</v>
      </c>
    </row>
    <row r="162" spans="1:13">
      <c r="A162" t="s">
        <v>319</v>
      </c>
      <c r="B162" t="s">
        <v>317</v>
      </c>
      <c r="C162" t="s">
        <v>27</v>
      </c>
      <c r="D162" t="s">
        <v>53</v>
      </c>
      <c r="E162" t="s">
        <v>17</v>
      </c>
      <c r="F162" t="s">
        <v>18</v>
      </c>
      <c r="G162" t="s">
        <v>28</v>
      </c>
      <c r="H162" t="s">
        <v>20</v>
      </c>
      <c r="I162" t="s">
        <v>29</v>
      </c>
      <c r="J162" t="s">
        <v>30</v>
      </c>
      <c r="K162" t="s">
        <v>23</v>
      </c>
      <c r="L162" t="s">
        <v>32</v>
      </c>
      <c r="M162" t="s">
        <v>223</v>
      </c>
    </row>
    <row r="163" spans="1:13">
      <c r="A163" t="s">
        <v>320</v>
      </c>
      <c r="B163" t="s">
        <v>321</v>
      </c>
      <c r="C163" t="s">
        <v>49</v>
      </c>
      <c r="D163" t="s">
        <v>42</v>
      </c>
      <c r="E163" t="s">
        <v>36</v>
      </c>
      <c r="F163" t="s">
        <v>65</v>
      </c>
      <c r="G163" t="s">
        <v>238</v>
      </c>
      <c r="H163" t="s">
        <v>66</v>
      </c>
      <c r="I163" t="s">
        <v>46</v>
      </c>
      <c r="J163" t="s">
        <v>22</v>
      </c>
      <c r="K163" t="s">
        <v>23</v>
      </c>
      <c r="L163" t="s">
        <v>39</v>
      </c>
      <c r="M163" t="s">
        <v>223</v>
      </c>
    </row>
    <row r="164" spans="1:13">
      <c r="A164" t="s">
        <v>322</v>
      </c>
      <c r="B164" t="s">
        <v>321</v>
      </c>
      <c r="C164" t="s">
        <v>15</v>
      </c>
      <c r="D164" t="s">
        <v>42</v>
      </c>
      <c r="E164" t="s">
        <v>36</v>
      </c>
      <c r="F164" t="s">
        <v>18</v>
      </c>
      <c r="G164" t="s">
        <v>37</v>
      </c>
      <c r="H164" t="s">
        <v>38</v>
      </c>
      <c r="I164" t="s">
        <v>20</v>
      </c>
      <c r="J164" t="s">
        <v>22</v>
      </c>
      <c r="K164" t="s">
        <v>31</v>
      </c>
      <c r="L164" t="s">
        <v>39</v>
      </c>
      <c r="M164" t="s">
        <v>223</v>
      </c>
    </row>
    <row r="165" spans="1:13">
      <c r="A165" t="s">
        <v>323</v>
      </c>
      <c r="B165" t="s">
        <v>324</v>
      </c>
      <c r="C165" t="s">
        <v>15</v>
      </c>
      <c r="D165" t="s">
        <v>16</v>
      </c>
      <c r="E165" t="s">
        <v>36</v>
      </c>
      <c r="F165" t="s">
        <v>18</v>
      </c>
      <c r="G165" t="s">
        <v>37</v>
      </c>
      <c r="H165" t="s">
        <v>38</v>
      </c>
      <c r="I165" t="s">
        <v>20</v>
      </c>
      <c r="J165" t="s">
        <v>30</v>
      </c>
      <c r="K165" t="s">
        <v>23</v>
      </c>
      <c r="L165" t="s">
        <v>39</v>
      </c>
      <c r="M165" t="s">
        <v>223</v>
      </c>
    </row>
    <row r="166" spans="1:13">
      <c r="A166" t="s">
        <v>325</v>
      </c>
      <c r="B166" t="s">
        <v>326</v>
      </c>
      <c r="C166" t="s">
        <v>27</v>
      </c>
      <c r="D166" t="s">
        <v>42</v>
      </c>
      <c r="E166" t="s">
        <v>17</v>
      </c>
      <c r="F166" t="s">
        <v>18</v>
      </c>
      <c r="G166" t="s">
        <v>28</v>
      </c>
      <c r="H166" t="s">
        <v>20</v>
      </c>
      <c r="I166" t="s">
        <v>29</v>
      </c>
      <c r="J166" t="s">
        <v>22</v>
      </c>
      <c r="K166" t="s">
        <v>23</v>
      </c>
      <c r="L166" t="s">
        <v>32</v>
      </c>
      <c r="M166" t="s">
        <v>223</v>
      </c>
    </row>
    <row r="167" spans="1:13">
      <c r="A167" t="s">
        <v>327</v>
      </c>
      <c r="B167" t="s">
        <v>326</v>
      </c>
      <c r="C167" t="s">
        <v>27</v>
      </c>
      <c r="D167" t="s">
        <v>53</v>
      </c>
      <c r="E167" t="s">
        <v>17</v>
      </c>
      <c r="F167" t="s">
        <v>18</v>
      </c>
      <c r="G167" t="s">
        <v>28</v>
      </c>
      <c r="H167" t="s">
        <v>20</v>
      </c>
      <c r="I167" t="s">
        <v>29</v>
      </c>
      <c r="J167" t="s">
        <v>30</v>
      </c>
      <c r="K167" t="s">
        <v>23</v>
      </c>
      <c r="L167" t="s">
        <v>32</v>
      </c>
      <c r="M167" t="s">
        <v>223</v>
      </c>
    </row>
    <row r="168" spans="1:13">
      <c r="A168" t="s">
        <v>328</v>
      </c>
      <c r="B168" t="s">
        <v>329</v>
      </c>
      <c r="C168" t="s">
        <v>15</v>
      </c>
      <c r="D168" t="s">
        <v>16</v>
      </c>
      <c r="E168" t="s">
        <v>36</v>
      </c>
      <c r="F168" t="s">
        <v>65</v>
      </c>
      <c r="G168" t="s">
        <v>175</v>
      </c>
      <c r="H168" t="s">
        <v>66</v>
      </c>
      <c r="I168" t="s">
        <v>303</v>
      </c>
      <c r="J168" t="s">
        <v>22</v>
      </c>
      <c r="K168" t="s">
        <v>31</v>
      </c>
      <c r="L168" t="s">
        <v>109</v>
      </c>
      <c r="M168" t="s">
        <v>330</v>
      </c>
    </row>
    <row r="169" spans="1:13">
      <c r="A169" t="s">
        <v>331</v>
      </c>
      <c r="B169" t="s">
        <v>329</v>
      </c>
      <c r="C169" t="s">
        <v>34</v>
      </c>
      <c r="D169" t="s">
        <v>16</v>
      </c>
      <c r="E169" t="s">
        <v>86</v>
      </c>
      <c r="F169" t="s">
        <v>18</v>
      </c>
      <c r="G169" t="s">
        <v>151</v>
      </c>
      <c r="H169" t="s">
        <v>46</v>
      </c>
      <c r="I169" t="s">
        <v>152</v>
      </c>
      <c r="J169" t="s">
        <v>22</v>
      </c>
      <c r="K169" t="s">
        <v>23</v>
      </c>
      <c r="L169" t="s">
        <v>90</v>
      </c>
      <c r="M169" t="s">
        <v>330</v>
      </c>
    </row>
    <row r="170" spans="1:13">
      <c r="A170" t="s">
        <v>332</v>
      </c>
      <c r="B170" t="s">
        <v>329</v>
      </c>
      <c r="C170" t="s">
        <v>27</v>
      </c>
      <c r="D170" t="s">
        <v>16</v>
      </c>
      <c r="E170" t="s">
        <v>56</v>
      </c>
      <c r="F170" t="s">
        <v>140</v>
      </c>
      <c r="G170" t="s">
        <v>141</v>
      </c>
      <c r="H170" t="s">
        <v>142</v>
      </c>
      <c r="I170" t="s">
        <v>143</v>
      </c>
      <c r="J170" t="s">
        <v>62</v>
      </c>
      <c r="K170" t="s">
        <v>31</v>
      </c>
      <c r="L170" t="s">
        <v>69</v>
      </c>
      <c r="M170" t="s">
        <v>330</v>
      </c>
    </row>
    <row r="171" spans="1:13">
      <c r="A171" t="s">
        <v>333</v>
      </c>
      <c r="B171" t="s">
        <v>329</v>
      </c>
      <c r="C171" t="s">
        <v>15</v>
      </c>
      <c r="D171" t="s">
        <v>42</v>
      </c>
      <c r="E171" t="s">
        <v>56</v>
      </c>
      <c r="F171" t="s">
        <v>18</v>
      </c>
      <c r="G171" t="s">
        <v>38</v>
      </c>
      <c r="H171" t="s">
        <v>58</v>
      </c>
      <c r="I171" t="s">
        <v>94</v>
      </c>
      <c r="J171" t="s">
        <v>22</v>
      </c>
      <c r="K171" t="s">
        <v>31</v>
      </c>
      <c r="L171" t="s">
        <v>69</v>
      </c>
      <c r="M171" t="s">
        <v>330</v>
      </c>
    </row>
    <row r="172" spans="1:13">
      <c r="A172" t="s">
        <v>334</v>
      </c>
      <c r="B172" t="s">
        <v>335</v>
      </c>
      <c r="C172" t="s">
        <v>49</v>
      </c>
      <c r="D172" t="s">
        <v>42</v>
      </c>
      <c r="E172" t="s">
        <v>36</v>
      </c>
      <c r="F172" t="s">
        <v>140</v>
      </c>
      <c r="G172" t="s">
        <v>336</v>
      </c>
      <c r="H172" t="s">
        <v>141</v>
      </c>
      <c r="I172" t="s">
        <v>89</v>
      </c>
      <c r="J172" t="s">
        <v>22</v>
      </c>
      <c r="K172" t="s">
        <v>23</v>
      </c>
      <c r="L172" t="s">
        <v>39</v>
      </c>
      <c r="M172" t="s">
        <v>330</v>
      </c>
    </row>
    <row r="173" spans="1:13">
      <c r="A173" t="s">
        <v>337</v>
      </c>
      <c r="B173" t="s">
        <v>338</v>
      </c>
      <c r="C173" t="s">
        <v>15</v>
      </c>
      <c r="D173" t="s">
        <v>16</v>
      </c>
      <c r="E173" t="s">
        <v>56</v>
      </c>
      <c r="F173" t="s">
        <v>18</v>
      </c>
      <c r="G173" t="s">
        <v>57</v>
      </c>
      <c r="H173" t="s">
        <v>58</v>
      </c>
      <c r="I173" t="s">
        <v>59</v>
      </c>
      <c r="J173" t="s">
        <v>22</v>
      </c>
      <c r="K173" t="s">
        <v>31</v>
      </c>
      <c r="L173" t="s">
        <v>60</v>
      </c>
      <c r="M173" t="s">
        <v>330</v>
      </c>
    </row>
    <row r="174" spans="1:13">
      <c r="A174" t="s">
        <v>339</v>
      </c>
      <c r="B174" t="s">
        <v>338</v>
      </c>
      <c r="C174" t="s">
        <v>15</v>
      </c>
      <c r="D174" t="s">
        <v>42</v>
      </c>
      <c r="E174" t="s">
        <v>86</v>
      </c>
      <c r="F174" t="s">
        <v>18</v>
      </c>
      <c r="G174" t="s">
        <v>151</v>
      </c>
      <c r="H174" t="s">
        <v>46</v>
      </c>
      <c r="I174" t="s">
        <v>152</v>
      </c>
      <c r="J174" t="s">
        <v>30</v>
      </c>
      <c r="K174" t="s">
        <v>23</v>
      </c>
      <c r="L174" t="s">
        <v>90</v>
      </c>
      <c r="M174" t="s">
        <v>330</v>
      </c>
    </row>
    <row r="175" spans="1:13">
      <c r="A175" t="s">
        <v>340</v>
      </c>
      <c r="B175" t="s">
        <v>338</v>
      </c>
      <c r="C175" t="s">
        <v>49</v>
      </c>
      <c r="D175" t="s">
        <v>16</v>
      </c>
      <c r="E175" t="s">
        <v>56</v>
      </c>
      <c r="F175" t="s">
        <v>18</v>
      </c>
      <c r="G175" t="s">
        <v>38</v>
      </c>
      <c r="H175" t="s">
        <v>58</v>
      </c>
      <c r="I175" t="s">
        <v>94</v>
      </c>
      <c r="J175" t="s">
        <v>30</v>
      </c>
      <c r="K175" t="s">
        <v>23</v>
      </c>
      <c r="L175" t="s">
        <v>69</v>
      </c>
      <c r="M175" t="s">
        <v>330</v>
      </c>
    </row>
    <row r="176" spans="1:13">
      <c r="A176" t="s">
        <v>341</v>
      </c>
      <c r="B176" t="s">
        <v>338</v>
      </c>
      <c r="C176" t="s">
        <v>27</v>
      </c>
      <c r="D176" t="s">
        <v>42</v>
      </c>
      <c r="E176" t="s">
        <v>86</v>
      </c>
      <c r="F176" t="s">
        <v>65</v>
      </c>
      <c r="G176" t="s">
        <v>87</v>
      </c>
      <c r="H176" t="s">
        <v>88</v>
      </c>
      <c r="I176" t="s">
        <v>89</v>
      </c>
      <c r="J176" t="s">
        <v>30</v>
      </c>
      <c r="K176" t="s">
        <v>31</v>
      </c>
      <c r="L176" t="s">
        <v>90</v>
      </c>
      <c r="M176" t="s">
        <v>330</v>
      </c>
    </row>
    <row r="177" spans="1:13">
      <c r="A177" t="s">
        <v>342</v>
      </c>
      <c r="B177" t="s">
        <v>343</v>
      </c>
      <c r="C177" t="s">
        <v>49</v>
      </c>
      <c r="D177" t="s">
        <v>42</v>
      </c>
      <c r="E177" t="s">
        <v>43</v>
      </c>
      <c r="F177" t="s">
        <v>140</v>
      </c>
      <c r="G177" t="s">
        <v>197</v>
      </c>
      <c r="H177" t="s">
        <v>198</v>
      </c>
      <c r="I177" t="s">
        <v>199</v>
      </c>
      <c r="J177" t="s">
        <v>30</v>
      </c>
      <c r="K177" t="s">
        <v>23</v>
      </c>
      <c r="L177" t="s">
        <v>51</v>
      </c>
      <c r="M177" t="s">
        <v>330</v>
      </c>
    </row>
    <row r="178" spans="1:13">
      <c r="A178" t="s">
        <v>344</v>
      </c>
      <c r="B178" t="s">
        <v>343</v>
      </c>
      <c r="C178" t="s">
        <v>27</v>
      </c>
      <c r="D178" t="s">
        <v>16</v>
      </c>
      <c r="E178" t="s">
        <v>56</v>
      </c>
      <c r="F178" t="s">
        <v>18</v>
      </c>
      <c r="G178" t="s">
        <v>107</v>
      </c>
      <c r="H178" t="s">
        <v>58</v>
      </c>
      <c r="I178" t="s">
        <v>155</v>
      </c>
      <c r="J178" t="s">
        <v>30</v>
      </c>
      <c r="K178" t="s">
        <v>23</v>
      </c>
      <c r="L178" t="s">
        <v>156</v>
      </c>
      <c r="M178" t="s">
        <v>330</v>
      </c>
    </row>
    <row r="179" spans="1:13">
      <c r="A179" t="s">
        <v>345</v>
      </c>
      <c r="B179" t="s">
        <v>346</v>
      </c>
      <c r="C179" t="s">
        <v>15</v>
      </c>
      <c r="D179" t="s">
        <v>16</v>
      </c>
      <c r="E179" t="s">
        <v>43</v>
      </c>
      <c r="F179" t="s">
        <v>65</v>
      </c>
      <c r="G179" t="s">
        <v>145</v>
      </c>
      <c r="H179" t="s">
        <v>146</v>
      </c>
      <c r="I179" t="s">
        <v>97</v>
      </c>
      <c r="J179" t="s">
        <v>30</v>
      </c>
      <c r="K179" t="s">
        <v>31</v>
      </c>
      <c r="L179" t="s">
        <v>51</v>
      </c>
      <c r="M179" t="s">
        <v>330</v>
      </c>
    </row>
    <row r="180" spans="1:13">
      <c r="A180" t="s">
        <v>347</v>
      </c>
      <c r="B180" t="s">
        <v>346</v>
      </c>
      <c r="C180" t="s">
        <v>27</v>
      </c>
      <c r="D180" t="s">
        <v>16</v>
      </c>
      <c r="E180" t="s">
        <v>43</v>
      </c>
      <c r="F180" t="s">
        <v>18</v>
      </c>
      <c r="G180" t="s">
        <v>50</v>
      </c>
      <c r="H180" t="s">
        <v>45</v>
      </c>
      <c r="I180" t="s">
        <v>29</v>
      </c>
      <c r="J180" t="s">
        <v>22</v>
      </c>
      <c r="K180" t="s">
        <v>31</v>
      </c>
      <c r="L180" t="s">
        <v>51</v>
      </c>
      <c r="M180" t="s">
        <v>330</v>
      </c>
    </row>
    <row r="181" spans="1:13">
      <c r="A181" t="s">
        <v>348</v>
      </c>
      <c r="B181" t="s">
        <v>349</v>
      </c>
      <c r="C181" t="s">
        <v>34</v>
      </c>
      <c r="D181" t="s">
        <v>16</v>
      </c>
      <c r="E181" t="s">
        <v>36</v>
      </c>
      <c r="F181" t="s">
        <v>18</v>
      </c>
      <c r="G181" t="s">
        <v>233</v>
      </c>
      <c r="H181" t="s">
        <v>38</v>
      </c>
      <c r="I181" t="s">
        <v>234</v>
      </c>
      <c r="J181" t="s">
        <v>30</v>
      </c>
      <c r="K181" t="s">
        <v>23</v>
      </c>
      <c r="L181" t="s">
        <v>83</v>
      </c>
      <c r="M181" t="s">
        <v>330</v>
      </c>
    </row>
    <row r="182" spans="1:13">
      <c r="A182" t="s">
        <v>350</v>
      </c>
      <c r="B182" t="s">
        <v>349</v>
      </c>
      <c r="C182" t="s">
        <v>27</v>
      </c>
      <c r="D182" t="s">
        <v>16</v>
      </c>
      <c r="E182" t="s">
        <v>56</v>
      </c>
      <c r="F182" t="s">
        <v>65</v>
      </c>
      <c r="G182" t="s">
        <v>351</v>
      </c>
      <c r="H182" t="s">
        <v>67</v>
      </c>
      <c r="I182" t="s">
        <v>352</v>
      </c>
      <c r="J182" t="s">
        <v>30</v>
      </c>
      <c r="K182" t="s">
        <v>31</v>
      </c>
      <c r="L182" t="s">
        <v>60</v>
      </c>
      <c r="M182" t="s">
        <v>330</v>
      </c>
    </row>
    <row r="183" spans="1:13">
      <c r="A183" t="s">
        <v>353</v>
      </c>
      <c r="B183" t="s">
        <v>349</v>
      </c>
      <c r="C183" t="s">
        <v>49</v>
      </c>
      <c r="D183" t="s">
        <v>16</v>
      </c>
      <c r="E183" t="s">
        <v>56</v>
      </c>
      <c r="F183" t="s">
        <v>18</v>
      </c>
      <c r="G183" t="s">
        <v>38</v>
      </c>
      <c r="H183" t="s">
        <v>58</v>
      </c>
      <c r="I183" t="s">
        <v>94</v>
      </c>
      <c r="J183" t="s">
        <v>22</v>
      </c>
      <c r="K183" t="s">
        <v>23</v>
      </c>
      <c r="L183" t="s">
        <v>69</v>
      </c>
      <c r="M183" t="s">
        <v>330</v>
      </c>
    </row>
    <row r="184" spans="1:13">
      <c r="A184" t="s">
        <v>354</v>
      </c>
      <c r="B184" t="s">
        <v>349</v>
      </c>
      <c r="C184" t="s">
        <v>49</v>
      </c>
      <c r="D184" t="s">
        <v>42</v>
      </c>
      <c r="E184" t="s">
        <v>17</v>
      </c>
      <c r="F184" t="s">
        <v>18</v>
      </c>
      <c r="G184" t="s">
        <v>28</v>
      </c>
      <c r="H184" t="s">
        <v>20</v>
      </c>
      <c r="I184" t="s">
        <v>29</v>
      </c>
      <c r="J184" t="s">
        <v>30</v>
      </c>
      <c r="K184" t="s">
        <v>23</v>
      </c>
      <c r="L184" t="s">
        <v>32</v>
      </c>
      <c r="M184" t="s">
        <v>330</v>
      </c>
    </row>
    <row r="185" spans="1:13">
      <c r="A185" t="s">
        <v>355</v>
      </c>
      <c r="B185" t="s">
        <v>349</v>
      </c>
      <c r="C185" t="s">
        <v>15</v>
      </c>
      <c r="D185" t="s">
        <v>16</v>
      </c>
      <c r="E185" t="s">
        <v>17</v>
      </c>
      <c r="F185" t="s">
        <v>65</v>
      </c>
      <c r="G185" t="s">
        <v>38</v>
      </c>
      <c r="H185" t="s">
        <v>46</v>
      </c>
      <c r="I185" t="s">
        <v>97</v>
      </c>
      <c r="J185" t="s">
        <v>62</v>
      </c>
      <c r="K185" t="s">
        <v>31</v>
      </c>
      <c r="L185" t="s">
        <v>32</v>
      </c>
      <c r="M185" t="s">
        <v>330</v>
      </c>
    </row>
    <row r="186" spans="1:13">
      <c r="A186" t="s">
        <v>356</v>
      </c>
      <c r="B186" t="s">
        <v>357</v>
      </c>
      <c r="C186" t="s">
        <v>49</v>
      </c>
      <c r="D186" t="s">
        <v>16</v>
      </c>
      <c r="E186" t="s">
        <v>17</v>
      </c>
      <c r="F186" t="s">
        <v>18</v>
      </c>
      <c r="G186" t="s">
        <v>19</v>
      </c>
      <c r="H186" t="s">
        <v>20</v>
      </c>
      <c r="I186" t="s">
        <v>21</v>
      </c>
      <c r="J186" t="s">
        <v>30</v>
      </c>
      <c r="K186" t="s">
        <v>23</v>
      </c>
      <c r="L186" t="s">
        <v>24</v>
      </c>
      <c r="M186" t="s">
        <v>330</v>
      </c>
    </row>
    <row r="187" spans="1:13">
      <c r="A187" t="s">
        <v>358</v>
      </c>
      <c r="B187" t="s">
        <v>357</v>
      </c>
      <c r="C187" t="s">
        <v>15</v>
      </c>
      <c r="D187" t="s">
        <v>16</v>
      </c>
      <c r="E187" t="s">
        <v>17</v>
      </c>
      <c r="F187" t="s">
        <v>18</v>
      </c>
      <c r="G187" t="s">
        <v>28</v>
      </c>
      <c r="H187" t="s">
        <v>20</v>
      </c>
      <c r="I187" t="s">
        <v>29</v>
      </c>
      <c r="J187" t="s">
        <v>30</v>
      </c>
      <c r="K187" t="s">
        <v>23</v>
      </c>
      <c r="L187" t="s">
        <v>32</v>
      </c>
      <c r="M187" t="s">
        <v>330</v>
      </c>
    </row>
    <row r="188" spans="1:13">
      <c r="A188" t="s">
        <v>359</v>
      </c>
      <c r="B188" t="s">
        <v>357</v>
      </c>
      <c r="C188" t="s">
        <v>34</v>
      </c>
      <c r="D188" t="s">
        <v>16</v>
      </c>
      <c r="E188" t="s">
        <v>17</v>
      </c>
      <c r="F188" t="s">
        <v>18</v>
      </c>
      <c r="G188" t="s">
        <v>190</v>
      </c>
      <c r="H188" t="s">
        <v>20</v>
      </c>
      <c r="I188" t="s">
        <v>191</v>
      </c>
      <c r="J188" t="s">
        <v>62</v>
      </c>
      <c r="K188" t="s">
        <v>31</v>
      </c>
      <c r="L188" t="s">
        <v>125</v>
      </c>
      <c r="M188" t="s">
        <v>330</v>
      </c>
    </row>
    <row r="189" spans="1:13">
      <c r="A189" t="s">
        <v>360</v>
      </c>
      <c r="B189" t="s">
        <v>357</v>
      </c>
      <c r="C189" t="s">
        <v>49</v>
      </c>
      <c r="D189" t="s">
        <v>16</v>
      </c>
      <c r="E189" t="s">
        <v>36</v>
      </c>
      <c r="F189" t="s">
        <v>18</v>
      </c>
      <c r="G189" t="s">
        <v>37</v>
      </c>
      <c r="H189" t="s">
        <v>38</v>
      </c>
      <c r="I189" t="s">
        <v>20</v>
      </c>
      <c r="J189" t="s">
        <v>30</v>
      </c>
      <c r="K189" t="s">
        <v>23</v>
      </c>
      <c r="L189" t="s">
        <v>39</v>
      </c>
      <c r="M189" t="s">
        <v>330</v>
      </c>
    </row>
    <row r="190" spans="1:13">
      <c r="A190" t="s">
        <v>361</v>
      </c>
      <c r="B190" t="s">
        <v>357</v>
      </c>
      <c r="C190" t="s">
        <v>49</v>
      </c>
      <c r="D190" t="s">
        <v>42</v>
      </c>
      <c r="E190" t="s">
        <v>56</v>
      </c>
      <c r="F190" t="s">
        <v>18</v>
      </c>
      <c r="G190" t="s">
        <v>57</v>
      </c>
      <c r="H190" t="s">
        <v>58</v>
      </c>
      <c r="I190" t="s">
        <v>59</v>
      </c>
      <c r="J190" t="s">
        <v>30</v>
      </c>
      <c r="K190" t="s">
        <v>23</v>
      </c>
      <c r="L190" t="s">
        <v>60</v>
      </c>
      <c r="M190" t="s">
        <v>330</v>
      </c>
    </row>
    <row r="191" spans="1:13">
      <c r="A191" t="s">
        <v>362</v>
      </c>
      <c r="B191" t="s">
        <v>363</v>
      </c>
      <c r="C191" t="s">
        <v>27</v>
      </c>
      <c r="D191" t="s">
        <v>16</v>
      </c>
      <c r="E191" t="s">
        <v>43</v>
      </c>
      <c r="F191" t="s">
        <v>18</v>
      </c>
      <c r="G191" t="s">
        <v>50</v>
      </c>
      <c r="H191" t="s">
        <v>45</v>
      </c>
      <c r="I191" t="s">
        <v>29</v>
      </c>
      <c r="J191" t="s">
        <v>30</v>
      </c>
      <c r="K191" t="s">
        <v>23</v>
      </c>
      <c r="L191" t="s">
        <v>51</v>
      </c>
      <c r="M191" t="s">
        <v>330</v>
      </c>
    </row>
    <row r="192" spans="1:13">
      <c r="A192" t="s">
        <v>364</v>
      </c>
      <c r="B192" t="s">
        <v>363</v>
      </c>
      <c r="C192" t="s">
        <v>15</v>
      </c>
      <c r="D192" t="s">
        <v>16</v>
      </c>
      <c r="E192" t="s">
        <v>43</v>
      </c>
      <c r="F192" t="s">
        <v>18</v>
      </c>
      <c r="G192" t="s">
        <v>44</v>
      </c>
      <c r="H192" t="s">
        <v>45</v>
      </c>
      <c r="I192" t="s">
        <v>46</v>
      </c>
      <c r="J192" t="s">
        <v>30</v>
      </c>
      <c r="K192" t="s">
        <v>31</v>
      </c>
      <c r="L192" t="s">
        <v>47</v>
      </c>
      <c r="M192" t="s">
        <v>330</v>
      </c>
    </row>
    <row r="193" spans="1:13">
      <c r="A193" t="s">
        <v>365</v>
      </c>
      <c r="B193" t="s">
        <v>363</v>
      </c>
      <c r="C193" t="s">
        <v>15</v>
      </c>
      <c r="D193" t="s">
        <v>16</v>
      </c>
      <c r="E193" t="s">
        <v>86</v>
      </c>
      <c r="F193" t="s">
        <v>18</v>
      </c>
      <c r="G193" t="s">
        <v>151</v>
      </c>
      <c r="H193" t="s">
        <v>46</v>
      </c>
      <c r="I193" t="s">
        <v>152</v>
      </c>
      <c r="J193" t="s">
        <v>30</v>
      </c>
      <c r="K193" t="s">
        <v>23</v>
      </c>
      <c r="L193" t="s">
        <v>90</v>
      </c>
      <c r="M193" t="s">
        <v>330</v>
      </c>
    </row>
    <row r="194" spans="1:13">
      <c r="A194" t="s">
        <v>366</v>
      </c>
      <c r="B194" t="s">
        <v>363</v>
      </c>
      <c r="C194" t="s">
        <v>27</v>
      </c>
      <c r="D194" t="s">
        <v>16</v>
      </c>
      <c r="E194" t="s">
        <v>56</v>
      </c>
      <c r="F194" t="s">
        <v>18</v>
      </c>
      <c r="G194" t="s">
        <v>38</v>
      </c>
      <c r="H194" t="s">
        <v>58</v>
      </c>
      <c r="I194" t="s">
        <v>94</v>
      </c>
      <c r="J194" t="s">
        <v>22</v>
      </c>
      <c r="K194" t="s">
        <v>31</v>
      </c>
      <c r="L194" t="s">
        <v>69</v>
      </c>
      <c r="M194" t="s">
        <v>330</v>
      </c>
    </row>
    <row r="195" spans="1:13">
      <c r="A195" t="s">
        <v>367</v>
      </c>
      <c r="B195" t="s">
        <v>368</v>
      </c>
      <c r="C195" t="s">
        <v>34</v>
      </c>
      <c r="D195" t="s">
        <v>42</v>
      </c>
      <c r="E195" t="s">
        <v>36</v>
      </c>
      <c r="F195" t="s">
        <v>18</v>
      </c>
      <c r="G195" t="s">
        <v>37</v>
      </c>
      <c r="H195" t="s">
        <v>38</v>
      </c>
      <c r="I195" t="s">
        <v>20</v>
      </c>
      <c r="J195" t="s">
        <v>62</v>
      </c>
      <c r="K195" t="s">
        <v>31</v>
      </c>
      <c r="L195" t="s">
        <v>39</v>
      </c>
      <c r="M195" t="s">
        <v>330</v>
      </c>
    </row>
    <row r="196" spans="1:13">
      <c r="A196" t="s">
        <v>369</v>
      </c>
      <c r="B196" t="s">
        <v>368</v>
      </c>
      <c r="C196" t="s">
        <v>27</v>
      </c>
      <c r="D196" t="s">
        <v>16</v>
      </c>
      <c r="E196" t="s">
        <v>86</v>
      </c>
      <c r="F196" t="s">
        <v>18</v>
      </c>
      <c r="G196" t="s">
        <v>248</v>
      </c>
      <c r="H196" t="s">
        <v>46</v>
      </c>
      <c r="I196" t="s">
        <v>249</v>
      </c>
      <c r="J196" t="s">
        <v>30</v>
      </c>
      <c r="K196" t="s">
        <v>31</v>
      </c>
      <c r="L196" t="s">
        <v>122</v>
      </c>
      <c r="M196" t="s">
        <v>330</v>
      </c>
    </row>
    <row r="197" spans="1:13">
      <c r="A197" t="s">
        <v>370</v>
      </c>
      <c r="B197" t="s">
        <v>368</v>
      </c>
      <c r="C197" t="s">
        <v>49</v>
      </c>
      <c r="D197" t="s">
        <v>53</v>
      </c>
      <c r="E197" t="s">
        <v>86</v>
      </c>
      <c r="F197" t="s">
        <v>18</v>
      </c>
      <c r="G197" t="s">
        <v>151</v>
      </c>
      <c r="H197" t="s">
        <v>46</v>
      </c>
      <c r="I197" t="s">
        <v>152</v>
      </c>
      <c r="J197" t="s">
        <v>22</v>
      </c>
      <c r="K197" t="s">
        <v>31</v>
      </c>
      <c r="L197" t="s">
        <v>90</v>
      </c>
      <c r="M197" t="s">
        <v>330</v>
      </c>
    </row>
    <row r="198" spans="1:13">
      <c r="A198" t="s">
        <v>371</v>
      </c>
      <c r="B198" t="s">
        <v>372</v>
      </c>
      <c r="C198" t="s">
        <v>34</v>
      </c>
      <c r="D198" t="s">
        <v>16</v>
      </c>
      <c r="E198" t="s">
        <v>43</v>
      </c>
      <c r="F198" t="s">
        <v>65</v>
      </c>
      <c r="G198" t="s">
        <v>336</v>
      </c>
      <c r="H198" t="s">
        <v>146</v>
      </c>
      <c r="I198" t="s">
        <v>88</v>
      </c>
      <c r="J198" t="s">
        <v>30</v>
      </c>
      <c r="K198" t="s">
        <v>23</v>
      </c>
      <c r="L198" t="s">
        <v>47</v>
      </c>
      <c r="M198" t="s">
        <v>330</v>
      </c>
    </row>
    <row r="199" spans="1:13">
      <c r="A199" t="s">
        <v>373</v>
      </c>
      <c r="B199" t="s">
        <v>372</v>
      </c>
      <c r="C199" t="s">
        <v>34</v>
      </c>
      <c r="D199" t="s">
        <v>16</v>
      </c>
      <c r="E199" t="s">
        <v>56</v>
      </c>
      <c r="F199" t="s">
        <v>140</v>
      </c>
      <c r="G199" t="s">
        <v>141</v>
      </c>
      <c r="H199" t="s">
        <v>142</v>
      </c>
      <c r="I199" t="s">
        <v>143</v>
      </c>
      <c r="J199" t="s">
        <v>62</v>
      </c>
      <c r="K199" t="s">
        <v>23</v>
      </c>
      <c r="L199" t="s">
        <v>69</v>
      </c>
      <c r="M199" t="s">
        <v>330</v>
      </c>
    </row>
    <row r="200" spans="1:13">
      <c r="A200" t="s">
        <v>374</v>
      </c>
      <c r="B200" t="s">
        <v>372</v>
      </c>
      <c r="C200" t="s">
        <v>27</v>
      </c>
      <c r="D200" t="s">
        <v>42</v>
      </c>
      <c r="E200" t="s">
        <v>86</v>
      </c>
      <c r="F200" t="s">
        <v>18</v>
      </c>
      <c r="G200" t="s">
        <v>151</v>
      </c>
      <c r="H200" t="s">
        <v>46</v>
      </c>
      <c r="I200" t="s">
        <v>152</v>
      </c>
      <c r="J200" t="s">
        <v>30</v>
      </c>
      <c r="K200" t="s">
        <v>31</v>
      </c>
      <c r="L200" t="s">
        <v>90</v>
      </c>
      <c r="M200" t="s">
        <v>330</v>
      </c>
    </row>
    <row r="201" spans="1:13">
      <c r="A201" t="s">
        <v>375</v>
      </c>
      <c r="B201" t="s">
        <v>376</v>
      </c>
      <c r="C201" t="s">
        <v>15</v>
      </c>
      <c r="D201" t="s">
        <v>53</v>
      </c>
      <c r="E201" t="s">
        <v>56</v>
      </c>
      <c r="F201" t="s">
        <v>18</v>
      </c>
      <c r="G201" t="s">
        <v>38</v>
      </c>
      <c r="H201" t="s">
        <v>58</v>
      </c>
      <c r="I201" t="s">
        <v>94</v>
      </c>
      <c r="J201" t="s">
        <v>30</v>
      </c>
      <c r="K201" t="s">
        <v>31</v>
      </c>
      <c r="L201" t="s">
        <v>69</v>
      </c>
      <c r="M201" t="s">
        <v>330</v>
      </c>
    </row>
    <row r="202" spans="1:13">
      <c r="A202" t="s">
        <v>377</v>
      </c>
      <c r="B202" t="s">
        <v>378</v>
      </c>
      <c r="C202" t="s">
        <v>34</v>
      </c>
      <c r="D202" t="s">
        <v>53</v>
      </c>
      <c r="E202" t="s">
        <v>86</v>
      </c>
      <c r="F202" t="s">
        <v>18</v>
      </c>
      <c r="G202" t="s">
        <v>248</v>
      </c>
      <c r="H202" t="s">
        <v>46</v>
      </c>
      <c r="I202" t="s">
        <v>249</v>
      </c>
      <c r="J202" t="s">
        <v>30</v>
      </c>
      <c r="K202" t="s">
        <v>23</v>
      </c>
      <c r="L202" t="s">
        <v>122</v>
      </c>
      <c r="M202" t="s">
        <v>330</v>
      </c>
    </row>
    <row r="203" spans="1:13">
      <c r="A203" t="s">
        <v>379</v>
      </c>
      <c r="B203" t="s">
        <v>380</v>
      </c>
      <c r="C203" t="s">
        <v>34</v>
      </c>
      <c r="D203" t="s">
        <v>42</v>
      </c>
      <c r="E203" t="s">
        <v>17</v>
      </c>
      <c r="F203" t="s">
        <v>18</v>
      </c>
      <c r="G203" t="s">
        <v>28</v>
      </c>
      <c r="H203" t="s">
        <v>20</v>
      </c>
      <c r="I203" t="s">
        <v>29</v>
      </c>
      <c r="J203" t="s">
        <v>22</v>
      </c>
      <c r="K203" t="s">
        <v>23</v>
      </c>
      <c r="L203" t="s">
        <v>32</v>
      </c>
      <c r="M203" t="s">
        <v>330</v>
      </c>
    </row>
    <row r="204" spans="1:13">
      <c r="A204" t="s">
        <v>381</v>
      </c>
      <c r="B204" t="s">
        <v>380</v>
      </c>
      <c r="C204" t="s">
        <v>49</v>
      </c>
      <c r="D204" t="s">
        <v>42</v>
      </c>
      <c r="E204" t="s">
        <v>56</v>
      </c>
      <c r="F204" t="s">
        <v>18</v>
      </c>
      <c r="G204" t="s">
        <v>38</v>
      </c>
      <c r="H204" t="s">
        <v>58</v>
      </c>
      <c r="I204" t="s">
        <v>94</v>
      </c>
      <c r="J204" t="s">
        <v>62</v>
      </c>
      <c r="K204" t="s">
        <v>23</v>
      </c>
      <c r="L204" t="s">
        <v>69</v>
      </c>
      <c r="M204" t="s">
        <v>330</v>
      </c>
    </row>
    <row r="205" spans="1:13">
      <c r="A205" t="s">
        <v>382</v>
      </c>
      <c r="B205" t="s">
        <v>380</v>
      </c>
      <c r="C205" t="s">
        <v>49</v>
      </c>
      <c r="D205" t="s">
        <v>16</v>
      </c>
      <c r="E205" t="s">
        <v>43</v>
      </c>
      <c r="F205" t="s">
        <v>140</v>
      </c>
      <c r="G205" t="s">
        <v>197</v>
      </c>
      <c r="H205" t="s">
        <v>198</v>
      </c>
      <c r="I205" t="s">
        <v>199</v>
      </c>
      <c r="J205" t="s">
        <v>30</v>
      </c>
      <c r="K205" t="s">
        <v>23</v>
      </c>
      <c r="L205" t="s">
        <v>51</v>
      </c>
      <c r="M205" t="s">
        <v>330</v>
      </c>
    </row>
    <row r="206" spans="1:13">
      <c r="A206" t="s">
        <v>383</v>
      </c>
      <c r="B206" t="s">
        <v>384</v>
      </c>
      <c r="C206" t="s">
        <v>15</v>
      </c>
      <c r="D206" t="s">
        <v>16</v>
      </c>
      <c r="E206" t="s">
        <v>36</v>
      </c>
      <c r="F206" t="s">
        <v>18</v>
      </c>
      <c r="G206" t="s">
        <v>37</v>
      </c>
      <c r="H206" t="s">
        <v>38</v>
      </c>
      <c r="I206" t="s">
        <v>20</v>
      </c>
      <c r="J206" t="s">
        <v>62</v>
      </c>
      <c r="K206" t="s">
        <v>31</v>
      </c>
      <c r="L206" t="s">
        <v>39</v>
      </c>
      <c r="M206" t="s">
        <v>330</v>
      </c>
    </row>
    <row r="207" spans="1:13">
      <c r="A207" t="s">
        <v>385</v>
      </c>
      <c r="B207" t="s">
        <v>384</v>
      </c>
      <c r="C207" t="s">
        <v>27</v>
      </c>
      <c r="D207" t="s">
        <v>16</v>
      </c>
      <c r="E207" t="s">
        <v>17</v>
      </c>
      <c r="F207" t="s">
        <v>18</v>
      </c>
      <c r="G207" t="s">
        <v>28</v>
      </c>
      <c r="H207" t="s">
        <v>20</v>
      </c>
      <c r="I207" t="s">
        <v>29</v>
      </c>
      <c r="J207" t="s">
        <v>22</v>
      </c>
      <c r="K207" t="s">
        <v>23</v>
      </c>
      <c r="L207" t="s">
        <v>32</v>
      </c>
      <c r="M207" t="s">
        <v>330</v>
      </c>
    </row>
    <row r="208" spans="1:13">
      <c r="A208" t="s">
        <v>386</v>
      </c>
      <c r="B208" t="s">
        <v>384</v>
      </c>
      <c r="C208" t="s">
        <v>15</v>
      </c>
      <c r="D208" t="s">
        <v>42</v>
      </c>
      <c r="E208" t="s">
        <v>86</v>
      </c>
      <c r="F208" t="s">
        <v>18</v>
      </c>
      <c r="G208" t="s">
        <v>151</v>
      </c>
      <c r="H208" t="s">
        <v>46</v>
      </c>
      <c r="I208" t="s">
        <v>152</v>
      </c>
      <c r="J208" t="s">
        <v>30</v>
      </c>
      <c r="K208" t="s">
        <v>23</v>
      </c>
      <c r="L208" t="s">
        <v>90</v>
      </c>
      <c r="M208" t="s">
        <v>330</v>
      </c>
    </row>
    <row r="209" spans="1:13">
      <c r="A209" t="s">
        <v>387</v>
      </c>
      <c r="B209" t="s">
        <v>384</v>
      </c>
      <c r="C209" t="s">
        <v>49</v>
      </c>
      <c r="D209" t="s">
        <v>16</v>
      </c>
      <c r="E209" t="s">
        <v>43</v>
      </c>
      <c r="F209" t="s">
        <v>18</v>
      </c>
      <c r="G209" t="s">
        <v>50</v>
      </c>
      <c r="H209" t="s">
        <v>45</v>
      </c>
      <c r="I209" t="s">
        <v>29</v>
      </c>
      <c r="J209" t="s">
        <v>30</v>
      </c>
      <c r="K209" t="s">
        <v>31</v>
      </c>
      <c r="L209" t="s">
        <v>51</v>
      </c>
      <c r="M209" t="s">
        <v>330</v>
      </c>
    </row>
    <row r="210" spans="1:13">
      <c r="A210" t="s">
        <v>388</v>
      </c>
      <c r="B210" t="s">
        <v>389</v>
      </c>
      <c r="C210" t="s">
        <v>27</v>
      </c>
      <c r="D210" t="s">
        <v>16</v>
      </c>
      <c r="E210" t="s">
        <v>36</v>
      </c>
      <c r="F210" t="s">
        <v>18</v>
      </c>
      <c r="G210" t="s">
        <v>37</v>
      </c>
      <c r="H210" t="s">
        <v>38</v>
      </c>
      <c r="I210" t="s">
        <v>20</v>
      </c>
      <c r="J210" t="s">
        <v>30</v>
      </c>
      <c r="K210" t="s">
        <v>31</v>
      </c>
      <c r="L210" t="s">
        <v>39</v>
      </c>
      <c r="M210" t="s">
        <v>330</v>
      </c>
    </row>
    <row r="211" spans="1:13">
      <c r="A211" t="s">
        <v>390</v>
      </c>
      <c r="B211" t="s">
        <v>389</v>
      </c>
      <c r="C211" t="s">
        <v>15</v>
      </c>
      <c r="D211" t="s">
        <v>16</v>
      </c>
      <c r="E211" t="s">
        <v>17</v>
      </c>
      <c r="F211" t="s">
        <v>65</v>
      </c>
      <c r="G211" t="s">
        <v>107</v>
      </c>
      <c r="H211" t="s">
        <v>46</v>
      </c>
      <c r="I211" t="s">
        <v>124</v>
      </c>
      <c r="J211" t="s">
        <v>30</v>
      </c>
      <c r="K211" t="s">
        <v>23</v>
      </c>
      <c r="L211" t="s">
        <v>125</v>
      </c>
      <c r="M211" t="s">
        <v>330</v>
      </c>
    </row>
    <row r="212" spans="1:13">
      <c r="A212" t="s">
        <v>391</v>
      </c>
      <c r="B212" t="s">
        <v>389</v>
      </c>
      <c r="C212" t="s">
        <v>34</v>
      </c>
      <c r="D212" t="s">
        <v>42</v>
      </c>
      <c r="E212" t="s">
        <v>36</v>
      </c>
      <c r="F212" t="s">
        <v>140</v>
      </c>
      <c r="G212" t="s">
        <v>336</v>
      </c>
      <c r="H212" t="s">
        <v>141</v>
      </c>
      <c r="I212" t="s">
        <v>89</v>
      </c>
      <c r="J212" t="s">
        <v>62</v>
      </c>
      <c r="K212" t="s">
        <v>23</v>
      </c>
      <c r="L212" t="s">
        <v>39</v>
      </c>
      <c r="M212" t="s">
        <v>330</v>
      </c>
    </row>
    <row r="213" spans="1:13">
      <c r="A213" t="s">
        <v>392</v>
      </c>
      <c r="B213" t="s">
        <v>393</v>
      </c>
      <c r="C213" t="s">
        <v>15</v>
      </c>
      <c r="D213" t="s">
        <v>53</v>
      </c>
      <c r="E213" t="s">
        <v>86</v>
      </c>
      <c r="F213" t="s">
        <v>65</v>
      </c>
      <c r="G213" t="s">
        <v>394</v>
      </c>
      <c r="H213" t="s">
        <v>88</v>
      </c>
      <c r="I213" t="s">
        <v>395</v>
      </c>
      <c r="J213" t="s">
        <v>22</v>
      </c>
      <c r="K213" t="s">
        <v>23</v>
      </c>
      <c r="L213" t="s">
        <v>131</v>
      </c>
      <c r="M213" t="s">
        <v>330</v>
      </c>
    </row>
    <row r="214" spans="1:13">
      <c r="A214" t="s">
        <v>396</v>
      </c>
      <c r="B214" t="s">
        <v>393</v>
      </c>
      <c r="C214" t="s">
        <v>15</v>
      </c>
      <c r="D214" t="s">
        <v>53</v>
      </c>
      <c r="E214" t="s">
        <v>36</v>
      </c>
      <c r="F214" t="s">
        <v>18</v>
      </c>
      <c r="G214" t="s">
        <v>37</v>
      </c>
      <c r="H214" t="s">
        <v>38</v>
      </c>
      <c r="I214" t="s">
        <v>20</v>
      </c>
      <c r="J214" t="s">
        <v>22</v>
      </c>
      <c r="K214" t="s">
        <v>31</v>
      </c>
      <c r="L214" t="s">
        <v>39</v>
      </c>
      <c r="M214" t="s">
        <v>330</v>
      </c>
    </row>
    <row r="215" spans="1:13">
      <c r="A215" t="s">
        <v>397</v>
      </c>
      <c r="B215" t="s">
        <v>398</v>
      </c>
      <c r="C215" t="s">
        <v>34</v>
      </c>
      <c r="D215" t="s">
        <v>16</v>
      </c>
      <c r="E215" t="s">
        <v>36</v>
      </c>
      <c r="F215" t="s">
        <v>18</v>
      </c>
      <c r="G215" t="s">
        <v>107</v>
      </c>
      <c r="H215" t="s">
        <v>38</v>
      </c>
      <c r="I215" t="s">
        <v>108</v>
      </c>
      <c r="J215" t="s">
        <v>30</v>
      </c>
      <c r="K215" t="s">
        <v>23</v>
      </c>
      <c r="L215" t="s">
        <v>109</v>
      </c>
      <c r="M215" t="s">
        <v>330</v>
      </c>
    </row>
    <row r="216" spans="1:13">
      <c r="A216" t="s">
        <v>399</v>
      </c>
      <c r="B216" t="s">
        <v>398</v>
      </c>
      <c r="C216" t="s">
        <v>27</v>
      </c>
      <c r="D216" t="s">
        <v>42</v>
      </c>
      <c r="E216" t="s">
        <v>86</v>
      </c>
      <c r="F216" t="s">
        <v>18</v>
      </c>
      <c r="G216" t="s">
        <v>151</v>
      </c>
      <c r="H216" t="s">
        <v>46</v>
      </c>
      <c r="I216" t="s">
        <v>152</v>
      </c>
      <c r="J216" t="s">
        <v>30</v>
      </c>
      <c r="K216" t="s">
        <v>31</v>
      </c>
      <c r="L216" t="s">
        <v>90</v>
      </c>
      <c r="M216" t="s">
        <v>330</v>
      </c>
    </row>
    <row r="217" spans="1:13">
      <c r="A217" t="s">
        <v>400</v>
      </c>
      <c r="B217" t="s">
        <v>398</v>
      </c>
      <c r="C217" t="s">
        <v>34</v>
      </c>
      <c r="D217" t="s">
        <v>42</v>
      </c>
      <c r="E217" t="s">
        <v>86</v>
      </c>
      <c r="F217" t="s">
        <v>65</v>
      </c>
      <c r="G217" t="s">
        <v>87</v>
      </c>
      <c r="H217" t="s">
        <v>88</v>
      </c>
      <c r="I217" t="s">
        <v>89</v>
      </c>
      <c r="J217" t="s">
        <v>30</v>
      </c>
      <c r="K217" t="s">
        <v>23</v>
      </c>
      <c r="L217" t="s">
        <v>90</v>
      </c>
      <c r="M217" t="s">
        <v>330</v>
      </c>
    </row>
    <row r="218" spans="1:13">
      <c r="A218" t="s">
        <v>401</v>
      </c>
      <c r="B218" t="s">
        <v>402</v>
      </c>
      <c r="C218" t="s">
        <v>27</v>
      </c>
      <c r="D218" t="s">
        <v>16</v>
      </c>
      <c r="E218" t="s">
        <v>56</v>
      </c>
      <c r="F218" t="s">
        <v>18</v>
      </c>
      <c r="G218" t="s">
        <v>38</v>
      </c>
      <c r="H218" t="s">
        <v>58</v>
      </c>
      <c r="I218" t="s">
        <v>94</v>
      </c>
      <c r="J218" t="s">
        <v>30</v>
      </c>
      <c r="K218" t="s">
        <v>23</v>
      </c>
      <c r="L218" t="s">
        <v>69</v>
      </c>
      <c r="M218" t="s">
        <v>330</v>
      </c>
    </row>
    <row r="219" spans="1:13">
      <c r="A219" t="s">
        <v>403</v>
      </c>
      <c r="B219" t="s">
        <v>402</v>
      </c>
      <c r="C219" t="s">
        <v>27</v>
      </c>
      <c r="D219" t="s">
        <v>16</v>
      </c>
      <c r="E219" t="s">
        <v>36</v>
      </c>
      <c r="F219" t="s">
        <v>65</v>
      </c>
      <c r="G219" t="s">
        <v>238</v>
      </c>
      <c r="H219" t="s">
        <v>66</v>
      </c>
      <c r="I219" t="s">
        <v>46</v>
      </c>
      <c r="J219" t="s">
        <v>30</v>
      </c>
      <c r="K219" t="s">
        <v>23</v>
      </c>
      <c r="L219" t="s">
        <v>39</v>
      </c>
      <c r="M219" t="s">
        <v>330</v>
      </c>
    </row>
    <row r="220" spans="1:13">
      <c r="A220" t="s">
        <v>404</v>
      </c>
      <c r="B220" t="s">
        <v>405</v>
      </c>
      <c r="C220" t="s">
        <v>15</v>
      </c>
      <c r="D220" t="s">
        <v>42</v>
      </c>
      <c r="E220" t="s">
        <v>86</v>
      </c>
      <c r="F220" t="s">
        <v>18</v>
      </c>
      <c r="G220" t="s">
        <v>129</v>
      </c>
      <c r="H220" t="s">
        <v>46</v>
      </c>
      <c r="I220" t="s">
        <v>130</v>
      </c>
      <c r="J220" t="s">
        <v>30</v>
      </c>
      <c r="K220" t="s">
        <v>23</v>
      </c>
      <c r="L220" t="s">
        <v>131</v>
      </c>
      <c r="M220" t="s">
        <v>330</v>
      </c>
    </row>
    <row r="221" spans="1:13">
      <c r="A221" t="s">
        <v>406</v>
      </c>
      <c r="B221" t="s">
        <v>405</v>
      </c>
      <c r="C221" t="s">
        <v>49</v>
      </c>
      <c r="D221" t="s">
        <v>42</v>
      </c>
      <c r="E221" t="s">
        <v>17</v>
      </c>
      <c r="F221" t="s">
        <v>18</v>
      </c>
      <c r="G221" t="s">
        <v>28</v>
      </c>
      <c r="H221" t="s">
        <v>20</v>
      </c>
      <c r="I221" t="s">
        <v>29</v>
      </c>
      <c r="J221" t="s">
        <v>30</v>
      </c>
      <c r="K221" t="s">
        <v>23</v>
      </c>
      <c r="L221" t="s">
        <v>32</v>
      </c>
      <c r="M221" t="s">
        <v>330</v>
      </c>
    </row>
    <row r="222" spans="1:13">
      <c r="A222" t="s">
        <v>407</v>
      </c>
      <c r="B222" t="s">
        <v>405</v>
      </c>
      <c r="C222" t="s">
        <v>27</v>
      </c>
      <c r="D222" t="s">
        <v>16</v>
      </c>
      <c r="E222" t="s">
        <v>86</v>
      </c>
      <c r="F222" t="s">
        <v>18</v>
      </c>
      <c r="G222" t="s">
        <v>151</v>
      </c>
      <c r="H222" t="s">
        <v>46</v>
      </c>
      <c r="I222" t="s">
        <v>152</v>
      </c>
      <c r="J222" t="s">
        <v>30</v>
      </c>
      <c r="K222" t="s">
        <v>23</v>
      </c>
      <c r="L222" t="s">
        <v>90</v>
      </c>
      <c r="M222" t="s">
        <v>330</v>
      </c>
    </row>
    <row r="223" spans="1:13">
      <c r="A223" t="s">
        <v>408</v>
      </c>
      <c r="B223" t="s">
        <v>405</v>
      </c>
      <c r="C223" t="s">
        <v>27</v>
      </c>
      <c r="D223" t="s">
        <v>16</v>
      </c>
      <c r="E223" t="s">
        <v>86</v>
      </c>
      <c r="F223" t="s">
        <v>65</v>
      </c>
      <c r="G223" t="s">
        <v>120</v>
      </c>
      <c r="H223" t="s">
        <v>88</v>
      </c>
      <c r="I223" t="s">
        <v>121</v>
      </c>
      <c r="J223" t="s">
        <v>22</v>
      </c>
      <c r="K223" t="s">
        <v>31</v>
      </c>
      <c r="L223" t="s">
        <v>122</v>
      </c>
      <c r="M223" t="s">
        <v>330</v>
      </c>
    </row>
    <row r="224" spans="1:13">
      <c r="A224" t="s">
        <v>409</v>
      </c>
      <c r="B224" t="s">
        <v>405</v>
      </c>
      <c r="C224" t="s">
        <v>15</v>
      </c>
      <c r="D224" t="s">
        <v>16</v>
      </c>
      <c r="E224" t="s">
        <v>43</v>
      </c>
      <c r="F224" t="s">
        <v>18</v>
      </c>
      <c r="G224" t="s">
        <v>50</v>
      </c>
      <c r="H224" t="s">
        <v>45</v>
      </c>
      <c r="I224" t="s">
        <v>29</v>
      </c>
      <c r="J224" t="s">
        <v>62</v>
      </c>
      <c r="K224" t="s">
        <v>23</v>
      </c>
      <c r="L224" t="s">
        <v>51</v>
      </c>
      <c r="M224" t="s">
        <v>330</v>
      </c>
    </row>
    <row r="225" spans="1:13">
      <c r="A225" t="s">
        <v>410</v>
      </c>
      <c r="B225" t="s">
        <v>411</v>
      </c>
      <c r="C225" t="s">
        <v>34</v>
      </c>
      <c r="D225" t="s">
        <v>42</v>
      </c>
      <c r="E225" t="s">
        <v>86</v>
      </c>
      <c r="F225" t="s">
        <v>18</v>
      </c>
      <c r="G225" t="s">
        <v>151</v>
      </c>
      <c r="H225" t="s">
        <v>46</v>
      </c>
      <c r="I225" t="s">
        <v>152</v>
      </c>
      <c r="J225" t="s">
        <v>30</v>
      </c>
      <c r="K225" t="s">
        <v>31</v>
      </c>
      <c r="L225" t="s">
        <v>90</v>
      </c>
      <c r="M225" t="s">
        <v>330</v>
      </c>
    </row>
    <row r="226" spans="1:13">
      <c r="A226" t="s">
        <v>412</v>
      </c>
      <c r="B226" t="s">
        <v>411</v>
      </c>
      <c r="C226" t="s">
        <v>49</v>
      </c>
      <c r="D226" t="s">
        <v>53</v>
      </c>
      <c r="E226" t="s">
        <v>86</v>
      </c>
      <c r="F226" t="s">
        <v>18</v>
      </c>
      <c r="G226" t="s">
        <v>151</v>
      </c>
      <c r="H226" t="s">
        <v>46</v>
      </c>
      <c r="I226" t="s">
        <v>152</v>
      </c>
      <c r="J226" t="s">
        <v>30</v>
      </c>
      <c r="K226" t="s">
        <v>31</v>
      </c>
      <c r="L226" t="s">
        <v>90</v>
      </c>
      <c r="M226" t="s">
        <v>330</v>
      </c>
    </row>
    <row r="227" spans="1:13">
      <c r="A227" t="s">
        <v>413</v>
      </c>
      <c r="B227" t="s">
        <v>414</v>
      </c>
      <c r="C227" t="s">
        <v>15</v>
      </c>
      <c r="D227" t="s">
        <v>16</v>
      </c>
      <c r="E227" t="s">
        <v>43</v>
      </c>
      <c r="F227" t="s">
        <v>18</v>
      </c>
      <c r="G227" t="s">
        <v>44</v>
      </c>
      <c r="H227" t="s">
        <v>45</v>
      </c>
      <c r="I227" t="s">
        <v>46</v>
      </c>
      <c r="J227" t="s">
        <v>22</v>
      </c>
      <c r="K227" t="s">
        <v>31</v>
      </c>
      <c r="L227" t="s">
        <v>47</v>
      </c>
      <c r="M227" t="s">
        <v>330</v>
      </c>
    </row>
    <row r="228" spans="1:13">
      <c r="A228" t="s">
        <v>415</v>
      </c>
      <c r="B228" t="s">
        <v>414</v>
      </c>
      <c r="C228" t="s">
        <v>27</v>
      </c>
      <c r="D228" t="s">
        <v>16</v>
      </c>
      <c r="E228" t="s">
        <v>56</v>
      </c>
      <c r="F228" t="s">
        <v>18</v>
      </c>
      <c r="G228" t="s">
        <v>38</v>
      </c>
      <c r="H228" t="s">
        <v>58</v>
      </c>
      <c r="I228" t="s">
        <v>94</v>
      </c>
      <c r="J228" t="s">
        <v>22</v>
      </c>
      <c r="K228" t="s">
        <v>31</v>
      </c>
      <c r="L228" t="s">
        <v>69</v>
      </c>
      <c r="M228" t="s">
        <v>330</v>
      </c>
    </row>
    <row r="229" spans="1:13">
      <c r="A229" t="s">
        <v>416</v>
      </c>
      <c r="B229" t="s">
        <v>414</v>
      </c>
      <c r="C229" t="s">
        <v>15</v>
      </c>
      <c r="D229" t="s">
        <v>42</v>
      </c>
      <c r="E229" t="s">
        <v>17</v>
      </c>
      <c r="F229" t="s">
        <v>18</v>
      </c>
      <c r="G229" t="s">
        <v>28</v>
      </c>
      <c r="H229" t="s">
        <v>20</v>
      </c>
      <c r="I229" t="s">
        <v>29</v>
      </c>
      <c r="J229" t="s">
        <v>30</v>
      </c>
      <c r="K229" t="s">
        <v>23</v>
      </c>
      <c r="L229" t="s">
        <v>32</v>
      </c>
      <c r="M229" t="s">
        <v>330</v>
      </c>
    </row>
    <row r="230" spans="1:13">
      <c r="A230" t="s">
        <v>417</v>
      </c>
      <c r="B230" t="s">
        <v>418</v>
      </c>
      <c r="C230" t="s">
        <v>49</v>
      </c>
      <c r="D230" t="s">
        <v>42</v>
      </c>
      <c r="E230" t="s">
        <v>36</v>
      </c>
      <c r="F230" t="s">
        <v>18</v>
      </c>
      <c r="G230" t="s">
        <v>37</v>
      </c>
      <c r="H230" t="s">
        <v>38</v>
      </c>
      <c r="I230" t="s">
        <v>20</v>
      </c>
      <c r="J230" t="s">
        <v>30</v>
      </c>
      <c r="K230" t="s">
        <v>31</v>
      </c>
      <c r="L230" t="s">
        <v>39</v>
      </c>
      <c r="M230" t="s">
        <v>330</v>
      </c>
    </row>
    <row r="231" spans="1:13">
      <c r="A231" t="s">
        <v>419</v>
      </c>
      <c r="B231" t="s">
        <v>420</v>
      </c>
      <c r="C231" t="s">
        <v>34</v>
      </c>
      <c r="D231" t="s">
        <v>16</v>
      </c>
      <c r="E231" t="s">
        <v>36</v>
      </c>
      <c r="F231" t="s">
        <v>18</v>
      </c>
      <c r="G231" t="s">
        <v>107</v>
      </c>
      <c r="H231" t="s">
        <v>38</v>
      </c>
      <c r="I231" t="s">
        <v>108</v>
      </c>
      <c r="J231" t="s">
        <v>22</v>
      </c>
      <c r="K231" t="s">
        <v>23</v>
      </c>
      <c r="L231" t="s">
        <v>109</v>
      </c>
      <c r="M231" t="s">
        <v>330</v>
      </c>
    </row>
    <row r="232" spans="1:13">
      <c r="A232" t="s">
        <v>421</v>
      </c>
      <c r="B232" t="s">
        <v>420</v>
      </c>
      <c r="C232" t="s">
        <v>49</v>
      </c>
      <c r="D232" t="s">
        <v>53</v>
      </c>
      <c r="E232" t="s">
        <v>43</v>
      </c>
      <c r="F232" t="s">
        <v>18</v>
      </c>
      <c r="G232" t="s">
        <v>50</v>
      </c>
      <c r="H232" t="s">
        <v>45</v>
      </c>
      <c r="I232" t="s">
        <v>29</v>
      </c>
      <c r="J232" t="s">
        <v>62</v>
      </c>
      <c r="K232" t="s">
        <v>23</v>
      </c>
      <c r="L232" t="s">
        <v>51</v>
      </c>
      <c r="M232" t="s">
        <v>330</v>
      </c>
    </row>
    <row r="233" spans="1:13">
      <c r="A233" t="s">
        <v>422</v>
      </c>
      <c r="B233" t="s">
        <v>420</v>
      </c>
      <c r="C233" t="s">
        <v>27</v>
      </c>
      <c r="D233" t="s">
        <v>16</v>
      </c>
      <c r="E233" t="s">
        <v>17</v>
      </c>
      <c r="F233" t="s">
        <v>140</v>
      </c>
      <c r="G233" t="s">
        <v>72</v>
      </c>
      <c r="H233" t="s">
        <v>89</v>
      </c>
      <c r="I233" t="s">
        <v>199</v>
      </c>
      <c r="J233" t="s">
        <v>30</v>
      </c>
      <c r="K233" t="s">
        <v>23</v>
      </c>
      <c r="L233" t="s">
        <v>32</v>
      </c>
      <c r="M233" t="s">
        <v>330</v>
      </c>
    </row>
    <row r="234" spans="1:13">
      <c r="A234" t="s">
        <v>423</v>
      </c>
      <c r="B234" t="s">
        <v>420</v>
      </c>
      <c r="C234" t="s">
        <v>27</v>
      </c>
      <c r="D234" t="s">
        <v>16</v>
      </c>
      <c r="E234" t="s">
        <v>56</v>
      </c>
      <c r="F234" t="s">
        <v>18</v>
      </c>
      <c r="G234" t="s">
        <v>38</v>
      </c>
      <c r="H234" t="s">
        <v>58</v>
      </c>
      <c r="I234" t="s">
        <v>94</v>
      </c>
      <c r="J234" t="s">
        <v>62</v>
      </c>
      <c r="K234" t="s">
        <v>23</v>
      </c>
      <c r="L234" t="s">
        <v>69</v>
      </c>
      <c r="M234" t="s">
        <v>330</v>
      </c>
    </row>
    <row r="235" spans="1:13">
      <c r="A235" t="s">
        <v>424</v>
      </c>
      <c r="B235" t="s">
        <v>420</v>
      </c>
      <c r="C235" t="s">
        <v>15</v>
      </c>
      <c r="D235" t="s">
        <v>42</v>
      </c>
      <c r="E235" t="s">
        <v>56</v>
      </c>
      <c r="F235" t="s">
        <v>18</v>
      </c>
      <c r="G235" t="s">
        <v>38</v>
      </c>
      <c r="H235" t="s">
        <v>58</v>
      </c>
      <c r="I235" t="s">
        <v>94</v>
      </c>
      <c r="J235" t="s">
        <v>22</v>
      </c>
      <c r="K235" t="s">
        <v>23</v>
      </c>
      <c r="L235" t="s">
        <v>69</v>
      </c>
      <c r="M235" t="s">
        <v>330</v>
      </c>
    </row>
    <row r="236" spans="1:13">
      <c r="A236" t="s">
        <v>425</v>
      </c>
      <c r="B236" t="s">
        <v>426</v>
      </c>
      <c r="C236" t="s">
        <v>27</v>
      </c>
      <c r="D236" t="s">
        <v>16</v>
      </c>
      <c r="E236" t="s">
        <v>56</v>
      </c>
      <c r="F236" t="s">
        <v>65</v>
      </c>
      <c r="G236" t="s">
        <v>66</v>
      </c>
      <c r="H236" t="s">
        <v>67</v>
      </c>
      <c r="I236" t="s">
        <v>68</v>
      </c>
      <c r="J236" t="s">
        <v>30</v>
      </c>
      <c r="K236" t="s">
        <v>23</v>
      </c>
      <c r="L236" t="s">
        <v>69</v>
      </c>
      <c r="M236" t="s">
        <v>330</v>
      </c>
    </row>
    <row r="237" spans="1:13">
      <c r="A237" t="s">
        <v>427</v>
      </c>
      <c r="B237" t="s">
        <v>426</v>
      </c>
      <c r="C237" t="s">
        <v>34</v>
      </c>
      <c r="D237" t="s">
        <v>42</v>
      </c>
      <c r="E237" t="s">
        <v>56</v>
      </c>
      <c r="F237" t="s">
        <v>18</v>
      </c>
      <c r="G237" t="s">
        <v>38</v>
      </c>
      <c r="H237" t="s">
        <v>58</v>
      </c>
      <c r="I237" t="s">
        <v>94</v>
      </c>
      <c r="J237" t="s">
        <v>30</v>
      </c>
      <c r="K237" t="s">
        <v>31</v>
      </c>
      <c r="L237" t="s">
        <v>69</v>
      </c>
      <c r="M237" t="s">
        <v>330</v>
      </c>
    </row>
    <row r="238" spans="1:13">
      <c r="A238" t="s">
        <v>428</v>
      </c>
      <c r="B238" t="s">
        <v>429</v>
      </c>
      <c r="C238" t="s">
        <v>15</v>
      </c>
      <c r="D238" t="s">
        <v>53</v>
      </c>
      <c r="E238" t="s">
        <v>17</v>
      </c>
      <c r="F238" t="s">
        <v>18</v>
      </c>
      <c r="G238" t="s">
        <v>19</v>
      </c>
      <c r="H238" t="s">
        <v>20</v>
      </c>
      <c r="I238" t="s">
        <v>21</v>
      </c>
      <c r="J238" t="s">
        <v>62</v>
      </c>
      <c r="K238" t="s">
        <v>31</v>
      </c>
      <c r="L238" t="s">
        <v>24</v>
      </c>
      <c r="M238" t="s">
        <v>330</v>
      </c>
    </row>
    <row r="239" spans="1:13">
      <c r="A239" t="s">
        <v>430</v>
      </c>
      <c r="B239" t="s">
        <v>431</v>
      </c>
      <c r="C239" t="s">
        <v>27</v>
      </c>
      <c r="D239" t="s">
        <v>53</v>
      </c>
      <c r="E239" t="s">
        <v>43</v>
      </c>
      <c r="F239" t="s">
        <v>140</v>
      </c>
      <c r="G239" t="s">
        <v>432</v>
      </c>
      <c r="H239" t="s">
        <v>198</v>
      </c>
      <c r="I239" t="s">
        <v>152</v>
      </c>
      <c r="J239" t="s">
        <v>30</v>
      </c>
      <c r="K239" t="s">
        <v>31</v>
      </c>
      <c r="L239" t="s">
        <v>74</v>
      </c>
      <c r="M239" t="s">
        <v>330</v>
      </c>
    </row>
    <row r="240" spans="1:13">
      <c r="A240" t="s">
        <v>433</v>
      </c>
      <c r="B240" t="s">
        <v>431</v>
      </c>
      <c r="C240" t="s">
        <v>34</v>
      </c>
      <c r="D240" t="s">
        <v>53</v>
      </c>
      <c r="E240" t="s">
        <v>43</v>
      </c>
      <c r="F240" t="s">
        <v>18</v>
      </c>
      <c r="G240" t="s">
        <v>50</v>
      </c>
      <c r="H240" t="s">
        <v>45</v>
      </c>
      <c r="I240" t="s">
        <v>29</v>
      </c>
      <c r="J240" t="s">
        <v>30</v>
      </c>
      <c r="K240" t="s">
        <v>23</v>
      </c>
      <c r="L240" t="s">
        <v>51</v>
      </c>
      <c r="M240" t="s">
        <v>330</v>
      </c>
    </row>
    <row r="241" spans="1:13">
      <c r="A241" t="s">
        <v>434</v>
      </c>
      <c r="B241" t="s">
        <v>431</v>
      </c>
      <c r="C241" t="s">
        <v>15</v>
      </c>
      <c r="D241" t="s">
        <v>42</v>
      </c>
      <c r="E241" t="s">
        <v>86</v>
      </c>
      <c r="F241" t="s">
        <v>18</v>
      </c>
      <c r="G241" t="s">
        <v>151</v>
      </c>
      <c r="H241" t="s">
        <v>46</v>
      </c>
      <c r="I241" t="s">
        <v>152</v>
      </c>
      <c r="J241" t="s">
        <v>22</v>
      </c>
      <c r="K241" t="s">
        <v>23</v>
      </c>
      <c r="L241" t="s">
        <v>90</v>
      </c>
      <c r="M241" t="s">
        <v>330</v>
      </c>
    </row>
    <row r="242" spans="1:13">
      <c r="A242" t="s">
        <v>435</v>
      </c>
      <c r="B242" t="s">
        <v>431</v>
      </c>
      <c r="C242" t="s">
        <v>34</v>
      </c>
      <c r="D242" t="s">
        <v>42</v>
      </c>
      <c r="E242" t="s">
        <v>36</v>
      </c>
      <c r="F242" t="s">
        <v>18</v>
      </c>
      <c r="G242" t="s">
        <v>37</v>
      </c>
      <c r="H242" t="s">
        <v>38</v>
      </c>
      <c r="I242" t="s">
        <v>20</v>
      </c>
      <c r="J242" t="s">
        <v>30</v>
      </c>
      <c r="K242" t="s">
        <v>31</v>
      </c>
      <c r="L242" t="s">
        <v>39</v>
      </c>
      <c r="M242" t="s">
        <v>330</v>
      </c>
    </row>
    <row r="243" spans="1:13">
      <c r="A243" t="s">
        <v>436</v>
      </c>
      <c r="B243" t="s">
        <v>431</v>
      </c>
      <c r="C243" t="s">
        <v>27</v>
      </c>
      <c r="D243" t="s">
        <v>16</v>
      </c>
      <c r="E243" t="s">
        <v>43</v>
      </c>
      <c r="F243" t="s">
        <v>65</v>
      </c>
      <c r="G243" t="s">
        <v>141</v>
      </c>
      <c r="H243" t="s">
        <v>146</v>
      </c>
      <c r="I243" t="s">
        <v>20</v>
      </c>
      <c r="J243" t="s">
        <v>62</v>
      </c>
      <c r="K243" t="s">
        <v>31</v>
      </c>
      <c r="L243" t="s">
        <v>74</v>
      </c>
      <c r="M243" t="s">
        <v>330</v>
      </c>
    </row>
    <row r="244" spans="1:13">
      <c r="A244" t="s">
        <v>437</v>
      </c>
      <c r="B244" t="s">
        <v>438</v>
      </c>
      <c r="C244" t="s">
        <v>15</v>
      </c>
      <c r="D244" t="s">
        <v>53</v>
      </c>
      <c r="E244" t="s">
        <v>17</v>
      </c>
      <c r="F244" t="s">
        <v>65</v>
      </c>
      <c r="G244" t="s">
        <v>57</v>
      </c>
      <c r="H244" t="s">
        <v>46</v>
      </c>
      <c r="I244" t="s">
        <v>439</v>
      </c>
      <c r="J244" t="s">
        <v>30</v>
      </c>
      <c r="K244" t="s">
        <v>23</v>
      </c>
      <c r="L244" t="s">
        <v>24</v>
      </c>
      <c r="M244" t="s">
        <v>330</v>
      </c>
    </row>
    <row r="245" spans="1:13">
      <c r="A245" t="s">
        <v>440</v>
      </c>
      <c r="B245" t="s">
        <v>438</v>
      </c>
      <c r="C245" t="s">
        <v>34</v>
      </c>
      <c r="D245" t="s">
        <v>16</v>
      </c>
      <c r="E245" t="s">
        <v>36</v>
      </c>
      <c r="F245" t="s">
        <v>18</v>
      </c>
      <c r="G245" t="s">
        <v>37</v>
      </c>
      <c r="H245" t="s">
        <v>38</v>
      </c>
      <c r="I245" t="s">
        <v>20</v>
      </c>
      <c r="J245" t="s">
        <v>62</v>
      </c>
      <c r="K245" t="s">
        <v>23</v>
      </c>
      <c r="L245" t="s">
        <v>39</v>
      </c>
      <c r="M245" t="s">
        <v>330</v>
      </c>
    </row>
    <row r="246" spans="1:13">
      <c r="A246" t="s">
        <v>441</v>
      </c>
      <c r="B246" t="s">
        <v>442</v>
      </c>
      <c r="C246" t="s">
        <v>49</v>
      </c>
      <c r="D246" t="s">
        <v>53</v>
      </c>
      <c r="E246" t="s">
        <v>86</v>
      </c>
      <c r="F246" t="s">
        <v>18</v>
      </c>
      <c r="G246" t="s">
        <v>151</v>
      </c>
      <c r="H246" t="s">
        <v>46</v>
      </c>
      <c r="I246" t="s">
        <v>152</v>
      </c>
      <c r="J246" t="s">
        <v>22</v>
      </c>
      <c r="K246" t="s">
        <v>23</v>
      </c>
      <c r="L246" t="s">
        <v>90</v>
      </c>
      <c r="M246" t="s">
        <v>330</v>
      </c>
    </row>
    <row r="247" spans="1:13">
      <c r="A247" t="s">
        <v>443</v>
      </c>
      <c r="B247" t="s">
        <v>442</v>
      </c>
      <c r="C247" t="s">
        <v>15</v>
      </c>
      <c r="D247" t="s">
        <v>53</v>
      </c>
      <c r="E247" t="s">
        <v>17</v>
      </c>
      <c r="F247" t="s">
        <v>65</v>
      </c>
      <c r="G247" t="s">
        <v>57</v>
      </c>
      <c r="H247" t="s">
        <v>46</v>
      </c>
      <c r="I247" t="s">
        <v>439</v>
      </c>
      <c r="J247" t="s">
        <v>62</v>
      </c>
      <c r="K247" t="s">
        <v>31</v>
      </c>
      <c r="L247" t="s">
        <v>24</v>
      </c>
      <c r="M247" t="s">
        <v>330</v>
      </c>
    </row>
    <row r="248" spans="1:13">
      <c r="A248" t="s">
        <v>444</v>
      </c>
      <c r="B248" t="s">
        <v>445</v>
      </c>
      <c r="C248" t="s">
        <v>15</v>
      </c>
      <c r="D248" t="s">
        <v>16</v>
      </c>
      <c r="E248" t="s">
        <v>43</v>
      </c>
      <c r="F248" t="s">
        <v>65</v>
      </c>
      <c r="G248" t="s">
        <v>145</v>
      </c>
      <c r="H248" t="s">
        <v>146</v>
      </c>
      <c r="I248" t="s">
        <v>97</v>
      </c>
      <c r="J248" t="s">
        <v>30</v>
      </c>
      <c r="K248" t="s">
        <v>23</v>
      </c>
      <c r="L248" t="s">
        <v>51</v>
      </c>
      <c r="M248" t="s">
        <v>330</v>
      </c>
    </row>
    <row r="249" spans="1:13">
      <c r="A249" t="s">
        <v>446</v>
      </c>
      <c r="B249" t="s">
        <v>445</v>
      </c>
      <c r="C249" t="s">
        <v>27</v>
      </c>
      <c r="D249" t="s">
        <v>42</v>
      </c>
      <c r="E249" t="s">
        <v>86</v>
      </c>
      <c r="F249" t="s">
        <v>65</v>
      </c>
      <c r="G249" t="s">
        <v>87</v>
      </c>
      <c r="H249" t="s">
        <v>88</v>
      </c>
      <c r="I249" t="s">
        <v>89</v>
      </c>
      <c r="J249" t="s">
        <v>30</v>
      </c>
      <c r="K249" t="s">
        <v>23</v>
      </c>
      <c r="L249" t="s">
        <v>90</v>
      </c>
      <c r="M249" t="s">
        <v>330</v>
      </c>
    </row>
    <row r="250" spans="1:13">
      <c r="A250" t="s">
        <v>447</v>
      </c>
      <c r="B250" t="s">
        <v>445</v>
      </c>
      <c r="C250" t="s">
        <v>34</v>
      </c>
      <c r="D250" t="s">
        <v>53</v>
      </c>
      <c r="E250" t="s">
        <v>36</v>
      </c>
      <c r="F250" t="s">
        <v>18</v>
      </c>
      <c r="G250" t="s">
        <v>37</v>
      </c>
      <c r="H250" t="s">
        <v>38</v>
      </c>
      <c r="I250" t="s">
        <v>20</v>
      </c>
      <c r="J250" t="s">
        <v>30</v>
      </c>
      <c r="K250" t="s">
        <v>23</v>
      </c>
      <c r="L250" t="s">
        <v>39</v>
      </c>
      <c r="M250" t="s">
        <v>330</v>
      </c>
    </row>
    <row r="251" spans="1:13">
      <c r="A251" t="s">
        <v>448</v>
      </c>
      <c r="B251" t="s">
        <v>449</v>
      </c>
      <c r="C251" t="s">
        <v>49</v>
      </c>
      <c r="D251" t="s">
        <v>16</v>
      </c>
      <c r="E251" t="s">
        <v>86</v>
      </c>
      <c r="F251" t="s">
        <v>18</v>
      </c>
      <c r="G251" t="s">
        <v>129</v>
      </c>
      <c r="H251" t="s">
        <v>46</v>
      </c>
      <c r="I251" t="s">
        <v>130</v>
      </c>
      <c r="J251" t="s">
        <v>22</v>
      </c>
      <c r="K251" t="s">
        <v>23</v>
      </c>
      <c r="L251" t="s">
        <v>131</v>
      </c>
      <c r="M251" t="s">
        <v>330</v>
      </c>
    </row>
  </sheetData>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1"/>
  <sheetViews>
    <sheetView showGridLines="0" workbookViewId="0">
      <pane ySplit="1" topLeftCell="A2" activePane="bottomLeft" state="frozen"/>
      <selection pane="bottomLeft"/>
    </sheetView>
  </sheetViews>
  <sheetFormatPr defaultRowHeight="15"/>
  <cols>
    <col min="1" max="1" width="10" customWidth="1"/>
    <col min="2" max="2" width="21" customWidth="1"/>
    <col min="3" max="3" width="11" customWidth="1"/>
    <col min="4" max="9" width="10" customWidth="1"/>
    <col min="10" max="10" width="14" customWidth="1"/>
    <col min="11" max="11" width="12" customWidth="1"/>
    <col min="12" max="12" width="17" customWidth="1"/>
    <col min="13" max="13" width="10" customWidth="1"/>
    <col min="14" max="14" width="28" customWidth="1"/>
    <col min="15" max="15" width="42" customWidth="1"/>
    <col min="16" max="16" width="35" customWidth="1"/>
    <col min="17" max="17" width="38" customWidth="1"/>
    <col min="18" max="18" width="24" customWidth="1"/>
    <col min="19" max="19" width="28" customWidth="1"/>
    <col min="20" max="20" width="13" customWidth="1"/>
    <col min="21" max="21" width="1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450</v>
      </c>
      <c r="O1" s="1" t="s">
        <v>451</v>
      </c>
      <c r="P1" s="1" t="s">
        <v>452</v>
      </c>
      <c r="Q1" s="1" t="s">
        <v>453</v>
      </c>
      <c r="R1" s="1" t="s">
        <v>454</v>
      </c>
      <c r="S1" s="1" t="s">
        <v>455</v>
      </c>
      <c r="T1" s="1" t="s">
        <v>456</v>
      </c>
      <c r="U1" s="1" t="s">
        <v>457</v>
      </c>
    </row>
    <row r="2" spans="1:21">
      <c r="A2" s="2" t="s">
        <v>13</v>
      </c>
      <c r="B2" s="3">
        <v>46023</v>
      </c>
      <c r="C2" s="2" t="s">
        <v>15</v>
      </c>
      <c r="D2" s="2" t="s">
        <v>16</v>
      </c>
      <c r="E2" s="2" t="s">
        <v>17</v>
      </c>
      <c r="F2" s="4">
        <v>1</v>
      </c>
      <c r="G2" s="5">
        <v>81</v>
      </c>
      <c r="H2" s="5">
        <v>40</v>
      </c>
      <c r="I2" s="5">
        <v>41</v>
      </c>
      <c r="J2" s="2" t="s">
        <v>22</v>
      </c>
      <c r="K2" s="2" t="s">
        <v>458</v>
      </c>
      <c r="L2" s="6">
        <v>50.6</v>
      </c>
      <c r="M2" s="2" t="s">
        <v>25</v>
      </c>
      <c r="N2" s="7">
        <f>IF(B2="","",YEAR(B2))</f>
        <v>2026</v>
      </c>
      <c r="O2" s="7" t="str">
        <f>IF(B2="","","Q"&amp;ROUNDUP(MONTH(B2)/3,0))</f>
        <v>Q1</v>
      </c>
      <c r="P2" s="7" t="str">
        <f>IF(B2="","",TEXT(B2,"mmmm"))</f>
        <v>January</v>
      </c>
      <c r="Q2" s="7" t="str">
        <f>IF(B2="","",TEXT(B2,"yyyy-mm"))</f>
        <v>2026-01</v>
      </c>
      <c r="R2" s="8">
        <f>IFERROR(G2/F2,"")</f>
        <v>81</v>
      </c>
      <c r="S2" s="9">
        <f>IFERROR(I2/G2,"")</f>
        <v>0.50617283950617287</v>
      </c>
      <c r="T2" s="7" t="s">
        <v>459</v>
      </c>
      <c r="U2" s="7"/>
    </row>
    <row r="3" spans="1:21">
      <c r="A3" s="2" t="s">
        <v>26</v>
      </c>
      <c r="B3" s="3">
        <v>46023</v>
      </c>
      <c r="C3" s="2" t="s">
        <v>27</v>
      </c>
      <c r="D3" s="2" t="s">
        <v>16</v>
      </c>
      <c r="E3" s="2" t="s">
        <v>17</v>
      </c>
      <c r="F3" s="4">
        <v>1</v>
      </c>
      <c r="G3" s="5">
        <v>90</v>
      </c>
      <c r="H3" s="5">
        <v>40</v>
      </c>
      <c r="I3" s="5">
        <v>50</v>
      </c>
      <c r="J3" s="2" t="s">
        <v>460</v>
      </c>
      <c r="K3" s="2" t="s">
        <v>31</v>
      </c>
      <c r="L3" s="6">
        <v>55.6</v>
      </c>
      <c r="M3" s="2" t="s">
        <v>25</v>
      </c>
      <c r="N3" s="7">
        <f>IF(B3="","",YEAR(B3))</f>
        <v>2026</v>
      </c>
      <c r="O3" s="7" t="str">
        <f>IF(B3="","","Q"&amp;ROUNDUP(MONTH(B3)/3,0))</f>
        <v>Q1</v>
      </c>
      <c r="P3" s="7" t="str">
        <f>IF(B3="","",TEXT(B3,"mmmm"))</f>
        <v>January</v>
      </c>
      <c r="Q3" s="7" t="str">
        <f>IF(B3="","",TEXT(B3,"yyyy-mm"))</f>
        <v>2026-01</v>
      </c>
      <c r="R3" s="8">
        <f>IFERROR(G3/F3,"")</f>
        <v>90</v>
      </c>
      <c r="S3" s="9">
        <f>IFERROR(I3/G3,"")</f>
        <v>0.55555555555555558</v>
      </c>
      <c r="T3" s="7" t="s">
        <v>459</v>
      </c>
      <c r="U3" s="7"/>
    </row>
    <row r="4" spans="1:21">
      <c r="A4" s="2" t="s">
        <v>33</v>
      </c>
      <c r="B4" s="3">
        <v>46023</v>
      </c>
      <c r="C4" s="2" t="s">
        <v>34</v>
      </c>
      <c r="D4" s="2" t="s">
        <v>16</v>
      </c>
      <c r="E4" s="2" t="s">
        <v>17</v>
      </c>
      <c r="F4" s="4">
        <v>1</v>
      </c>
      <c r="G4" s="5">
        <v>90</v>
      </c>
      <c r="H4" s="5">
        <v>40</v>
      </c>
      <c r="I4" s="5">
        <v>50</v>
      </c>
      <c r="J4" s="2" t="s">
        <v>460</v>
      </c>
      <c r="K4" s="2" t="s">
        <v>458</v>
      </c>
      <c r="L4" s="6">
        <v>55.6</v>
      </c>
      <c r="M4" s="2" t="s">
        <v>25</v>
      </c>
      <c r="N4" s="7">
        <f>IF(B4="","",YEAR(B4))</f>
        <v>2026</v>
      </c>
      <c r="O4" s="7" t="str">
        <f>IF(B4="","","Q"&amp;ROUNDUP(MONTH(B4)/3,0))</f>
        <v>Q1</v>
      </c>
      <c r="P4" s="7" t="str">
        <f>IF(B4="","",TEXT(B4,"mmmm"))</f>
        <v>January</v>
      </c>
      <c r="Q4" s="7" t="str">
        <f>IF(B4="","",TEXT(B4,"yyyy-mm"))</f>
        <v>2026-01</v>
      </c>
      <c r="R4" s="8">
        <f>IFERROR(G4/F4,"")</f>
        <v>90</v>
      </c>
      <c r="S4" s="9">
        <f>IFERROR(I4/G4,"")</f>
        <v>0.55555555555555558</v>
      </c>
      <c r="T4" s="7" t="s">
        <v>459</v>
      </c>
      <c r="U4" s="7"/>
    </row>
    <row r="5" spans="1:21">
      <c r="A5" s="2" t="s">
        <v>35</v>
      </c>
      <c r="B5" s="3">
        <v>46023</v>
      </c>
      <c r="C5" s="2" t="s">
        <v>34</v>
      </c>
      <c r="D5" s="2" t="s">
        <v>16</v>
      </c>
      <c r="E5" s="2" t="s">
        <v>36</v>
      </c>
      <c r="F5" s="4">
        <v>1</v>
      </c>
      <c r="G5" s="5">
        <v>220</v>
      </c>
      <c r="H5" s="5">
        <v>180</v>
      </c>
      <c r="I5" s="5">
        <v>40</v>
      </c>
      <c r="J5" s="2" t="s">
        <v>460</v>
      </c>
      <c r="K5" s="2" t="s">
        <v>458</v>
      </c>
      <c r="L5" s="6">
        <v>18.2</v>
      </c>
      <c r="M5" s="2" t="s">
        <v>25</v>
      </c>
      <c r="N5" s="7">
        <f>IF(B5="","",YEAR(B5))</f>
        <v>2026</v>
      </c>
      <c r="O5" s="7" t="str">
        <f>IF(B5="","","Q"&amp;ROUNDUP(MONTH(B5)/3,0))</f>
        <v>Q1</v>
      </c>
      <c r="P5" s="7" t="str">
        <f>IF(B5="","",TEXT(B5,"mmmm"))</f>
        <v>January</v>
      </c>
      <c r="Q5" s="7" t="str">
        <f>IF(B5="","",TEXT(B5,"yyyy-mm"))</f>
        <v>2026-01</v>
      </c>
      <c r="R5" s="8">
        <f>IFERROR(G5/F5,"")</f>
        <v>220</v>
      </c>
      <c r="S5" s="9">
        <f>IFERROR(I5/G5,"")</f>
        <v>0.18181818181818182</v>
      </c>
      <c r="T5" s="7" t="s">
        <v>459</v>
      </c>
      <c r="U5" s="7"/>
    </row>
    <row r="6" spans="1:21">
      <c r="A6" s="2" t="s">
        <v>40</v>
      </c>
      <c r="B6" s="3">
        <v>46024</v>
      </c>
      <c r="C6" s="2" t="s">
        <v>27</v>
      </c>
      <c r="D6" s="2" t="s">
        <v>42</v>
      </c>
      <c r="E6" s="2" t="s">
        <v>43</v>
      </c>
      <c r="F6" s="4">
        <v>1</v>
      </c>
      <c r="G6" s="5">
        <v>330</v>
      </c>
      <c r="H6" s="5">
        <v>250</v>
      </c>
      <c r="I6" s="5">
        <v>80</v>
      </c>
      <c r="J6" s="2" t="s">
        <v>22</v>
      </c>
      <c r="K6" s="2" t="s">
        <v>458</v>
      </c>
      <c r="L6" s="6">
        <v>24.2</v>
      </c>
      <c r="M6" s="2" t="s">
        <v>25</v>
      </c>
      <c r="N6" s="7">
        <f>IF(B6="","",YEAR(B6))</f>
        <v>2026</v>
      </c>
      <c r="O6" s="7" t="str">
        <f>IF(B6="","","Q"&amp;ROUNDUP(MONTH(B6)/3,0))</f>
        <v>Q1</v>
      </c>
      <c r="P6" s="7" t="str">
        <f>IF(B6="","",TEXT(B6,"mmmm"))</f>
        <v>January</v>
      </c>
      <c r="Q6" s="7" t="str">
        <f>IF(B6="","",TEXT(B6,"yyyy-mm"))</f>
        <v>2026-01</v>
      </c>
      <c r="R6" s="8">
        <f>IFERROR(G6/F6,"")</f>
        <v>330</v>
      </c>
      <c r="S6" s="9">
        <f>IFERROR(I6/G6,"")</f>
        <v>0.24242424242424243</v>
      </c>
      <c r="T6" s="7" t="s">
        <v>459</v>
      </c>
      <c r="U6" s="7"/>
    </row>
    <row r="7" spans="1:21">
      <c r="A7" s="2" t="s">
        <v>48</v>
      </c>
      <c r="B7" s="3">
        <v>46024</v>
      </c>
      <c r="C7" s="2" t="s">
        <v>49</v>
      </c>
      <c r="D7" s="2" t="s">
        <v>42</v>
      </c>
      <c r="E7" s="2" t="s">
        <v>43</v>
      </c>
      <c r="F7" s="4">
        <v>1</v>
      </c>
      <c r="G7" s="5">
        <v>300</v>
      </c>
      <c r="H7" s="5">
        <v>250</v>
      </c>
      <c r="I7" s="5">
        <v>50</v>
      </c>
      <c r="J7" s="2" t="s">
        <v>22</v>
      </c>
      <c r="K7" s="2" t="s">
        <v>31</v>
      </c>
      <c r="L7" s="6">
        <v>16.7</v>
      </c>
      <c r="M7" s="2" t="s">
        <v>25</v>
      </c>
      <c r="N7" s="7">
        <f>IF(B7="","",YEAR(B7))</f>
        <v>2026</v>
      </c>
      <c r="O7" s="7" t="str">
        <f>IF(B7="","","Q"&amp;ROUNDUP(MONTH(B7)/3,0))</f>
        <v>Q1</v>
      </c>
      <c r="P7" s="7" t="str">
        <f>IF(B7="","",TEXT(B7,"mmmm"))</f>
        <v>January</v>
      </c>
      <c r="Q7" s="7" t="str">
        <f>IF(B7="","",TEXT(B7,"yyyy-mm"))</f>
        <v>2026-01</v>
      </c>
      <c r="R7" s="8">
        <f>IFERROR(G7/F7,"")</f>
        <v>300</v>
      </c>
      <c r="S7" s="9">
        <f>IFERROR(I7/G7,"")</f>
        <v>0.16666666666666666</v>
      </c>
      <c r="T7" s="7" t="s">
        <v>459</v>
      </c>
      <c r="U7" s="7"/>
    </row>
    <row r="8" spans="1:21">
      <c r="A8" s="2" t="s">
        <v>52</v>
      </c>
      <c r="B8" s="3">
        <v>46024</v>
      </c>
      <c r="C8" s="2" t="s">
        <v>34</v>
      </c>
      <c r="D8" s="2" t="s">
        <v>53</v>
      </c>
      <c r="E8" s="2" t="s">
        <v>43</v>
      </c>
      <c r="F8" s="4">
        <v>1</v>
      </c>
      <c r="G8" s="5">
        <v>300</v>
      </c>
      <c r="H8" s="5">
        <v>250</v>
      </c>
      <c r="I8" s="5">
        <v>50</v>
      </c>
      <c r="J8" s="2" t="s">
        <v>460</v>
      </c>
      <c r="K8" s="2" t="s">
        <v>31</v>
      </c>
      <c r="L8" s="6">
        <v>16.7</v>
      </c>
      <c r="M8" s="2" t="s">
        <v>25</v>
      </c>
      <c r="N8" s="7">
        <f>IF(B8="","",YEAR(B8))</f>
        <v>2026</v>
      </c>
      <c r="O8" s="7" t="str">
        <f>IF(B8="","","Q"&amp;ROUNDUP(MONTH(B8)/3,0))</f>
        <v>Q1</v>
      </c>
      <c r="P8" s="7" t="str">
        <f>IF(B8="","",TEXT(B8,"mmmm"))</f>
        <v>January</v>
      </c>
      <c r="Q8" s="7" t="str">
        <f>IF(B8="","",TEXT(B8,"yyyy-mm"))</f>
        <v>2026-01</v>
      </c>
      <c r="R8" s="8">
        <f>IFERROR(G8/F8,"")</f>
        <v>300</v>
      </c>
      <c r="S8" s="9">
        <f>IFERROR(I8/G8,"")</f>
        <v>0.16666666666666666</v>
      </c>
      <c r="T8" s="7" t="s">
        <v>459</v>
      </c>
      <c r="U8" s="7"/>
    </row>
    <row r="9" spans="1:21">
      <c r="A9" s="2" t="s">
        <v>54</v>
      </c>
      <c r="B9" s="3">
        <v>46025</v>
      </c>
      <c r="C9" s="2" t="s">
        <v>34</v>
      </c>
      <c r="D9" s="2" t="s">
        <v>42</v>
      </c>
      <c r="E9" s="2" t="s">
        <v>56</v>
      </c>
      <c r="F9" s="4">
        <v>1</v>
      </c>
      <c r="G9" s="5">
        <v>162</v>
      </c>
      <c r="H9" s="5">
        <v>115</v>
      </c>
      <c r="I9" s="5">
        <v>47</v>
      </c>
      <c r="J9" s="2" t="s">
        <v>460</v>
      </c>
      <c r="K9" s="2" t="s">
        <v>31</v>
      </c>
      <c r="L9" s="6">
        <v>29</v>
      </c>
      <c r="M9" s="2" t="s">
        <v>25</v>
      </c>
      <c r="N9" s="7">
        <f>IF(B9="","",YEAR(B9))</f>
        <v>2026</v>
      </c>
      <c r="O9" s="7" t="str">
        <f>IF(B9="","","Q"&amp;ROUNDUP(MONTH(B9)/3,0))</f>
        <v>Q1</v>
      </c>
      <c r="P9" s="7" t="str">
        <f>IF(B9="","",TEXT(B9,"mmmm"))</f>
        <v>January</v>
      </c>
      <c r="Q9" s="7" t="str">
        <f>IF(B9="","",TEXT(B9,"yyyy-mm"))</f>
        <v>2026-01</v>
      </c>
      <c r="R9" s="8">
        <f>IFERROR(G9/F9,"")</f>
        <v>162</v>
      </c>
      <c r="S9" s="9">
        <f>IFERROR(I9/G9,"")</f>
        <v>0.29012345679012347</v>
      </c>
      <c r="T9" s="7" t="s">
        <v>459</v>
      </c>
      <c r="U9" s="7"/>
    </row>
    <row r="10" spans="1:21">
      <c r="A10" s="2" t="s">
        <v>61</v>
      </c>
      <c r="B10" s="3">
        <v>46025</v>
      </c>
      <c r="C10" s="2" t="s">
        <v>34</v>
      </c>
      <c r="D10" s="2" t="s">
        <v>42</v>
      </c>
      <c r="E10" s="2" t="s">
        <v>43</v>
      </c>
      <c r="F10" s="4">
        <v>1</v>
      </c>
      <c r="G10" s="5">
        <v>300</v>
      </c>
      <c r="H10" s="5">
        <v>250</v>
      </c>
      <c r="I10" s="5">
        <v>50</v>
      </c>
      <c r="J10" s="2" t="s">
        <v>62</v>
      </c>
      <c r="K10" s="2" t="s">
        <v>458</v>
      </c>
      <c r="L10" s="6">
        <v>16.7</v>
      </c>
      <c r="M10" s="2" t="s">
        <v>25</v>
      </c>
      <c r="N10" s="7">
        <f>IF(B10="","",YEAR(B10))</f>
        <v>2026</v>
      </c>
      <c r="O10" s="7" t="str">
        <f>IF(B10="","","Q"&amp;ROUNDUP(MONTH(B10)/3,0))</f>
        <v>Q1</v>
      </c>
      <c r="P10" s="7" t="str">
        <f>IF(B10="","",TEXT(B10,"mmmm"))</f>
        <v>January</v>
      </c>
      <c r="Q10" s="7" t="str">
        <f>IF(B10="","",TEXT(B10,"yyyy-mm"))</f>
        <v>2026-01</v>
      </c>
      <c r="R10" s="8">
        <f>IFERROR(G10/F10,"")</f>
        <v>300</v>
      </c>
      <c r="S10" s="9">
        <f>IFERROR(I10/G10,"")</f>
        <v>0.16666666666666666</v>
      </c>
      <c r="T10" s="7" t="s">
        <v>459</v>
      </c>
      <c r="U10" s="7"/>
    </row>
    <row r="11" spans="1:21">
      <c r="A11" s="2" t="s">
        <v>63</v>
      </c>
      <c r="B11" s="3">
        <v>46025</v>
      </c>
      <c r="C11" s="2" t="s">
        <v>15</v>
      </c>
      <c r="D11" s="2" t="s">
        <v>16</v>
      </c>
      <c r="E11" s="2" t="s">
        <v>43</v>
      </c>
      <c r="F11" s="4">
        <v>1</v>
      </c>
      <c r="G11" s="5">
        <v>300</v>
      </c>
      <c r="H11" s="5">
        <v>250</v>
      </c>
      <c r="I11" s="5">
        <v>50</v>
      </c>
      <c r="J11" s="2" t="s">
        <v>460</v>
      </c>
      <c r="K11" s="2" t="s">
        <v>458</v>
      </c>
      <c r="L11" s="6">
        <v>16.7</v>
      </c>
      <c r="M11" s="2" t="s">
        <v>25</v>
      </c>
      <c r="N11" s="7">
        <f>IF(B11="","",YEAR(B11))</f>
        <v>2026</v>
      </c>
      <c r="O11" s="7" t="str">
        <f>IF(B11="","","Q"&amp;ROUNDUP(MONTH(B11)/3,0))</f>
        <v>Q1</v>
      </c>
      <c r="P11" s="7" t="str">
        <f>IF(B11="","",TEXT(B11,"mmmm"))</f>
        <v>January</v>
      </c>
      <c r="Q11" s="7" t="str">
        <f>IF(B11="","",TEXT(B11,"yyyy-mm"))</f>
        <v>2026-01</v>
      </c>
      <c r="R11" s="8">
        <f>IFERROR(G11/F11,"")</f>
        <v>300</v>
      </c>
      <c r="S11" s="9">
        <f>IFERROR(I11/G11,"")</f>
        <v>0.16666666666666666</v>
      </c>
      <c r="T11" s="7" t="s">
        <v>459</v>
      </c>
      <c r="U11" s="7"/>
    </row>
    <row r="12" spans="1:21">
      <c r="A12" s="2" t="s">
        <v>64</v>
      </c>
      <c r="B12" s="3">
        <v>46025</v>
      </c>
      <c r="C12" s="2" t="s">
        <v>15</v>
      </c>
      <c r="D12" s="2" t="s">
        <v>42</v>
      </c>
      <c r="E12" s="2" t="s">
        <v>56</v>
      </c>
      <c r="F12" s="4">
        <v>2</v>
      </c>
      <c r="G12" s="5">
        <v>360</v>
      </c>
      <c r="H12" s="5">
        <v>230</v>
      </c>
      <c r="I12" s="5">
        <v>130</v>
      </c>
      <c r="J12" s="2" t="s">
        <v>62</v>
      </c>
      <c r="K12" s="2" t="s">
        <v>31</v>
      </c>
      <c r="L12" s="6">
        <v>36.1</v>
      </c>
      <c r="M12" s="2" t="s">
        <v>25</v>
      </c>
      <c r="N12" s="7">
        <f>IF(B12="","",YEAR(B12))</f>
        <v>2026</v>
      </c>
      <c r="O12" s="7" t="str">
        <f>IF(B12="","","Q"&amp;ROUNDUP(MONTH(B12)/3,0))</f>
        <v>Q1</v>
      </c>
      <c r="P12" s="7" t="str">
        <f>IF(B12="","",TEXT(B12,"mmmm"))</f>
        <v>January</v>
      </c>
      <c r="Q12" s="7" t="str">
        <f>IF(B12="","",TEXT(B12,"yyyy-mm"))</f>
        <v>2026-01</v>
      </c>
      <c r="R12" s="8">
        <f>IFERROR(G12/F12,"")</f>
        <v>180</v>
      </c>
      <c r="S12" s="9">
        <f>IFERROR(I12/G12,"")</f>
        <v>0.3611111111111111</v>
      </c>
      <c r="T12" s="7" t="s">
        <v>459</v>
      </c>
      <c r="U12" s="7"/>
    </row>
    <row r="13" spans="1:21">
      <c r="A13" s="2" t="s">
        <v>70</v>
      </c>
      <c r="B13" s="3">
        <v>46025</v>
      </c>
      <c r="C13" s="2" t="s">
        <v>34</v>
      </c>
      <c r="D13" s="2" t="s">
        <v>16</v>
      </c>
      <c r="E13" s="2" t="s">
        <v>36</v>
      </c>
      <c r="F13" s="4">
        <v>1</v>
      </c>
      <c r="G13" s="5">
        <v>220</v>
      </c>
      <c r="H13" s="5">
        <v>180</v>
      </c>
      <c r="I13" s="5">
        <v>40</v>
      </c>
      <c r="J13" s="2" t="s">
        <v>460</v>
      </c>
      <c r="K13" s="2" t="s">
        <v>458</v>
      </c>
      <c r="L13" s="6">
        <v>18.2</v>
      </c>
      <c r="M13" s="2" t="s">
        <v>25</v>
      </c>
      <c r="N13" s="7">
        <f>IF(B13="","",YEAR(B13))</f>
        <v>2026</v>
      </c>
      <c r="O13" s="7" t="str">
        <f>IF(B13="","","Q"&amp;ROUNDUP(MONTH(B13)/3,0))</f>
        <v>Q1</v>
      </c>
      <c r="P13" s="7" t="str">
        <f>IF(B13="","",TEXT(B13,"mmmm"))</f>
        <v>January</v>
      </c>
      <c r="Q13" s="7" t="str">
        <f>IF(B13="","",TEXT(B13,"yyyy-mm"))</f>
        <v>2026-01</v>
      </c>
      <c r="R13" s="8">
        <f>IFERROR(G13/F13,"")</f>
        <v>220</v>
      </c>
      <c r="S13" s="9">
        <f>IFERROR(I13/G13,"")</f>
        <v>0.18181818181818182</v>
      </c>
      <c r="T13" s="7" t="s">
        <v>459</v>
      </c>
      <c r="U13" s="7"/>
    </row>
    <row r="14" spans="1:21">
      <c r="A14" s="2" t="s">
        <v>71</v>
      </c>
      <c r="B14" s="3">
        <v>46025</v>
      </c>
      <c r="C14" s="2" t="s">
        <v>27</v>
      </c>
      <c r="D14" s="2" t="s">
        <v>16</v>
      </c>
      <c r="E14" s="2" t="s">
        <v>43</v>
      </c>
      <c r="F14" s="4">
        <v>1</v>
      </c>
      <c r="G14" s="5">
        <v>270</v>
      </c>
      <c r="H14" s="5">
        <v>250</v>
      </c>
      <c r="I14" s="5">
        <v>20</v>
      </c>
      <c r="J14" s="2" t="s">
        <v>62</v>
      </c>
      <c r="K14" s="2" t="s">
        <v>31</v>
      </c>
      <c r="L14" s="6">
        <v>7.4</v>
      </c>
      <c r="M14" s="2" t="s">
        <v>25</v>
      </c>
      <c r="N14" s="7">
        <f>IF(B14="","",YEAR(B14))</f>
        <v>2026</v>
      </c>
      <c r="O14" s="7" t="str">
        <f>IF(B14="","","Q"&amp;ROUNDUP(MONTH(B14)/3,0))</f>
        <v>Q1</v>
      </c>
      <c r="P14" s="7" t="str">
        <f>IF(B14="","",TEXT(B14,"mmmm"))</f>
        <v>January</v>
      </c>
      <c r="Q14" s="7" t="str">
        <f>IF(B14="","",TEXT(B14,"yyyy-mm"))</f>
        <v>2026-01</v>
      </c>
      <c r="R14" s="8">
        <f>IFERROR(G14/F14,"")</f>
        <v>270</v>
      </c>
      <c r="S14" s="9">
        <f>IFERROR(I14/G14,"")</f>
        <v>7.407407407407407E-2</v>
      </c>
      <c r="T14" s="7" t="s">
        <v>459</v>
      </c>
      <c r="U14" s="7"/>
    </row>
    <row r="15" spans="1:21">
      <c r="A15" s="2" t="s">
        <v>75</v>
      </c>
      <c r="B15" s="3">
        <v>46026</v>
      </c>
      <c r="C15" s="2" t="s">
        <v>15</v>
      </c>
      <c r="D15" s="2" t="s">
        <v>53</v>
      </c>
      <c r="E15" s="2" t="s">
        <v>17</v>
      </c>
      <c r="F15" s="4">
        <v>1</v>
      </c>
      <c r="G15" s="5">
        <v>90</v>
      </c>
      <c r="H15" s="5">
        <v>40</v>
      </c>
      <c r="I15" s="5">
        <v>50</v>
      </c>
      <c r="J15" s="2" t="s">
        <v>22</v>
      </c>
      <c r="K15" s="2" t="s">
        <v>458</v>
      </c>
      <c r="L15" s="6">
        <v>55.6</v>
      </c>
      <c r="M15" s="2" t="s">
        <v>25</v>
      </c>
      <c r="N15" s="7">
        <f>IF(B15="","",YEAR(B15))</f>
        <v>2026</v>
      </c>
      <c r="O15" s="7" t="str">
        <f>IF(B15="","","Q"&amp;ROUNDUP(MONTH(B15)/3,0))</f>
        <v>Q1</v>
      </c>
      <c r="P15" s="7" t="str">
        <f>IF(B15="","",TEXT(B15,"mmmm"))</f>
        <v>January</v>
      </c>
      <c r="Q15" s="7" t="str">
        <f>IF(B15="","",TEXT(B15,"yyyy-mm"))</f>
        <v>2026-01</v>
      </c>
      <c r="R15" s="8">
        <f>IFERROR(G15/F15,"")</f>
        <v>90</v>
      </c>
      <c r="S15" s="9">
        <f>IFERROR(I15/G15,"")</f>
        <v>0.55555555555555558</v>
      </c>
      <c r="T15" s="7" t="s">
        <v>459</v>
      </c>
      <c r="U15" s="7"/>
    </row>
    <row r="16" spans="1:21">
      <c r="A16" s="2" t="s">
        <v>77</v>
      </c>
      <c r="B16" s="3">
        <v>46026</v>
      </c>
      <c r="C16" s="2" t="s">
        <v>34</v>
      </c>
      <c r="D16" s="2" t="s">
        <v>16</v>
      </c>
      <c r="E16" s="2" t="s">
        <v>17</v>
      </c>
      <c r="F16" s="4">
        <v>1</v>
      </c>
      <c r="G16" s="5">
        <v>81</v>
      </c>
      <c r="H16" s="5">
        <v>40</v>
      </c>
      <c r="I16" s="5">
        <v>41</v>
      </c>
      <c r="J16" s="2" t="s">
        <v>22</v>
      </c>
      <c r="K16" s="2" t="s">
        <v>458</v>
      </c>
      <c r="L16" s="6">
        <v>50.6</v>
      </c>
      <c r="M16" s="2" t="s">
        <v>25</v>
      </c>
      <c r="N16" s="7">
        <f>IF(B16="","",YEAR(B16))</f>
        <v>2026</v>
      </c>
      <c r="O16" s="7" t="str">
        <f>IF(B16="","","Q"&amp;ROUNDUP(MONTH(B16)/3,0))</f>
        <v>Q1</v>
      </c>
      <c r="P16" s="7" t="str">
        <f>IF(B16="","",TEXT(B16,"mmmm"))</f>
        <v>January</v>
      </c>
      <c r="Q16" s="7" t="str">
        <f>IF(B16="","",TEXT(B16,"yyyy-mm"))</f>
        <v>2026-01</v>
      </c>
      <c r="R16" s="8">
        <f>IFERROR(G16/F16,"")</f>
        <v>81</v>
      </c>
      <c r="S16" s="9">
        <f>IFERROR(I16/G16,"")</f>
        <v>0.50617283950617287</v>
      </c>
      <c r="T16" s="7" t="s">
        <v>459</v>
      </c>
      <c r="U16" s="7"/>
    </row>
    <row r="17" spans="1:21">
      <c r="A17" s="2" t="s">
        <v>78</v>
      </c>
      <c r="B17" s="3">
        <v>46027</v>
      </c>
      <c r="C17" s="2" t="s">
        <v>49</v>
      </c>
      <c r="D17" s="2" t="s">
        <v>16</v>
      </c>
      <c r="E17" s="2" t="s">
        <v>36</v>
      </c>
      <c r="F17" s="4">
        <v>1</v>
      </c>
      <c r="G17" s="5">
        <v>220</v>
      </c>
      <c r="H17" s="5">
        <v>180</v>
      </c>
      <c r="I17" s="5">
        <v>40</v>
      </c>
      <c r="J17" s="2" t="s">
        <v>460</v>
      </c>
      <c r="K17" s="2" t="s">
        <v>458</v>
      </c>
      <c r="L17" s="6">
        <v>18.2</v>
      </c>
      <c r="M17" s="2" t="s">
        <v>25</v>
      </c>
      <c r="N17" s="7">
        <f>IF(B17="","",YEAR(B17))</f>
        <v>2026</v>
      </c>
      <c r="O17" s="7" t="str">
        <f>IF(B17="","","Q"&amp;ROUNDUP(MONTH(B17)/3,0))</f>
        <v>Q1</v>
      </c>
      <c r="P17" s="7" t="str">
        <f>IF(B17="","",TEXT(B17,"mmmm"))</f>
        <v>January</v>
      </c>
      <c r="Q17" s="7" t="str">
        <f>IF(B17="","",TEXT(B17,"yyyy-mm"))</f>
        <v>2026-01</v>
      </c>
      <c r="R17" s="8">
        <f>IFERROR(G17/F17,"")</f>
        <v>220</v>
      </c>
      <c r="S17" s="9">
        <f>IFERROR(I17/G17,"")</f>
        <v>0.18181818181818182</v>
      </c>
      <c r="T17" s="7" t="s">
        <v>459</v>
      </c>
      <c r="U17" s="7"/>
    </row>
    <row r="18" spans="1:21">
      <c r="A18" s="2" t="s">
        <v>80</v>
      </c>
      <c r="B18" s="3">
        <v>46027</v>
      </c>
      <c r="C18" s="2" t="s">
        <v>27</v>
      </c>
      <c r="D18" s="2" t="s">
        <v>42</v>
      </c>
      <c r="E18" s="2" t="s">
        <v>36</v>
      </c>
      <c r="F18" s="4">
        <v>2</v>
      </c>
      <c r="G18" s="5">
        <v>484</v>
      </c>
      <c r="H18" s="5">
        <v>360</v>
      </c>
      <c r="I18" s="5">
        <v>124</v>
      </c>
      <c r="J18" s="2" t="s">
        <v>22</v>
      </c>
      <c r="K18" s="2" t="s">
        <v>31</v>
      </c>
      <c r="L18" s="6">
        <v>25.6</v>
      </c>
      <c r="M18" s="2" t="s">
        <v>25</v>
      </c>
      <c r="N18" s="7">
        <f>IF(B18="","",YEAR(B18))</f>
        <v>2026</v>
      </c>
      <c r="O18" s="7" t="str">
        <f>IF(B18="","","Q"&amp;ROUNDUP(MONTH(B18)/3,0))</f>
        <v>Q1</v>
      </c>
      <c r="P18" s="7" t="str">
        <f>IF(B18="","",TEXT(B18,"mmmm"))</f>
        <v>January</v>
      </c>
      <c r="Q18" s="7" t="str">
        <f>IF(B18="","",TEXT(B18,"yyyy-mm"))</f>
        <v>2026-01</v>
      </c>
      <c r="R18" s="8">
        <f>IFERROR(G18/F18,"")</f>
        <v>242</v>
      </c>
      <c r="S18" s="9">
        <f>IFERROR(I18/G18,"")</f>
        <v>0.256198347107438</v>
      </c>
      <c r="T18" s="7" t="s">
        <v>459</v>
      </c>
      <c r="U18" s="7"/>
    </row>
    <row r="19" spans="1:21">
      <c r="A19" s="2" t="s">
        <v>84</v>
      </c>
      <c r="B19" s="3">
        <v>46027</v>
      </c>
      <c r="C19" s="2" t="s">
        <v>34</v>
      </c>
      <c r="D19" s="2" t="s">
        <v>16</v>
      </c>
      <c r="E19" s="2" t="s">
        <v>17</v>
      </c>
      <c r="F19" s="4">
        <v>1</v>
      </c>
      <c r="G19" s="5">
        <v>81</v>
      </c>
      <c r="H19" s="5">
        <v>40</v>
      </c>
      <c r="I19" s="5">
        <v>41</v>
      </c>
      <c r="J19" s="2" t="s">
        <v>62</v>
      </c>
      <c r="K19" s="2" t="s">
        <v>458</v>
      </c>
      <c r="L19" s="6">
        <v>50.6</v>
      </c>
      <c r="M19" s="2" t="s">
        <v>25</v>
      </c>
      <c r="N19" s="7">
        <f>IF(B19="","",YEAR(B19))</f>
        <v>2026</v>
      </c>
      <c r="O19" s="7" t="str">
        <f>IF(B19="","","Q"&amp;ROUNDUP(MONTH(B19)/3,0))</f>
        <v>Q1</v>
      </c>
      <c r="P19" s="7" t="str">
        <f>IF(B19="","",TEXT(B19,"mmmm"))</f>
        <v>January</v>
      </c>
      <c r="Q19" s="7" t="str">
        <f>IF(B19="","",TEXT(B19,"yyyy-mm"))</f>
        <v>2026-01</v>
      </c>
      <c r="R19" s="8">
        <f>IFERROR(G19/F19,"")</f>
        <v>81</v>
      </c>
      <c r="S19" s="9">
        <f>IFERROR(I19/G19,"")</f>
        <v>0.50617283950617287</v>
      </c>
      <c r="T19" s="7" t="s">
        <v>459</v>
      </c>
      <c r="U19" s="7"/>
    </row>
    <row r="20" spans="1:21">
      <c r="A20" s="2" t="s">
        <v>85</v>
      </c>
      <c r="B20" s="3">
        <v>46027</v>
      </c>
      <c r="C20" s="2" t="s">
        <v>34</v>
      </c>
      <c r="D20" s="2" t="s">
        <v>16</v>
      </c>
      <c r="E20" s="2" t="s">
        <v>86</v>
      </c>
      <c r="F20" s="4">
        <v>2</v>
      </c>
      <c r="G20" s="5">
        <v>280</v>
      </c>
      <c r="H20" s="5">
        <v>160</v>
      </c>
      <c r="I20" s="5">
        <v>120</v>
      </c>
      <c r="J20" s="2" t="s">
        <v>460</v>
      </c>
      <c r="K20" s="2" t="s">
        <v>458</v>
      </c>
      <c r="L20" s="6">
        <v>42.9</v>
      </c>
      <c r="M20" s="2" t="s">
        <v>25</v>
      </c>
      <c r="N20" s="7">
        <f>IF(B20="","",YEAR(B20))</f>
        <v>2026</v>
      </c>
      <c r="O20" s="7" t="str">
        <f>IF(B20="","","Q"&amp;ROUNDUP(MONTH(B20)/3,0))</f>
        <v>Q1</v>
      </c>
      <c r="P20" s="7" t="str">
        <f>IF(B20="","",TEXT(B20,"mmmm"))</f>
        <v>January</v>
      </c>
      <c r="Q20" s="7" t="str">
        <f>IF(B20="","",TEXT(B20,"yyyy-mm"))</f>
        <v>2026-01</v>
      </c>
      <c r="R20" s="8">
        <f>IFERROR(G20/F20,"")</f>
        <v>140</v>
      </c>
      <c r="S20" s="9">
        <f>IFERROR(I20/G20,"")</f>
        <v>0.42857142857142855</v>
      </c>
      <c r="T20" s="7" t="s">
        <v>459</v>
      </c>
      <c r="U20" s="7"/>
    </row>
    <row r="21" spans="1:21">
      <c r="A21" s="2" t="s">
        <v>91</v>
      </c>
      <c r="B21" s="3">
        <v>46028</v>
      </c>
      <c r="C21" s="2" t="s">
        <v>49</v>
      </c>
      <c r="D21" s="2" t="s">
        <v>42</v>
      </c>
      <c r="E21" s="2" t="s">
        <v>36</v>
      </c>
      <c r="F21" s="4">
        <v>2</v>
      </c>
      <c r="G21" s="5">
        <v>484</v>
      </c>
      <c r="H21" s="5">
        <v>360</v>
      </c>
      <c r="I21" s="5">
        <v>124</v>
      </c>
      <c r="J21" s="2" t="s">
        <v>22</v>
      </c>
      <c r="K21" s="2" t="s">
        <v>458</v>
      </c>
      <c r="L21" s="6">
        <v>25.6</v>
      </c>
      <c r="M21" s="2" t="s">
        <v>25</v>
      </c>
      <c r="N21" s="7">
        <f>IF(B21="","",YEAR(B21))</f>
        <v>2026</v>
      </c>
      <c r="O21" s="7" t="str">
        <f>IF(B21="","","Q"&amp;ROUNDUP(MONTH(B21)/3,0))</f>
        <v>Q1</v>
      </c>
      <c r="P21" s="7" t="str">
        <f>IF(B21="","",TEXT(B21,"mmmm"))</f>
        <v>January</v>
      </c>
      <c r="Q21" s="7" t="str">
        <f>IF(B21="","",TEXT(B21,"yyyy-mm"))</f>
        <v>2026-01</v>
      </c>
      <c r="R21" s="8">
        <f>IFERROR(G21/F21,"")</f>
        <v>242</v>
      </c>
      <c r="S21" s="9">
        <f>IFERROR(I21/G21,"")</f>
        <v>0.256198347107438</v>
      </c>
      <c r="T21" s="7" t="s">
        <v>459</v>
      </c>
      <c r="U21" s="7"/>
    </row>
    <row r="22" spans="1:21">
      <c r="A22" s="2" t="s">
        <v>93</v>
      </c>
      <c r="B22" s="3">
        <v>46028</v>
      </c>
      <c r="C22" s="2" t="s">
        <v>27</v>
      </c>
      <c r="D22" s="2" t="s">
        <v>16</v>
      </c>
      <c r="E22" s="2" t="s">
        <v>56</v>
      </c>
      <c r="F22" s="4">
        <v>1</v>
      </c>
      <c r="G22" s="5">
        <v>180</v>
      </c>
      <c r="H22" s="5">
        <v>115</v>
      </c>
      <c r="I22" s="5">
        <v>65</v>
      </c>
      <c r="J22" s="2" t="s">
        <v>22</v>
      </c>
      <c r="K22" s="2" t="s">
        <v>458</v>
      </c>
      <c r="L22" s="6">
        <v>36.1</v>
      </c>
      <c r="M22" s="2" t="s">
        <v>25</v>
      </c>
      <c r="N22" s="7">
        <f>IF(B22="","",YEAR(B22))</f>
        <v>2026</v>
      </c>
      <c r="O22" s="7" t="str">
        <f>IF(B22="","","Q"&amp;ROUNDUP(MONTH(B22)/3,0))</f>
        <v>Q1</v>
      </c>
      <c r="P22" s="7" t="str">
        <f>IF(B22="","",TEXT(B22,"mmmm"))</f>
        <v>January</v>
      </c>
      <c r="Q22" s="7" t="str">
        <f>IF(B22="","",TEXT(B22,"yyyy-mm"))</f>
        <v>2026-01</v>
      </c>
      <c r="R22" s="8">
        <f>IFERROR(G22/F22,"")</f>
        <v>180</v>
      </c>
      <c r="S22" s="9">
        <f>IFERROR(I22/G22,"")</f>
        <v>0.3611111111111111</v>
      </c>
      <c r="T22" s="7" t="s">
        <v>459</v>
      </c>
      <c r="U22" s="7"/>
    </row>
    <row r="23" spans="1:21">
      <c r="A23" s="2" t="s">
        <v>95</v>
      </c>
      <c r="B23" s="3">
        <v>46029</v>
      </c>
      <c r="C23" s="2" t="s">
        <v>15</v>
      </c>
      <c r="D23" s="2" t="s">
        <v>42</v>
      </c>
      <c r="E23" s="2" t="s">
        <v>17</v>
      </c>
      <c r="F23" s="4">
        <v>2</v>
      </c>
      <c r="G23" s="5">
        <v>180</v>
      </c>
      <c r="H23" s="5">
        <v>80</v>
      </c>
      <c r="I23" s="5">
        <v>100</v>
      </c>
      <c r="J23" s="2" t="s">
        <v>22</v>
      </c>
      <c r="K23" s="2" t="s">
        <v>458</v>
      </c>
      <c r="L23" s="6">
        <v>55.6</v>
      </c>
      <c r="M23" s="2" t="s">
        <v>25</v>
      </c>
      <c r="N23" s="7">
        <f>IF(B23="","",YEAR(B23))</f>
        <v>2026</v>
      </c>
      <c r="O23" s="7" t="str">
        <f>IF(B23="","","Q"&amp;ROUNDUP(MONTH(B23)/3,0))</f>
        <v>Q1</v>
      </c>
      <c r="P23" s="7" t="str">
        <f>IF(B23="","",TEXT(B23,"mmmm"))</f>
        <v>January</v>
      </c>
      <c r="Q23" s="7" t="str">
        <f>IF(B23="","",TEXT(B23,"yyyy-mm"))</f>
        <v>2026-01</v>
      </c>
      <c r="R23" s="8">
        <f>IFERROR(G23/F23,"")</f>
        <v>90</v>
      </c>
      <c r="S23" s="9">
        <f>IFERROR(I23/G23,"")</f>
        <v>0.55555555555555558</v>
      </c>
      <c r="T23" s="7" t="s">
        <v>459</v>
      </c>
      <c r="U23" s="7"/>
    </row>
    <row r="24" spans="1:21">
      <c r="A24" s="2" t="s">
        <v>98</v>
      </c>
      <c r="B24" s="3">
        <v>46029</v>
      </c>
      <c r="C24" s="2" t="s">
        <v>15</v>
      </c>
      <c r="D24" s="2" t="s">
        <v>16</v>
      </c>
      <c r="E24" s="2" t="s">
        <v>43</v>
      </c>
      <c r="F24" s="4">
        <v>1</v>
      </c>
      <c r="G24" s="5">
        <v>270</v>
      </c>
      <c r="H24" s="5">
        <v>250</v>
      </c>
      <c r="I24" s="5">
        <v>20</v>
      </c>
      <c r="J24" s="2" t="s">
        <v>460</v>
      </c>
      <c r="K24" s="2" t="s">
        <v>458</v>
      </c>
      <c r="L24" s="6">
        <v>7.4</v>
      </c>
      <c r="M24" s="2" t="s">
        <v>25</v>
      </c>
      <c r="N24" s="7">
        <f>IF(B24="","",YEAR(B24))</f>
        <v>2026</v>
      </c>
      <c r="O24" s="7" t="str">
        <f>IF(B24="","","Q"&amp;ROUNDUP(MONTH(B24)/3,0))</f>
        <v>Q1</v>
      </c>
      <c r="P24" s="7" t="str">
        <f>IF(B24="","",TEXT(B24,"mmmm"))</f>
        <v>January</v>
      </c>
      <c r="Q24" s="7" t="str">
        <f>IF(B24="","",TEXT(B24,"yyyy-mm"))</f>
        <v>2026-01</v>
      </c>
      <c r="R24" s="8">
        <f>IFERROR(G24/F24,"")</f>
        <v>270</v>
      </c>
      <c r="S24" s="9">
        <f>IFERROR(I24/G24,"")</f>
        <v>7.407407407407407E-2</v>
      </c>
      <c r="T24" s="7" t="s">
        <v>459</v>
      </c>
      <c r="U24" s="7"/>
    </row>
    <row r="25" spans="1:21">
      <c r="A25" s="2" t="s">
        <v>99</v>
      </c>
      <c r="B25" s="3">
        <v>46029</v>
      </c>
      <c r="C25" s="2" t="s">
        <v>49</v>
      </c>
      <c r="D25" s="2" t="s">
        <v>16</v>
      </c>
      <c r="E25" s="2" t="s">
        <v>86</v>
      </c>
      <c r="F25" s="4">
        <v>2</v>
      </c>
      <c r="G25" s="5">
        <v>280</v>
      </c>
      <c r="H25" s="5">
        <v>160</v>
      </c>
      <c r="I25" s="5">
        <v>120</v>
      </c>
      <c r="J25" s="2" t="s">
        <v>62</v>
      </c>
      <c r="K25" s="2" t="s">
        <v>458</v>
      </c>
      <c r="L25" s="6">
        <v>42.9</v>
      </c>
      <c r="M25" s="2" t="s">
        <v>25</v>
      </c>
      <c r="N25" s="7">
        <f>IF(B25="","",YEAR(B25))</f>
        <v>2026</v>
      </c>
      <c r="O25" s="7" t="str">
        <f>IF(B25="","","Q"&amp;ROUNDUP(MONTH(B25)/3,0))</f>
        <v>Q1</v>
      </c>
      <c r="P25" s="7" t="str">
        <f>IF(B25="","",TEXT(B25,"mmmm"))</f>
        <v>January</v>
      </c>
      <c r="Q25" s="7" t="str">
        <f>IF(B25="","",TEXT(B25,"yyyy-mm"))</f>
        <v>2026-01</v>
      </c>
      <c r="R25" s="8">
        <f>IFERROR(G25/F25,"")</f>
        <v>140</v>
      </c>
      <c r="S25" s="9">
        <f>IFERROR(I25/G25,"")</f>
        <v>0.42857142857142855</v>
      </c>
      <c r="T25" s="7" t="s">
        <v>459</v>
      </c>
      <c r="U25" s="7"/>
    </row>
    <row r="26" spans="1:21">
      <c r="A26" s="2" t="s">
        <v>100</v>
      </c>
      <c r="B26" s="3">
        <v>46030</v>
      </c>
      <c r="C26" s="2" t="s">
        <v>15</v>
      </c>
      <c r="D26" s="2" t="s">
        <v>16</v>
      </c>
      <c r="E26" s="2" t="s">
        <v>56</v>
      </c>
      <c r="F26" s="4">
        <v>1</v>
      </c>
      <c r="G26" s="5">
        <v>162</v>
      </c>
      <c r="H26" s="5">
        <v>115</v>
      </c>
      <c r="I26" s="5">
        <v>47</v>
      </c>
      <c r="J26" s="2" t="s">
        <v>460</v>
      </c>
      <c r="K26" s="2" t="s">
        <v>31</v>
      </c>
      <c r="L26" s="6">
        <v>29</v>
      </c>
      <c r="M26" s="2" t="s">
        <v>25</v>
      </c>
      <c r="N26" s="7">
        <f>IF(B26="","",YEAR(B26))</f>
        <v>2026</v>
      </c>
      <c r="O26" s="7" t="str">
        <f>IF(B26="","","Q"&amp;ROUNDUP(MONTH(B26)/3,0))</f>
        <v>Q1</v>
      </c>
      <c r="P26" s="7" t="str">
        <f>IF(B26="","",TEXT(B26,"mmmm"))</f>
        <v>January</v>
      </c>
      <c r="Q26" s="7" t="str">
        <f>IF(B26="","",TEXT(B26,"yyyy-mm"))</f>
        <v>2026-01</v>
      </c>
      <c r="R26" s="8">
        <f>IFERROR(G26/F26,"")</f>
        <v>162</v>
      </c>
      <c r="S26" s="9">
        <f>IFERROR(I26/G26,"")</f>
        <v>0.29012345679012347</v>
      </c>
      <c r="T26" s="7" t="s">
        <v>459</v>
      </c>
      <c r="U26" s="7"/>
    </row>
    <row r="27" spans="1:21">
      <c r="A27" s="2" t="s">
        <v>102</v>
      </c>
      <c r="B27" s="3">
        <v>46030</v>
      </c>
      <c r="C27" s="2" t="s">
        <v>27</v>
      </c>
      <c r="D27" s="2" t="s">
        <v>16</v>
      </c>
      <c r="E27" s="2" t="s">
        <v>56</v>
      </c>
      <c r="F27" s="4">
        <v>1</v>
      </c>
      <c r="G27" s="5">
        <v>180</v>
      </c>
      <c r="H27" s="5">
        <v>115</v>
      </c>
      <c r="I27" s="5">
        <v>65</v>
      </c>
      <c r="J27" s="2" t="s">
        <v>460</v>
      </c>
      <c r="K27" s="2" t="s">
        <v>458</v>
      </c>
      <c r="L27" s="6">
        <v>36.1</v>
      </c>
      <c r="M27" s="2" t="s">
        <v>25</v>
      </c>
      <c r="N27" s="7">
        <f>IF(B27="","",YEAR(B27))</f>
        <v>2026</v>
      </c>
      <c r="O27" s="7" t="str">
        <f>IF(B27="","","Q"&amp;ROUNDUP(MONTH(B27)/3,0))</f>
        <v>Q1</v>
      </c>
      <c r="P27" s="7" t="str">
        <f>IF(B27="","",TEXT(B27,"mmmm"))</f>
        <v>January</v>
      </c>
      <c r="Q27" s="7" t="str">
        <f>IF(B27="","",TEXT(B27,"yyyy-mm"))</f>
        <v>2026-01</v>
      </c>
      <c r="R27" s="8">
        <f>IFERROR(G27/F27,"")</f>
        <v>180</v>
      </c>
      <c r="S27" s="9">
        <f>IFERROR(I27/G27,"")</f>
        <v>0.3611111111111111</v>
      </c>
      <c r="T27" s="7" t="s">
        <v>459</v>
      </c>
      <c r="U27" s="7"/>
    </row>
    <row r="28" spans="1:21">
      <c r="A28" s="2" t="s">
        <v>103</v>
      </c>
      <c r="B28" s="3">
        <v>46030</v>
      </c>
      <c r="C28" s="2" t="s">
        <v>34</v>
      </c>
      <c r="D28" s="2" t="s">
        <v>16</v>
      </c>
      <c r="E28" s="2" t="s">
        <v>56</v>
      </c>
      <c r="F28" s="4">
        <v>1</v>
      </c>
      <c r="G28" s="5">
        <v>180</v>
      </c>
      <c r="H28" s="5">
        <v>115</v>
      </c>
      <c r="I28" s="5">
        <v>65</v>
      </c>
      <c r="J28" s="2" t="s">
        <v>460</v>
      </c>
      <c r="K28" s="2" t="s">
        <v>458</v>
      </c>
      <c r="L28" s="6">
        <v>36.1</v>
      </c>
      <c r="M28" s="2" t="s">
        <v>25</v>
      </c>
      <c r="N28" s="7">
        <f>IF(B28="","",YEAR(B28))</f>
        <v>2026</v>
      </c>
      <c r="O28" s="7" t="str">
        <f>IF(B28="","","Q"&amp;ROUNDUP(MONTH(B28)/3,0))</f>
        <v>Q1</v>
      </c>
      <c r="P28" s="7" t="str">
        <f>IF(B28="","",TEXT(B28,"mmmm"))</f>
        <v>January</v>
      </c>
      <c r="Q28" s="7" t="str">
        <f>IF(B28="","",TEXT(B28,"yyyy-mm"))</f>
        <v>2026-01</v>
      </c>
      <c r="R28" s="8">
        <f>IFERROR(G28/F28,"")</f>
        <v>180</v>
      </c>
      <c r="S28" s="9">
        <f>IFERROR(I28/G28,"")</f>
        <v>0.3611111111111111</v>
      </c>
      <c r="T28" s="7" t="s">
        <v>459</v>
      </c>
      <c r="U28" s="7"/>
    </row>
    <row r="29" spans="1:21">
      <c r="A29" s="2" t="s">
        <v>104</v>
      </c>
      <c r="B29" s="3">
        <v>46030</v>
      </c>
      <c r="C29" s="2" t="s">
        <v>34</v>
      </c>
      <c r="D29" s="2" t="s">
        <v>53</v>
      </c>
      <c r="E29" s="2" t="s">
        <v>56</v>
      </c>
      <c r="F29" s="4">
        <v>1</v>
      </c>
      <c r="G29" s="5">
        <v>180</v>
      </c>
      <c r="H29" s="5">
        <v>115</v>
      </c>
      <c r="I29" s="5">
        <v>65</v>
      </c>
      <c r="J29" s="2" t="s">
        <v>460</v>
      </c>
      <c r="K29" s="2" t="s">
        <v>31</v>
      </c>
      <c r="L29" s="6">
        <v>36.1</v>
      </c>
      <c r="M29" s="2" t="s">
        <v>25</v>
      </c>
      <c r="N29" s="7">
        <f>IF(B29="","",YEAR(B29))</f>
        <v>2026</v>
      </c>
      <c r="O29" s="7" t="str">
        <f>IF(B29="","","Q"&amp;ROUNDUP(MONTH(B29)/3,0))</f>
        <v>Q1</v>
      </c>
      <c r="P29" s="7" t="str">
        <f>IF(B29="","",TEXT(B29,"mmmm"))</f>
        <v>January</v>
      </c>
      <c r="Q29" s="7" t="str">
        <f>IF(B29="","",TEXT(B29,"yyyy-mm"))</f>
        <v>2026-01</v>
      </c>
      <c r="R29" s="8">
        <f>IFERROR(G29/F29,"")</f>
        <v>180</v>
      </c>
      <c r="S29" s="9">
        <f>IFERROR(I29/G29,"")</f>
        <v>0.3611111111111111</v>
      </c>
      <c r="T29" s="7" t="s">
        <v>459</v>
      </c>
      <c r="U29" s="7"/>
    </row>
    <row r="30" spans="1:21">
      <c r="A30" s="2" t="s">
        <v>105</v>
      </c>
      <c r="B30" s="3">
        <v>46032</v>
      </c>
      <c r="C30" s="2" t="s">
        <v>27</v>
      </c>
      <c r="D30" s="2" t="s">
        <v>16</v>
      </c>
      <c r="E30" s="2" t="s">
        <v>36</v>
      </c>
      <c r="F30" s="4">
        <v>1</v>
      </c>
      <c r="G30" s="5">
        <v>198</v>
      </c>
      <c r="H30" s="5">
        <v>180</v>
      </c>
      <c r="I30" s="5">
        <v>18</v>
      </c>
      <c r="J30" s="2" t="s">
        <v>460</v>
      </c>
      <c r="K30" s="2" t="s">
        <v>31</v>
      </c>
      <c r="L30" s="6">
        <v>9.1</v>
      </c>
      <c r="M30" s="2" t="s">
        <v>25</v>
      </c>
      <c r="N30" s="7">
        <f>IF(B30="","",YEAR(B30))</f>
        <v>2026</v>
      </c>
      <c r="O30" s="7" t="str">
        <f>IF(B30="","","Q"&amp;ROUNDUP(MONTH(B30)/3,0))</f>
        <v>Q1</v>
      </c>
      <c r="P30" s="7" t="str">
        <f>IF(B30="","",TEXT(B30,"mmmm"))</f>
        <v>January</v>
      </c>
      <c r="Q30" s="7" t="str">
        <f>IF(B30="","",TEXT(B30,"yyyy-mm"))</f>
        <v>2026-01</v>
      </c>
      <c r="R30" s="8">
        <f>IFERROR(G30/F30,"")</f>
        <v>198</v>
      </c>
      <c r="S30" s="9">
        <f>IFERROR(I30/G30,"")</f>
        <v>9.0909090909090912E-2</v>
      </c>
      <c r="T30" s="7" t="s">
        <v>459</v>
      </c>
      <c r="U30" s="7"/>
    </row>
    <row r="31" spans="1:21">
      <c r="A31" s="2" t="s">
        <v>110</v>
      </c>
      <c r="B31" s="3">
        <v>46032</v>
      </c>
      <c r="C31" s="2" t="s">
        <v>15</v>
      </c>
      <c r="D31" s="2" t="s">
        <v>53</v>
      </c>
      <c r="E31" s="2" t="s">
        <v>36</v>
      </c>
      <c r="F31" s="4">
        <v>1</v>
      </c>
      <c r="G31" s="5">
        <v>220</v>
      </c>
      <c r="H31" s="5">
        <v>180</v>
      </c>
      <c r="I31" s="5">
        <v>40</v>
      </c>
      <c r="J31" s="2" t="s">
        <v>62</v>
      </c>
      <c r="K31" s="2" t="s">
        <v>458</v>
      </c>
      <c r="L31" s="6">
        <v>18.2</v>
      </c>
      <c r="M31" s="2" t="s">
        <v>25</v>
      </c>
      <c r="N31" s="7">
        <f>IF(B31="","",YEAR(B31))</f>
        <v>2026</v>
      </c>
      <c r="O31" s="7" t="str">
        <f>IF(B31="","","Q"&amp;ROUNDUP(MONTH(B31)/3,0))</f>
        <v>Q1</v>
      </c>
      <c r="P31" s="7" t="str">
        <f>IF(B31="","",TEXT(B31,"mmmm"))</f>
        <v>January</v>
      </c>
      <c r="Q31" s="7" t="str">
        <f>IF(B31="","",TEXT(B31,"yyyy-mm"))</f>
        <v>2026-01</v>
      </c>
      <c r="R31" s="8">
        <f>IFERROR(G31/F31,"")</f>
        <v>220</v>
      </c>
      <c r="S31" s="9">
        <f>IFERROR(I31/G31,"")</f>
        <v>0.18181818181818182</v>
      </c>
      <c r="T31" s="7" t="s">
        <v>459</v>
      </c>
      <c r="U31" s="7"/>
    </row>
    <row r="32" spans="1:21">
      <c r="A32" s="2" t="s">
        <v>111</v>
      </c>
      <c r="B32" s="3">
        <v>46032</v>
      </c>
      <c r="C32" s="2" t="s">
        <v>34</v>
      </c>
      <c r="D32" s="2" t="s">
        <v>16</v>
      </c>
      <c r="E32" s="2" t="s">
        <v>43</v>
      </c>
      <c r="F32" s="4">
        <v>1</v>
      </c>
      <c r="G32" s="5">
        <v>300</v>
      </c>
      <c r="H32" s="5">
        <v>250</v>
      </c>
      <c r="I32" s="5">
        <v>50</v>
      </c>
      <c r="J32" s="2" t="s">
        <v>460</v>
      </c>
      <c r="K32" s="2" t="s">
        <v>31</v>
      </c>
      <c r="L32" s="6">
        <v>16.7</v>
      </c>
      <c r="M32" s="2" t="s">
        <v>25</v>
      </c>
      <c r="N32" s="7">
        <f>IF(B32="","",YEAR(B32))</f>
        <v>2026</v>
      </c>
      <c r="O32" s="7" t="str">
        <f>IF(B32="","","Q"&amp;ROUNDUP(MONTH(B32)/3,0))</f>
        <v>Q1</v>
      </c>
      <c r="P32" s="7" t="str">
        <f>IF(B32="","",TEXT(B32,"mmmm"))</f>
        <v>January</v>
      </c>
      <c r="Q32" s="7" t="str">
        <f>IF(B32="","",TEXT(B32,"yyyy-mm"))</f>
        <v>2026-01</v>
      </c>
      <c r="R32" s="8">
        <f>IFERROR(G32/F32,"")</f>
        <v>300</v>
      </c>
      <c r="S32" s="9">
        <f>IFERROR(I32/G32,"")</f>
        <v>0.16666666666666666</v>
      </c>
      <c r="T32" s="7" t="s">
        <v>459</v>
      </c>
      <c r="U32" s="7"/>
    </row>
    <row r="33" spans="1:21">
      <c r="A33" s="2" t="s">
        <v>112</v>
      </c>
      <c r="B33" s="3">
        <v>46033</v>
      </c>
      <c r="C33" s="2" t="s">
        <v>15</v>
      </c>
      <c r="D33" s="2" t="s">
        <v>42</v>
      </c>
      <c r="E33" s="2" t="s">
        <v>56</v>
      </c>
      <c r="F33" s="4">
        <v>1</v>
      </c>
      <c r="G33" s="5">
        <v>180</v>
      </c>
      <c r="H33" s="5">
        <v>115</v>
      </c>
      <c r="I33" s="5">
        <v>65</v>
      </c>
      <c r="J33" s="2" t="s">
        <v>22</v>
      </c>
      <c r="K33" s="2" t="s">
        <v>458</v>
      </c>
      <c r="L33" s="6">
        <v>36.1</v>
      </c>
      <c r="M33" s="2" t="s">
        <v>25</v>
      </c>
      <c r="N33" s="7">
        <f>IF(B33="","",YEAR(B33))</f>
        <v>2026</v>
      </c>
      <c r="O33" s="7" t="str">
        <f>IF(B33="","","Q"&amp;ROUNDUP(MONTH(B33)/3,0))</f>
        <v>Q1</v>
      </c>
      <c r="P33" s="7" t="str">
        <f>IF(B33="","",TEXT(B33,"mmmm"))</f>
        <v>January</v>
      </c>
      <c r="Q33" s="7" t="str">
        <f>IF(B33="","",TEXT(B33,"yyyy-mm"))</f>
        <v>2026-01</v>
      </c>
      <c r="R33" s="8">
        <f>IFERROR(G33/F33,"")</f>
        <v>180</v>
      </c>
      <c r="S33" s="9">
        <f>IFERROR(I33/G33,"")</f>
        <v>0.3611111111111111</v>
      </c>
      <c r="T33" s="7" t="s">
        <v>459</v>
      </c>
      <c r="U33" s="7"/>
    </row>
    <row r="34" spans="1:21">
      <c r="A34" s="2" t="s">
        <v>114</v>
      </c>
      <c r="B34" s="3">
        <v>46034</v>
      </c>
      <c r="C34" s="2" t="s">
        <v>27</v>
      </c>
      <c r="D34" s="2" t="s">
        <v>16</v>
      </c>
      <c r="E34" s="2" t="s">
        <v>36</v>
      </c>
      <c r="F34" s="4">
        <v>1</v>
      </c>
      <c r="G34" s="5">
        <v>198</v>
      </c>
      <c r="H34" s="5">
        <v>180</v>
      </c>
      <c r="I34" s="5">
        <v>18</v>
      </c>
      <c r="J34" s="2" t="s">
        <v>22</v>
      </c>
      <c r="K34" s="2" t="s">
        <v>458</v>
      </c>
      <c r="L34" s="6">
        <v>9.1</v>
      </c>
      <c r="M34" s="2" t="s">
        <v>25</v>
      </c>
      <c r="N34" s="7">
        <f>IF(B34="","",YEAR(B34))</f>
        <v>2026</v>
      </c>
      <c r="O34" s="7" t="str">
        <f>IF(B34="","","Q"&amp;ROUNDUP(MONTH(B34)/3,0))</f>
        <v>Q1</v>
      </c>
      <c r="P34" s="7" t="str">
        <f>IF(B34="","",TEXT(B34,"mmmm"))</f>
        <v>January</v>
      </c>
      <c r="Q34" s="7" t="str">
        <f>IF(B34="","",TEXT(B34,"yyyy-mm"))</f>
        <v>2026-01</v>
      </c>
      <c r="R34" s="8">
        <f>IFERROR(G34/F34,"")</f>
        <v>198</v>
      </c>
      <c r="S34" s="9">
        <f>IFERROR(I34/G34,"")</f>
        <v>9.0909090909090912E-2</v>
      </c>
      <c r="T34" s="7" t="s">
        <v>459</v>
      </c>
      <c r="U34" s="7"/>
    </row>
    <row r="35" spans="1:21">
      <c r="A35" s="2" t="s">
        <v>116</v>
      </c>
      <c r="B35" s="3">
        <v>46034</v>
      </c>
      <c r="C35" s="2" t="s">
        <v>34</v>
      </c>
      <c r="D35" s="2" t="s">
        <v>42</v>
      </c>
      <c r="E35" s="2" t="s">
        <v>56</v>
      </c>
      <c r="F35" s="4">
        <v>2</v>
      </c>
      <c r="G35" s="5">
        <v>360</v>
      </c>
      <c r="H35" s="5">
        <v>230</v>
      </c>
      <c r="I35" s="5">
        <v>130</v>
      </c>
      <c r="J35" s="2" t="s">
        <v>460</v>
      </c>
      <c r="K35" s="2" t="s">
        <v>458</v>
      </c>
      <c r="L35" s="6">
        <v>36.1</v>
      </c>
      <c r="M35" s="2" t="s">
        <v>25</v>
      </c>
      <c r="N35" s="7">
        <f>IF(B35="","",YEAR(B35))</f>
        <v>2026</v>
      </c>
      <c r="O35" s="7" t="str">
        <f>IF(B35="","","Q"&amp;ROUNDUP(MONTH(B35)/3,0))</f>
        <v>Q1</v>
      </c>
      <c r="P35" s="7" t="str">
        <f>IF(B35="","",TEXT(B35,"mmmm"))</f>
        <v>January</v>
      </c>
      <c r="Q35" s="7" t="str">
        <f>IF(B35="","",TEXT(B35,"yyyy-mm"))</f>
        <v>2026-01</v>
      </c>
      <c r="R35" s="8">
        <f>IFERROR(G35/F35,"")</f>
        <v>180</v>
      </c>
      <c r="S35" s="9">
        <f>IFERROR(I35/G35,"")</f>
        <v>0.3611111111111111</v>
      </c>
      <c r="T35" s="7" t="s">
        <v>459</v>
      </c>
      <c r="U35" s="7"/>
    </row>
    <row r="36" spans="1:21">
      <c r="A36" s="2" t="s">
        <v>117</v>
      </c>
      <c r="B36" s="3">
        <v>46035</v>
      </c>
      <c r="C36" s="2" t="s">
        <v>34</v>
      </c>
      <c r="D36" s="2" t="s">
        <v>42</v>
      </c>
      <c r="E36" s="2" t="s">
        <v>43</v>
      </c>
      <c r="F36" s="4">
        <v>1</v>
      </c>
      <c r="G36" s="5">
        <v>300</v>
      </c>
      <c r="H36" s="5">
        <v>250</v>
      </c>
      <c r="I36" s="5">
        <v>50</v>
      </c>
      <c r="J36" s="2" t="s">
        <v>460</v>
      </c>
      <c r="K36" s="2" t="s">
        <v>31</v>
      </c>
      <c r="L36" s="6">
        <v>16.7</v>
      </c>
      <c r="M36" s="2" t="s">
        <v>25</v>
      </c>
      <c r="N36" s="7">
        <f>IF(B36="","",YEAR(B36))</f>
        <v>2026</v>
      </c>
      <c r="O36" s="7" t="str">
        <f>IF(B36="","","Q"&amp;ROUNDUP(MONTH(B36)/3,0))</f>
        <v>Q1</v>
      </c>
      <c r="P36" s="7" t="str">
        <f>IF(B36="","",TEXT(B36,"mmmm"))</f>
        <v>January</v>
      </c>
      <c r="Q36" s="7" t="str">
        <f>IF(B36="","",TEXT(B36,"yyyy-mm"))</f>
        <v>2026-01</v>
      </c>
      <c r="R36" s="8">
        <f>IFERROR(G36/F36,"")</f>
        <v>300</v>
      </c>
      <c r="S36" s="9">
        <f>IFERROR(I36/G36,"")</f>
        <v>0.16666666666666666</v>
      </c>
      <c r="T36" s="7" t="s">
        <v>459</v>
      </c>
      <c r="U36" s="7"/>
    </row>
    <row r="37" spans="1:21">
      <c r="A37" s="2" t="s">
        <v>119</v>
      </c>
      <c r="B37" s="3">
        <v>46035</v>
      </c>
      <c r="C37" s="2" t="s">
        <v>49</v>
      </c>
      <c r="D37" s="2" t="s">
        <v>53</v>
      </c>
      <c r="E37" s="2" t="s">
        <v>86</v>
      </c>
      <c r="F37" s="4">
        <v>2</v>
      </c>
      <c r="G37" s="5">
        <v>252</v>
      </c>
      <c r="H37" s="5">
        <v>160</v>
      </c>
      <c r="I37" s="5">
        <v>92</v>
      </c>
      <c r="J37" s="2" t="s">
        <v>460</v>
      </c>
      <c r="K37" s="2" t="s">
        <v>458</v>
      </c>
      <c r="L37" s="6">
        <v>36.5</v>
      </c>
      <c r="M37" s="2" t="s">
        <v>25</v>
      </c>
      <c r="N37" s="7">
        <f>IF(B37="","",YEAR(B37))</f>
        <v>2026</v>
      </c>
      <c r="O37" s="7" t="str">
        <f>IF(B37="","","Q"&amp;ROUNDUP(MONTH(B37)/3,0))</f>
        <v>Q1</v>
      </c>
      <c r="P37" s="7" t="str">
        <f>IF(B37="","",TEXT(B37,"mmmm"))</f>
        <v>January</v>
      </c>
      <c r="Q37" s="7" t="str">
        <f>IF(B37="","",TEXT(B37,"yyyy-mm"))</f>
        <v>2026-01</v>
      </c>
      <c r="R37" s="8">
        <f>IFERROR(G37/F37,"")</f>
        <v>126</v>
      </c>
      <c r="S37" s="9">
        <f>IFERROR(I37/G37,"")</f>
        <v>0.36507936507936506</v>
      </c>
      <c r="T37" s="7" t="s">
        <v>459</v>
      </c>
      <c r="U37" s="7"/>
    </row>
    <row r="38" spans="1:21">
      <c r="A38" s="2" t="s">
        <v>123</v>
      </c>
      <c r="B38" s="3">
        <v>46035</v>
      </c>
      <c r="C38" s="2" t="s">
        <v>34</v>
      </c>
      <c r="D38" s="2" t="s">
        <v>16</v>
      </c>
      <c r="E38" s="2" t="s">
        <v>17</v>
      </c>
      <c r="F38" s="4">
        <v>2</v>
      </c>
      <c r="G38" s="5">
        <v>198</v>
      </c>
      <c r="H38" s="5">
        <v>80</v>
      </c>
      <c r="I38" s="5">
        <v>118</v>
      </c>
      <c r="J38" s="2" t="s">
        <v>22</v>
      </c>
      <c r="K38" s="2" t="s">
        <v>458</v>
      </c>
      <c r="L38" s="6">
        <v>59.6</v>
      </c>
      <c r="M38" s="2" t="s">
        <v>25</v>
      </c>
      <c r="N38" s="7">
        <f>IF(B38="","",YEAR(B38))</f>
        <v>2026</v>
      </c>
      <c r="O38" s="7" t="str">
        <f>IF(B38="","","Q"&amp;ROUNDUP(MONTH(B38)/3,0))</f>
        <v>Q1</v>
      </c>
      <c r="P38" s="7" t="str">
        <f>IF(B38="","",TEXT(B38,"mmmm"))</f>
        <v>January</v>
      </c>
      <c r="Q38" s="7" t="str">
        <f>IF(B38="","",TEXT(B38,"yyyy-mm"))</f>
        <v>2026-01</v>
      </c>
      <c r="R38" s="8">
        <f>IFERROR(G38/F38,"")</f>
        <v>99</v>
      </c>
      <c r="S38" s="9">
        <f>IFERROR(I38/G38,"")</f>
        <v>0.59595959595959591</v>
      </c>
      <c r="T38" s="7" t="s">
        <v>459</v>
      </c>
      <c r="U38" s="7"/>
    </row>
    <row r="39" spans="1:21">
      <c r="A39" s="2" t="s">
        <v>126</v>
      </c>
      <c r="B39" s="3">
        <v>46036</v>
      </c>
      <c r="C39" s="2" t="s">
        <v>34</v>
      </c>
      <c r="D39" s="2" t="s">
        <v>42</v>
      </c>
      <c r="E39" s="2" t="s">
        <v>17</v>
      </c>
      <c r="F39" s="4">
        <v>1</v>
      </c>
      <c r="G39" s="5">
        <v>90</v>
      </c>
      <c r="H39" s="5">
        <v>40</v>
      </c>
      <c r="I39" s="5">
        <v>50</v>
      </c>
      <c r="J39" s="2" t="s">
        <v>22</v>
      </c>
      <c r="K39" s="2" t="s">
        <v>458</v>
      </c>
      <c r="L39" s="6">
        <v>55.6</v>
      </c>
      <c r="M39" s="2" t="s">
        <v>25</v>
      </c>
      <c r="N39" s="7">
        <f>IF(B39="","",YEAR(B39))</f>
        <v>2026</v>
      </c>
      <c r="O39" s="7" t="str">
        <f>IF(B39="","","Q"&amp;ROUNDUP(MONTH(B39)/3,0))</f>
        <v>Q1</v>
      </c>
      <c r="P39" s="7" t="str">
        <f>IF(B39="","",TEXT(B39,"mmmm"))</f>
        <v>January</v>
      </c>
      <c r="Q39" s="7" t="str">
        <f>IF(B39="","",TEXT(B39,"yyyy-mm"))</f>
        <v>2026-01</v>
      </c>
      <c r="R39" s="8">
        <f>IFERROR(G39/F39,"")</f>
        <v>90</v>
      </c>
      <c r="S39" s="9">
        <f>IFERROR(I39/G39,"")</f>
        <v>0.55555555555555558</v>
      </c>
      <c r="T39" s="7" t="s">
        <v>459</v>
      </c>
      <c r="U39" s="7"/>
    </row>
    <row r="40" spans="1:21">
      <c r="A40" s="2" t="s">
        <v>128</v>
      </c>
      <c r="B40" s="3">
        <v>46036</v>
      </c>
      <c r="C40" s="2" t="s">
        <v>49</v>
      </c>
      <c r="D40" s="2" t="s">
        <v>16</v>
      </c>
      <c r="E40" s="2" t="s">
        <v>86</v>
      </c>
      <c r="F40" s="4">
        <v>1</v>
      </c>
      <c r="G40" s="5">
        <v>154</v>
      </c>
      <c r="H40" s="5">
        <v>80</v>
      </c>
      <c r="I40" s="5">
        <v>74</v>
      </c>
      <c r="J40" s="2" t="s">
        <v>460</v>
      </c>
      <c r="K40" s="2" t="s">
        <v>458</v>
      </c>
      <c r="L40" s="6">
        <v>48.1</v>
      </c>
      <c r="M40" s="2" t="s">
        <v>25</v>
      </c>
      <c r="N40" s="7">
        <f>IF(B40="","",YEAR(B40))</f>
        <v>2026</v>
      </c>
      <c r="O40" s="7" t="str">
        <f>IF(B40="","","Q"&amp;ROUNDUP(MONTH(B40)/3,0))</f>
        <v>Q1</v>
      </c>
      <c r="P40" s="7" t="str">
        <f>IF(B40="","",TEXT(B40,"mmmm"))</f>
        <v>January</v>
      </c>
      <c r="Q40" s="7" t="str">
        <f>IF(B40="","",TEXT(B40,"yyyy-mm"))</f>
        <v>2026-01</v>
      </c>
      <c r="R40" s="8">
        <f>IFERROR(G40/F40,"")</f>
        <v>154</v>
      </c>
      <c r="S40" s="9">
        <f>IFERROR(I40/G40,"")</f>
        <v>0.48051948051948051</v>
      </c>
      <c r="T40" s="7" t="s">
        <v>459</v>
      </c>
      <c r="U40" s="7"/>
    </row>
    <row r="41" spans="1:21">
      <c r="A41" s="2" t="s">
        <v>132</v>
      </c>
      <c r="B41" s="3">
        <v>46036</v>
      </c>
      <c r="C41" s="2" t="s">
        <v>27</v>
      </c>
      <c r="D41" s="2" t="s">
        <v>16</v>
      </c>
      <c r="E41" s="2" t="s">
        <v>56</v>
      </c>
      <c r="F41" s="4">
        <v>1</v>
      </c>
      <c r="G41" s="5">
        <v>180</v>
      </c>
      <c r="H41" s="5">
        <v>115</v>
      </c>
      <c r="I41" s="5">
        <v>65</v>
      </c>
      <c r="J41" s="2" t="s">
        <v>460</v>
      </c>
      <c r="K41" s="2" t="s">
        <v>458</v>
      </c>
      <c r="L41" s="6">
        <v>36.1</v>
      </c>
      <c r="M41" s="2" t="s">
        <v>25</v>
      </c>
      <c r="N41" s="7">
        <f>IF(B41="","",YEAR(B41))</f>
        <v>2026</v>
      </c>
      <c r="O41" s="7" t="str">
        <f>IF(B41="","","Q"&amp;ROUNDUP(MONTH(B41)/3,0))</f>
        <v>Q1</v>
      </c>
      <c r="P41" s="7" t="str">
        <f>IF(B41="","",TEXT(B41,"mmmm"))</f>
        <v>January</v>
      </c>
      <c r="Q41" s="7" t="str">
        <f>IF(B41="","",TEXT(B41,"yyyy-mm"))</f>
        <v>2026-01</v>
      </c>
      <c r="R41" s="8">
        <f>IFERROR(G41/F41,"")</f>
        <v>180</v>
      </c>
      <c r="S41" s="9">
        <f>IFERROR(I41/G41,"")</f>
        <v>0.3611111111111111</v>
      </c>
      <c r="T41" s="7" t="s">
        <v>459</v>
      </c>
      <c r="U41" s="7"/>
    </row>
    <row r="42" spans="1:21">
      <c r="A42" s="2" t="s">
        <v>133</v>
      </c>
      <c r="B42" s="3">
        <v>46036</v>
      </c>
      <c r="C42" s="2" t="s">
        <v>27</v>
      </c>
      <c r="D42" s="2" t="s">
        <v>42</v>
      </c>
      <c r="E42" s="2" t="s">
        <v>17</v>
      </c>
      <c r="F42" s="4">
        <v>1</v>
      </c>
      <c r="G42" s="5">
        <v>90</v>
      </c>
      <c r="H42" s="5">
        <v>40</v>
      </c>
      <c r="I42" s="5">
        <v>50</v>
      </c>
      <c r="J42" s="2" t="s">
        <v>460</v>
      </c>
      <c r="K42" s="2" t="s">
        <v>458</v>
      </c>
      <c r="L42" s="6">
        <v>55.6</v>
      </c>
      <c r="M42" s="2" t="s">
        <v>25</v>
      </c>
      <c r="N42" s="7">
        <f>IF(B42="","",YEAR(B42))</f>
        <v>2026</v>
      </c>
      <c r="O42" s="7" t="str">
        <f>IF(B42="","","Q"&amp;ROUNDUP(MONTH(B42)/3,0))</f>
        <v>Q1</v>
      </c>
      <c r="P42" s="7" t="str">
        <f>IF(B42="","",TEXT(B42,"mmmm"))</f>
        <v>January</v>
      </c>
      <c r="Q42" s="7" t="str">
        <f>IF(B42="","",TEXT(B42,"yyyy-mm"))</f>
        <v>2026-01</v>
      </c>
      <c r="R42" s="8">
        <f>IFERROR(G42/F42,"")</f>
        <v>90</v>
      </c>
      <c r="S42" s="9">
        <f>IFERROR(I42/G42,"")</f>
        <v>0.55555555555555558</v>
      </c>
      <c r="T42" s="7" t="s">
        <v>459</v>
      </c>
      <c r="U42" s="7"/>
    </row>
    <row r="43" spans="1:21">
      <c r="A43" s="2" t="s">
        <v>134</v>
      </c>
      <c r="B43" s="3">
        <v>46036</v>
      </c>
      <c r="C43" s="2" t="s">
        <v>49</v>
      </c>
      <c r="D43" s="2" t="s">
        <v>42</v>
      </c>
      <c r="E43" s="2" t="s">
        <v>86</v>
      </c>
      <c r="F43" s="4">
        <v>2</v>
      </c>
      <c r="G43" s="5">
        <v>280</v>
      </c>
      <c r="H43" s="5">
        <v>160</v>
      </c>
      <c r="I43" s="5">
        <v>120</v>
      </c>
      <c r="J43" s="2" t="s">
        <v>22</v>
      </c>
      <c r="K43" s="2" t="s">
        <v>458</v>
      </c>
      <c r="L43" s="6">
        <v>42.9</v>
      </c>
      <c r="M43" s="2" t="s">
        <v>25</v>
      </c>
      <c r="N43" s="7">
        <f>IF(B43="","",YEAR(B43))</f>
        <v>2026</v>
      </c>
      <c r="O43" s="7" t="str">
        <f>IF(B43="","","Q"&amp;ROUNDUP(MONTH(B43)/3,0))</f>
        <v>Q1</v>
      </c>
      <c r="P43" s="7" t="str">
        <f>IF(B43="","",TEXT(B43,"mmmm"))</f>
        <v>January</v>
      </c>
      <c r="Q43" s="7" t="str">
        <f>IF(B43="","",TEXT(B43,"yyyy-mm"))</f>
        <v>2026-01</v>
      </c>
      <c r="R43" s="8">
        <f>IFERROR(G43/F43,"")</f>
        <v>140</v>
      </c>
      <c r="S43" s="9">
        <f>IFERROR(I43/G43,"")</f>
        <v>0.42857142857142855</v>
      </c>
      <c r="T43" s="7" t="s">
        <v>459</v>
      </c>
      <c r="U43" s="7"/>
    </row>
    <row r="44" spans="1:21">
      <c r="A44" s="2" t="s">
        <v>135</v>
      </c>
      <c r="B44" s="3">
        <v>46036</v>
      </c>
      <c r="C44" s="2" t="s">
        <v>27</v>
      </c>
      <c r="D44" s="2" t="s">
        <v>42</v>
      </c>
      <c r="E44" s="2" t="s">
        <v>56</v>
      </c>
      <c r="F44" s="4">
        <v>1</v>
      </c>
      <c r="G44" s="5">
        <v>180</v>
      </c>
      <c r="H44" s="5">
        <v>115</v>
      </c>
      <c r="I44" s="5">
        <v>65</v>
      </c>
      <c r="J44" s="2" t="s">
        <v>460</v>
      </c>
      <c r="K44" s="2" t="s">
        <v>31</v>
      </c>
      <c r="L44" s="6">
        <v>36.1</v>
      </c>
      <c r="M44" s="2" t="s">
        <v>25</v>
      </c>
      <c r="N44" s="7">
        <f>IF(B44="","",YEAR(B44))</f>
        <v>2026</v>
      </c>
      <c r="O44" s="7" t="str">
        <f>IF(B44="","","Q"&amp;ROUNDUP(MONTH(B44)/3,0))</f>
        <v>Q1</v>
      </c>
      <c r="P44" s="7" t="str">
        <f>IF(B44="","",TEXT(B44,"mmmm"))</f>
        <v>January</v>
      </c>
      <c r="Q44" s="7" t="str">
        <f>IF(B44="","",TEXT(B44,"yyyy-mm"))</f>
        <v>2026-01</v>
      </c>
      <c r="R44" s="8">
        <f>IFERROR(G44/F44,"")</f>
        <v>180</v>
      </c>
      <c r="S44" s="9">
        <f>IFERROR(I44/G44,"")</f>
        <v>0.3611111111111111</v>
      </c>
      <c r="T44" s="7" t="s">
        <v>459</v>
      </c>
      <c r="U44" s="7"/>
    </row>
    <row r="45" spans="1:21">
      <c r="A45" s="2" t="s">
        <v>136</v>
      </c>
      <c r="B45" s="3">
        <v>46037</v>
      </c>
      <c r="C45" s="2" t="s">
        <v>49</v>
      </c>
      <c r="D45" s="2" t="s">
        <v>42</v>
      </c>
      <c r="E45" s="2" t="s">
        <v>86</v>
      </c>
      <c r="F45" s="4">
        <v>2</v>
      </c>
      <c r="G45" s="5">
        <v>280</v>
      </c>
      <c r="H45" s="5">
        <v>160</v>
      </c>
      <c r="I45" s="5">
        <v>120</v>
      </c>
      <c r="J45" s="2" t="s">
        <v>62</v>
      </c>
      <c r="K45" s="2" t="s">
        <v>458</v>
      </c>
      <c r="L45" s="6">
        <v>42.9</v>
      </c>
      <c r="M45" s="2" t="s">
        <v>25</v>
      </c>
      <c r="N45" s="7">
        <f>IF(B45="","",YEAR(B45))</f>
        <v>2026</v>
      </c>
      <c r="O45" s="7" t="str">
        <f>IF(B45="","","Q"&amp;ROUNDUP(MONTH(B45)/3,0))</f>
        <v>Q1</v>
      </c>
      <c r="P45" s="7" t="str">
        <f>IF(B45="","",TEXT(B45,"mmmm"))</f>
        <v>January</v>
      </c>
      <c r="Q45" s="7" t="str">
        <f>IF(B45="","",TEXT(B45,"yyyy-mm"))</f>
        <v>2026-01</v>
      </c>
      <c r="R45" s="8">
        <f>IFERROR(G45/F45,"")</f>
        <v>140</v>
      </c>
      <c r="S45" s="9">
        <f>IFERROR(I45/G45,"")</f>
        <v>0.42857142857142855</v>
      </c>
      <c r="T45" s="7" t="s">
        <v>459</v>
      </c>
      <c r="U45" s="7"/>
    </row>
    <row r="46" spans="1:21">
      <c r="A46" s="2" t="s">
        <v>138</v>
      </c>
      <c r="B46" s="3">
        <v>46037</v>
      </c>
      <c r="C46" s="2" t="s">
        <v>34</v>
      </c>
      <c r="D46" s="2" t="s">
        <v>16</v>
      </c>
      <c r="E46" s="2" t="s">
        <v>86</v>
      </c>
      <c r="F46" s="4">
        <v>2</v>
      </c>
      <c r="G46" s="5">
        <v>280</v>
      </c>
      <c r="H46" s="5">
        <v>160</v>
      </c>
      <c r="I46" s="5">
        <v>120</v>
      </c>
      <c r="J46" s="2" t="s">
        <v>62</v>
      </c>
      <c r="K46" s="2" t="s">
        <v>31</v>
      </c>
      <c r="L46" s="6">
        <v>42.9</v>
      </c>
      <c r="M46" s="2" t="s">
        <v>25</v>
      </c>
      <c r="N46" s="7">
        <f>IF(B46="","",YEAR(B46))</f>
        <v>2026</v>
      </c>
      <c r="O46" s="7" t="str">
        <f>IF(B46="","","Q"&amp;ROUNDUP(MONTH(B46)/3,0))</f>
        <v>Q1</v>
      </c>
      <c r="P46" s="7" t="str">
        <f>IF(B46="","",TEXT(B46,"mmmm"))</f>
        <v>January</v>
      </c>
      <c r="Q46" s="7" t="str">
        <f>IF(B46="","",TEXT(B46,"yyyy-mm"))</f>
        <v>2026-01</v>
      </c>
      <c r="R46" s="8">
        <f>IFERROR(G46/F46,"")</f>
        <v>140</v>
      </c>
      <c r="S46" s="9">
        <f>IFERROR(I46/G46,"")</f>
        <v>0.42857142857142855</v>
      </c>
      <c r="T46" s="7" t="s">
        <v>459</v>
      </c>
      <c r="U46" s="7"/>
    </row>
    <row r="47" spans="1:21">
      <c r="A47" s="2" t="s">
        <v>139</v>
      </c>
      <c r="B47" s="3">
        <v>46037</v>
      </c>
      <c r="C47" s="2" t="s">
        <v>49</v>
      </c>
      <c r="D47" s="2" t="s">
        <v>42</v>
      </c>
      <c r="E47" s="2" t="s">
        <v>56</v>
      </c>
      <c r="F47" s="4">
        <v>3</v>
      </c>
      <c r="G47" s="5">
        <v>540</v>
      </c>
      <c r="H47" s="5">
        <v>345</v>
      </c>
      <c r="I47" s="5">
        <v>195</v>
      </c>
      <c r="J47" s="2" t="s">
        <v>460</v>
      </c>
      <c r="K47" s="2" t="s">
        <v>31</v>
      </c>
      <c r="L47" s="6">
        <v>36.1</v>
      </c>
      <c r="M47" s="2" t="s">
        <v>25</v>
      </c>
      <c r="N47" s="7">
        <f>IF(B47="","",YEAR(B47))</f>
        <v>2026</v>
      </c>
      <c r="O47" s="7" t="str">
        <f>IF(B47="","","Q"&amp;ROUNDUP(MONTH(B47)/3,0))</f>
        <v>Q1</v>
      </c>
      <c r="P47" s="7" t="str">
        <f>IF(B47="","",TEXT(B47,"mmmm"))</f>
        <v>January</v>
      </c>
      <c r="Q47" s="7" t="str">
        <f>IF(B47="","",TEXT(B47,"yyyy-mm"))</f>
        <v>2026-01</v>
      </c>
      <c r="R47" s="8">
        <f>IFERROR(G47/F47,"")</f>
        <v>180</v>
      </c>
      <c r="S47" s="9">
        <f>IFERROR(I47/G47,"")</f>
        <v>0.3611111111111111</v>
      </c>
      <c r="T47" s="7" t="s">
        <v>459</v>
      </c>
      <c r="U47" s="7"/>
    </row>
    <row r="48" spans="1:21">
      <c r="A48" s="2" t="s">
        <v>144</v>
      </c>
      <c r="B48" s="3">
        <v>46037</v>
      </c>
      <c r="C48" s="2" t="s">
        <v>27</v>
      </c>
      <c r="D48" s="2" t="s">
        <v>53</v>
      </c>
      <c r="E48" s="2" t="s">
        <v>43</v>
      </c>
      <c r="F48" s="4">
        <v>2</v>
      </c>
      <c r="G48" s="5">
        <v>600</v>
      </c>
      <c r="H48" s="5">
        <v>500</v>
      </c>
      <c r="I48" s="5">
        <v>100</v>
      </c>
      <c r="J48" s="2" t="s">
        <v>460</v>
      </c>
      <c r="K48" s="2" t="s">
        <v>458</v>
      </c>
      <c r="L48" s="6">
        <v>16.7</v>
      </c>
      <c r="M48" s="2" t="s">
        <v>25</v>
      </c>
      <c r="N48" s="7">
        <f>IF(B48="","",YEAR(B48))</f>
        <v>2026</v>
      </c>
      <c r="O48" s="7" t="str">
        <f>IF(B48="","","Q"&amp;ROUNDUP(MONTH(B48)/3,0))</f>
        <v>Q1</v>
      </c>
      <c r="P48" s="7" t="str">
        <f>IF(B48="","",TEXT(B48,"mmmm"))</f>
        <v>January</v>
      </c>
      <c r="Q48" s="7" t="str">
        <f>IF(B48="","",TEXT(B48,"yyyy-mm"))</f>
        <v>2026-01</v>
      </c>
      <c r="R48" s="8">
        <f>IFERROR(G48/F48,"")</f>
        <v>300</v>
      </c>
      <c r="S48" s="9">
        <f>IFERROR(I48/G48,"")</f>
        <v>0.16666666666666666</v>
      </c>
      <c r="T48" s="7" t="s">
        <v>459</v>
      </c>
      <c r="U48" s="7"/>
    </row>
    <row r="49" spans="1:21">
      <c r="A49" s="2" t="s">
        <v>147</v>
      </c>
      <c r="B49" s="3">
        <v>46037</v>
      </c>
      <c r="C49" s="2" t="s">
        <v>49</v>
      </c>
      <c r="D49" s="2" t="s">
        <v>53</v>
      </c>
      <c r="E49" s="2" t="s">
        <v>17</v>
      </c>
      <c r="F49" s="4">
        <v>1</v>
      </c>
      <c r="G49" s="5">
        <v>90</v>
      </c>
      <c r="H49" s="5">
        <v>40</v>
      </c>
      <c r="I49" s="5">
        <v>50</v>
      </c>
      <c r="J49" s="2" t="s">
        <v>460</v>
      </c>
      <c r="K49" s="2" t="s">
        <v>31</v>
      </c>
      <c r="L49" s="6">
        <v>55.6</v>
      </c>
      <c r="M49" s="2" t="s">
        <v>25</v>
      </c>
      <c r="N49" s="7">
        <f>IF(B49="","",YEAR(B49))</f>
        <v>2026</v>
      </c>
      <c r="O49" s="7" t="str">
        <f>IF(B49="","","Q"&amp;ROUNDUP(MONTH(B49)/3,0))</f>
        <v>Q1</v>
      </c>
      <c r="P49" s="7" t="str">
        <f>IF(B49="","",TEXT(B49,"mmmm"))</f>
        <v>January</v>
      </c>
      <c r="Q49" s="7" t="str">
        <f>IF(B49="","",TEXT(B49,"yyyy-mm"))</f>
        <v>2026-01</v>
      </c>
      <c r="R49" s="8">
        <f>IFERROR(G49/F49,"")</f>
        <v>90</v>
      </c>
      <c r="S49" s="9">
        <f>IFERROR(I49/G49,"")</f>
        <v>0.55555555555555558</v>
      </c>
      <c r="T49" s="7" t="s">
        <v>459</v>
      </c>
      <c r="U49" s="7"/>
    </row>
    <row r="50" spans="1:21">
      <c r="A50" s="2" t="s">
        <v>148</v>
      </c>
      <c r="B50" s="3">
        <v>46039</v>
      </c>
      <c r="C50" s="2" t="s">
        <v>15</v>
      </c>
      <c r="D50" s="2" t="s">
        <v>53</v>
      </c>
      <c r="E50" s="2" t="s">
        <v>17</v>
      </c>
      <c r="F50" s="4">
        <v>1</v>
      </c>
      <c r="G50" s="5">
        <v>90</v>
      </c>
      <c r="H50" s="5">
        <v>40</v>
      </c>
      <c r="I50" s="5">
        <v>50</v>
      </c>
      <c r="J50" s="2" t="s">
        <v>460</v>
      </c>
      <c r="K50" s="2" t="s">
        <v>31</v>
      </c>
      <c r="L50" s="6">
        <v>55.6</v>
      </c>
      <c r="M50" s="2" t="s">
        <v>25</v>
      </c>
      <c r="N50" s="7">
        <f>IF(B50="","",YEAR(B50))</f>
        <v>2026</v>
      </c>
      <c r="O50" s="7" t="str">
        <f>IF(B50="","","Q"&amp;ROUNDUP(MONTH(B50)/3,0))</f>
        <v>Q1</v>
      </c>
      <c r="P50" s="7" t="str">
        <f>IF(B50="","",TEXT(B50,"mmmm"))</f>
        <v>January</v>
      </c>
      <c r="Q50" s="7" t="str">
        <f>IF(B50="","",TEXT(B50,"yyyy-mm"))</f>
        <v>2026-01</v>
      </c>
      <c r="R50" s="8">
        <f>IFERROR(G50/F50,"")</f>
        <v>90</v>
      </c>
      <c r="S50" s="9">
        <f>IFERROR(I50/G50,"")</f>
        <v>0.55555555555555558</v>
      </c>
      <c r="T50" s="7" t="s">
        <v>459</v>
      </c>
      <c r="U50" s="7"/>
    </row>
    <row r="51" spans="1:21">
      <c r="A51" s="2" t="s">
        <v>150</v>
      </c>
      <c r="B51" s="3">
        <v>46039</v>
      </c>
      <c r="C51" s="2" t="s">
        <v>15</v>
      </c>
      <c r="D51" s="2" t="s">
        <v>42</v>
      </c>
      <c r="E51" s="2" t="s">
        <v>86</v>
      </c>
      <c r="F51" s="4">
        <v>1</v>
      </c>
      <c r="G51" s="5">
        <v>140</v>
      </c>
      <c r="H51" s="5">
        <v>80</v>
      </c>
      <c r="I51" s="5">
        <v>60</v>
      </c>
      <c r="J51" s="2" t="s">
        <v>460</v>
      </c>
      <c r="K51" s="2" t="s">
        <v>458</v>
      </c>
      <c r="L51" s="6">
        <v>42.9</v>
      </c>
      <c r="M51" s="2" t="s">
        <v>25</v>
      </c>
      <c r="N51" s="7">
        <f>IF(B51="","",YEAR(B51))</f>
        <v>2026</v>
      </c>
      <c r="O51" s="7" t="str">
        <f>IF(B51="","","Q"&amp;ROUNDUP(MONTH(B51)/3,0))</f>
        <v>Q1</v>
      </c>
      <c r="P51" s="7" t="str">
        <f>IF(B51="","",TEXT(B51,"mmmm"))</f>
        <v>January</v>
      </c>
      <c r="Q51" s="7" t="str">
        <f>IF(B51="","",TEXT(B51,"yyyy-mm"))</f>
        <v>2026-01</v>
      </c>
      <c r="R51" s="8">
        <f>IFERROR(G51/F51,"")</f>
        <v>140</v>
      </c>
      <c r="S51" s="9">
        <f>IFERROR(I51/G51,"")</f>
        <v>0.42857142857142855</v>
      </c>
      <c r="T51" s="7" t="s">
        <v>459</v>
      </c>
      <c r="U51" s="7"/>
    </row>
    <row r="52" spans="1:21">
      <c r="A52" s="2" t="s">
        <v>153</v>
      </c>
      <c r="B52" s="3">
        <v>46039</v>
      </c>
      <c r="C52" s="2" t="s">
        <v>27</v>
      </c>
      <c r="D52" s="2" t="s">
        <v>42</v>
      </c>
      <c r="E52" s="2" t="s">
        <v>43</v>
      </c>
      <c r="F52" s="4">
        <v>1</v>
      </c>
      <c r="G52" s="5">
        <v>330</v>
      </c>
      <c r="H52" s="5">
        <v>250</v>
      </c>
      <c r="I52" s="5">
        <v>80</v>
      </c>
      <c r="J52" s="2" t="s">
        <v>460</v>
      </c>
      <c r="K52" s="2" t="s">
        <v>31</v>
      </c>
      <c r="L52" s="6">
        <v>24.2</v>
      </c>
      <c r="M52" s="2" t="s">
        <v>25</v>
      </c>
      <c r="N52" s="7">
        <f>IF(B52="","",YEAR(B52))</f>
        <v>2026</v>
      </c>
      <c r="O52" s="7" t="str">
        <f>IF(B52="","","Q"&amp;ROUNDUP(MONTH(B52)/3,0))</f>
        <v>Q1</v>
      </c>
      <c r="P52" s="7" t="str">
        <f>IF(B52="","",TEXT(B52,"mmmm"))</f>
        <v>January</v>
      </c>
      <c r="Q52" s="7" t="str">
        <f>IF(B52="","",TEXT(B52,"yyyy-mm"))</f>
        <v>2026-01</v>
      </c>
      <c r="R52" s="8">
        <f>IFERROR(G52/F52,"")</f>
        <v>330</v>
      </c>
      <c r="S52" s="9">
        <f>IFERROR(I52/G52,"")</f>
        <v>0.24242424242424243</v>
      </c>
      <c r="T52" s="7" t="s">
        <v>459</v>
      </c>
      <c r="U52" s="7"/>
    </row>
    <row r="53" spans="1:21">
      <c r="A53" s="2" t="s">
        <v>154</v>
      </c>
      <c r="B53" s="3">
        <v>46039</v>
      </c>
      <c r="C53" s="2" t="s">
        <v>34</v>
      </c>
      <c r="D53" s="2" t="s">
        <v>53</v>
      </c>
      <c r="E53" s="2" t="s">
        <v>56</v>
      </c>
      <c r="F53" s="4">
        <v>1</v>
      </c>
      <c r="G53" s="5">
        <v>198</v>
      </c>
      <c r="H53" s="5">
        <v>115</v>
      </c>
      <c r="I53" s="5">
        <v>83</v>
      </c>
      <c r="J53" s="2" t="s">
        <v>62</v>
      </c>
      <c r="K53" s="2" t="s">
        <v>458</v>
      </c>
      <c r="L53" s="6">
        <v>41.9</v>
      </c>
      <c r="M53" s="2" t="s">
        <v>25</v>
      </c>
      <c r="N53" s="7">
        <f>IF(B53="","",YEAR(B53))</f>
        <v>2026</v>
      </c>
      <c r="O53" s="7" t="str">
        <f>IF(B53="","","Q"&amp;ROUNDUP(MONTH(B53)/3,0))</f>
        <v>Q1</v>
      </c>
      <c r="P53" s="7" t="str">
        <f>IF(B53="","",TEXT(B53,"mmmm"))</f>
        <v>January</v>
      </c>
      <c r="Q53" s="7" t="str">
        <f>IF(B53="","",TEXT(B53,"yyyy-mm"))</f>
        <v>2026-01</v>
      </c>
      <c r="R53" s="8">
        <f>IFERROR(G53/F53,"")</f>
        <v>198</v>
      </c>
      <c r="S53" s="9">
        <f>IFERROR(I53/G53,"")</f>
        <v>0.41919191919191917</v>
      </c>
      <c r="T53" s="7" t="s">
        <v>459</v>
      </c>
      <c r="U53" s="7"/>
    </row>
    <row r="54" spans="1:21">
      <c r="A54" s="2" t="s">
        <v>157</v>
      </c>
      <c r="B54" s="3">
        <v>46040</v>
      </c>
      <c r="C54" s="2" t="s">
        <v>49</v>
      </c>
      <c r="D54" s="2" t="s">
        <v>16</v>
      </c>
      <c r="E54" s="2" t="s">
        <v>36</v>
      </c>
      <c r="F54" s="4">
        <v>1</v>
      </c>
      <c r="G54" s="5">
        <v>220</v>
      </c>
      <c r="H54" s="5">
        <v>180</v>
      </c>
      <c r="I54" s="5">
        <v>40</v>
      </c>
      <c r="J54" s="2" t="s">
        <v>22</v>
      </c>
      <c r="K54" s="2" t="s">
        <v>458</v>
      </c>
      <c r="L54" s="6">
        <v>18.2</v>
      </c>
      <c r="M54" s="2" t="s">
        <v>25</v>
      </c>
      <c r="N54" s="7">
        <f>IF(B54="","",YEAR(B54))</f>
        <v>2026</v>
      </c>
      <c r="O54" s="7" t="str">
        <f>IF(B54="","","Q"&amp;ROUNDUP(MONTH(B54)/3,0))</f>
        <v>Q1</v>
      </c>
      <c r="P54" s="7" t="str">
        <f>IF(B54="","",TEXT(B54,"mmmm"))</f>
        <v>January</v>
      </c>
      <c r="Q54" s="7" t="str">
        <f>IF(B54="","",TEXT(B54,"yyyy-mm"))</f>
        <v>2026-01</v>
      </c>
      <c r="R54" s="8">
        <f>IFERROR(G54/F54,"")</f>
        <v>220</v>
      </c>
      <c r="S54" s="9">
        <f>IFERROR(I54/G54,"")</f>
        <v>0.18181818181818182</v>
      </c>
      <c r="T54" s="7" t="s">
        <v>459</v>
      </c>
      <c r="U54" s="7"/>
    </row>
    <row r="55" spans="1:21">
      <c r="A55" s="2" t="s">
        <v>159</v>
      </c>
      <c r="B55" s="3">
        <v>46041</v>
      </c>
      <c r="C55" s="2" t="s">
        <v>49</v>
      </c>
      <c r="D55" s="2" t="s">
        <v>53</v>
      </c>
      <c r="E55" s="2" t="s">
        <v>43</v>
      </c>
      <c r="F55" s="4">
        <v>1</v>
      </c>
      <c r="G55" s="5">
        <v>300</v>
      </c>
      <c r="H55" s="5">
        <v>250</v>
      </c>
      <c r="I55" s="5">
        <v>50</v>
      </c>
      <c r="J55" s="2" t="s">
        <v>22</v>
      </c>
      <c r="K55" s="2" t="s">
        <v>458</v>
      </c>
      <c r="L55" s="6">
        <v>16.7</v>
      </c>
      <c r="M55" s="2" t="s">
        <v>25</v>
      </c>
      <c r="N55" s="7">
        <f>IF(B55="","",YEAR(B55))</f>
        <v>2026</v>
      </c>
      <c r="O55" s="7" t="str">
        <f>IF(B55="","","Q"&amp;ROUNDUP(MONTH(B55)/3,0))</f>
        <v>Q1</v>
      </c>
      <c r="P55" s="7" t="str">
        <f>IF(B55="","",TEXT(B55,"mmmm"))</f>
        <v>January</v>
      </c>
      <c r="Q55" s="7" t="str">
        <f>IF(B55="","",TEXT(B55,"yyyy-mm"))</f>
        <v>2026-01</v>
      </c>
      <c r="R55" s="8">
        <f>IFERROR(G55/F55,"")</f>
        <v>300</v>
      </c>
      <c r="S55" s="9">
        <f>IFERROR(I55/G55,"")</f>
        <v>0.16666666666666666</v>
      </c>
      <c r="T55" s="7" t="s">
        <v>459</v>
      </c>
      <c r="U55" s="7"/>
    </row>
    <row r="56" spans="1:21">
      <c r="A56" s="2" t="s">
        <v>161</v>
      </c>
      <c r="B56" s="3">
        <v>46041</v>
      </c>
      <c r="C56" s="2" t="s">
        <v>49</v>
      </c>
      <c r="D56" s="2" t="s">
        <v>53</v>
      </c>
      <c r="E56" s="2" t="s">
        <v>17</v>
      </c>
      <c r="F56" s="4">
        <v>1</v>
      </c>
      <c r="G56" s="5">
        <v>81</v>
      </c>
      <c r="H56" s="5">
        <v>40</v>
      </c>
      <c r="I56" s="5">
        <v>41</v>
      </c>
      <c r="J56" s="2" t="s">
        <v>460</v>
      </c>
      <c r="K56" s="2" t="s">
        <v>31</v>
      </c>
      <c r="L56" s="6">
        <v>50.6</v>
      </c>
      <c r="M56" s="2" t="s">
        <v>25</v>
      </c>
      <c r="N56" s="7">
        <f>IF(B56="","",YEAR(B56))</f>
        <v>2026</v>
      </c>
      <c r="O56" s="7" t="str">
        <f>IF(B56="","","Q"&amp;ROUNDUP(MONTH(B56)/3,0))</f>
        <v>Q1</v>
      </c>
      <c r="P56" s="7" t="str">
        <f>IF(B56="","",TEXT(B56,"mmmm"))</f>
        <v>January</v>
      </c>
      <c r="Q56" s="7" t="str">
        <f>IF(B56="","",TEXT(B56,"yyyy-mm"))</f>
        <v>2026-01</v>
      </c>
      <c r="R56" s="8">
        <f>IFERROR(G56/F56,"")</f>
        <v>81</v>
      </c>
      <c r="S56" s="9">
        <f>IFERROR(I56/G56,"")</f>
        <v>0.50617283950617287</v>
      </c>
      <c r="T56" s="7" t="s">
        <v>459</v>
      </c>
      <c r="U56" s="7"/>
    </row>
    <row r="57" spans="1:21">
      <c r="A57" s="2" t="s">
        <v>162</v>
      </c>
      <c r="B57" s="3">
        <v>46042</v>
      </c>
      <c r="C57" s="2" t="s">
        <v>34</v>
      </c>
      <c r="D57" s="2" t="s">
        <v>53</v>
      </c>
      <c r="E57" s="2" t="s">
        <v>36</v>
      </c>
      <c r="F57" s="4">
        <v>1</v>
      </c>
      <c r="G57" s="5">
        <v>220</v>
      </c>
      <c r="H57" s="5">
        <v>180</v>
      </c>
      <c r="I57" s="5">
        <v>40</v>
      </c>
      <c r="J57" s="2" t="s">
        <v>22</v>
      </c>
      <c r="K57" s="2" t="s">
        <v>458</v>
      </c>
      <c r="L57" s="6">
        <v>18.2</v>
      </c>
      <c r="M57" s="2" t="s">
        <v>25</v>
      </c>
      <c r="N57" s="7">
        <f>IF(B57="","",YEAR(B57))</f>
        <v>2026</v>
      </c>
      <c r="O57" s="7" t="str">
        <f>IF(B57="","","Q"&amp;ROUNDUP(MONTH(B57)/3,0))</f>
        <v>Q1</v>
      </c>
      <c r="P57" s="7" t="str">
        <f>IF(B57="","",TEXT(B57,"mmmm"))</f>
        <v>January</v>
      </c>
      <c r="Q57" s="7" t="str">
        <f>IF(B57="","",TEXT(B57,"yyyy-mm"))</f>
        <v>2026-01</v>
      </c>
      <c r="R57" s="8">
        <f>IFERROR(G57/F57,"")</f>
        <v>220</v>
      </c>
      <c r="S57" s="9">
        <f>IFERROR(I57/G57,"")</f>
        <v>0.18181818181818182</v>
      </c>
      <c r="T57" s="7" t="s">
        <v>459</v>
      </c>
      <c r="U57" s="7"/>
    </row>
    <row r="58" spans="1:21">
      <c r="A58" s="2" t="s">
        <v>164</v>
      </c>
      <c r="B58" s="3">
        <v>46042</v>
      </c>
      <c r="C58" s="2" t="s">
        <v>15</v>
      </c>
      <c r="D58" s="2" t="s">
        <v>53</v>
      </c>
      <c r="E58" s="2" t="s">
        <v>17</v>
      </c>
      <c r="F58" s="4">
        <v>2</v>
      </c>
      <c r="G58" s="5">
        <v>180</v>
      </c>
      <c r="H58" s="5">
        <v>80</v>
      </c>
      <c r="I58" s="5">
        <v>100</v>
      </c>
      <c r="J58" s="2" t="s">
        <v>460</v>
      </c>
      <c r="K58" s="2" t="s">
        <v>458</v>
      </c>
      <c r="L58" s="6">
        <v>55.6</v>
      </c>
      <c r="M58" s="2" t="s">
        <v>25</v>
      </c>
      <c r="N58" s="7">
        <f>IF(B58="","",YEAR(B58))</f>
        <v>2026</v>
      </c>
      <c r="O58" s="7" t="str">
        <f>IF(B58="","","Q"&amp;ROUNDUP(MONTH(B58)/3,0))</f>
        <v>Q1</v>
      </c>
      <c r="P58" s="7" t="str">
        <f>IF(B58="","",TEXT(B58,"mmmm"))</f>
        <v>January</v>
      </c>
      <c r="Q58" s="7" t="str">
        <f>IF(B58="","",TEXT(B58,"yyyy-mm"))</f>
        <v>2026-01</v>
      </c>
      <c r="R58" s="8">
        <f>IFERROR(G58/F58,"")</f>
        <v>90</v>
      </c>
      <c r="S58" s="9">
        <f>IFERROR(I58/G58,"")</f>
        <v>0.55555555555555558</v>
      </c>
      <c r="T58" s="7" t="s">
        <v>459</v>
      </c>
      <c r="U58" s="7"/>
    </row>
    <row r="59" spans="1:21">
      <c r="A59" s="2" t="s">
        <v>165</v>
      </c>
      <c r="B59" s="3">
        <v>46042</v>
      </c>
      <c r="C59" s="2" t="s">
        <v>34</v>
      </c>
      <c r="D59" s="2" t="s">
        <v>16</v>
      </c>
      <c r="E59" s="2" t="s">
        <v>86</v>
      </c>
      <c r="F59" s="4">
        <v>1</v>
      </c>
      <c r="G59" s="5">
        <v>140</v>
      </c>
      <c r="H59" s="5">
        <v>80</v>
      </c>
      <c r="I59" s="5">
        <v>60</v>
      </c>
      <c r="J59" s="2" t="s">
        <v>460</v>
      </c>
      <c r="K59" s="2" t="s">
        <v>458</v>
      </c>
      <c r="L59" s="6">
        <v>42.9</v>
      </c>
      <c r="M59" s="2" t="s">
        <v>25</v>
      </c>
      <c r="N59" s="7">
        <f>IF(B59="","",YEAR(B59))</f>
        <v>2026</v>
      </c>
      <c r="O59" s="7" t="str">
        <f>IF(B59="","","Q"&amp;ROUNDUP(MONTH(B59)/3,0))</f>
        <v>Q1</v>
      </c>
      <c r="P59" s="7" t="str">
        <f>IF(B59="","",TEXT(B59,"mmmm"))</f>
        <v>January</v>
      </c>
      <c r="Q59" s="7" t="str">
        <f>IF(B59="","",TEXT(B59,"yyyy-mm"))</f>
        <v>2026-01</v>
      </c>
      <c r="R59" s="8">
        <f>IFERROR(G59/F59,"")</f>
        <v>140</v>
      </c>
      <c r="S59" s="9">
        <f>IFERROR(I59/G59,"")</f>
        <v>0.42857142857142855</v>
      </c>
      <c r="T59" s="7" t="s">
        <v>459</v>
      </c>
      <c r="U59" s="7"/>
    </row>
    <row r="60" spans="1:21">
      <c r="A60" s="2" t="s">
        <v>166</v>
      </c>
      <c r="B60" s="3">
        <v>46042</v>
      </c>
      <c r="C60" s="2" t="s">
        <v>27</v>
      </c>
      <c r="D60" s="2" t="s">
        <v>53</v>
      </c>
      <c r="E60" s="2" t="s">
        <v>43</v>
      </c>
      <c r="F60" s="4">
        <v>1</v>
      </c>
      <c r="G60" s="5">
        <v>300</v>
      </c>
      <c r="H60" s="5">
        <v>250</v>
      </c>
      <c r="I60" s="5">
        <v>50</v>
      </c>
      <c r="J60" s="2" t="s">
        <v>22</v>
      </c>
      <c r="K60" s="2" t="s">
        <v>31</v>
      </c>
      <c r="L60" s="6">
        <v>16.7</v>
      </c>
      <c r="M60" s="2" t="s">
        <v>25</v>
      </c>
      <c r="N60" s="7">
        <f>IF(B60="","",YEAR(B60))</f>
        <v>2026</v>
      </c>
      <c r="O60" s="7" t="str">
        <f>IF(B60="","","Q"&amp;ROUNDUP(MONTH(B60)/3,0))</f>
        <v>Q1</v>
      </c>
      <c r="P60" s="7" t="str">
        <f>IF(B60="","",TEXT(B60,"mmmm"))</f>
        <v>January</v>
      </c>
      <c r="Q60" s="7" t="str">
        <f>IF(B60="","",TEXT(B60,"yyyy-mm"))</f>
        <v>2026-01</v>
      </c>
      <c r="R60" s="8">
        <f>IFERROR(G60/F60,"")</f>
        <v>300</v>
      </c>
      <c r="S60" s="9">
        <f>IFERROR(I60/G60,"")</f>
        <v>0.16666666666666666</v>
      </c>
      <c r="T60" s="7" t="s">
        <v>459</v>
      </c>
      <c r="U60" s="7"/>
    </row>
    <row r="61" spans="1:21">
      <c r="A61" s="2" t="s">
        <v>167</v>
      </c>
      <c r="B61" s="3">
        <v>46042</v>
      </c>
      <c r="C61" s="2" t="s">
        <v>15</v>
      </c>
      <c r="D61" s="2" t="s">
        <v>53</v>
      </c>
      <c r="E61" s="2" t="s">
        <v>43</v>
      </c>
      <c r="F61" s="4">
        <v>1</v>
      </c>
      <c r="G61" s="5">
        <v>300</v>
      </c>
      <c r="H61" s="5">
        <v>250</v>
      </c>
      <c r="I61" s="5">
        <v>50</v>
      </c>
      <c r="J61" s="2" t="s">
        <v>22</v>
      </c>
      <c r="K61" s="2" t="s">
        <v>458</v>
      </c>
      <c r="L61" s="6">
        <v>16.7</v>
      </c>
      <c r="M61" s="2" t="s">
        <v>25</v>
      </c>
      <c r="N61" s="7">
        <f>IF(B61="","",YEAR(B61))</f>
        <v>2026</v>
      </c>
      <c r="O61" s="7" t="str">
        <f>IF(B61="","","Q"&amp;ROUNDUP(MONTH(B61)/3,0))</f>
        <v>Q1</v>
      </c>
      <c r="P61" s="7" t="str">
        <f>IF(B61="","",TEXT(B61,"mmmm"))</f>
        <v>January</v>
      </c>
      <c r="Q61" s="7" t="str">
        <f>IF(B61="","",TEXT(B61,"yyyy-mm"))</f>
        <v>2026-01</v>
      </c>
      <c r="R61" s="8">
        <f>IFERROR(G61/F61,"")</f>
        <v>300</v>
      </c>
      <c r="S61" s="9">
        <f>IFERROR(I61/G61,"")</f>
        <v>0.16666666666666666</v>
      </c>
      <c r="T61" s="7" t="s">
        <v>459</v>
      </c>
      <c r="U61" s="7"/>
    </row>
    <row r="62" spans="1:21">
      <c r="A62" s="2" t="s">
        <v>168</v>
      </c>
      <c r="B62" s="3">
        <v>46043</v>
      </c>
      <c r="C62" s="2" t="s">
        <v>15</v>
      </c>
      <c r="D62" s="2" t="s">
        <v>16</v>
      </c>
      <c r="E62" s="2" t="s">
        <v>36</v>
      </c>
      <c r="F62" s="4">
        <v>1</v>
      </c>
      <c r="G62" s="5">
        <v>220</v>
      </c>
      <c r="H62" s="5">
        <v>180</v>
      </c>
      <c r="I62" s="5">
        <v>40</v>
      </c>
      <c r="J62" s="2" t="s">
        <v>62</v>
      </c>
      <c r="K62" s="2" t="s">
        <v>31</v>
      </c>
      <c r="L62" s="6">
        <v>18.2</v>
      </c>
      <c r="M62" s="2" t="s">
        <v>25</v>
      </c>
      <c r="N62" s="7">
        <f>IF(B62="","",YEAR(B62))</f>
        <v>2026</v>
      </c>
      <c r="O62" s="7" t="str">
        <f>IF(B62="","","Q"&amp;ROUNDUP(MONTH(B62)/3,0))</f>
        <v>Q1</v>
      </c>
      <c r="P62" s="7" t="str">
        <f>IF(B62="","",TEXT(B62,"mmmm"))</f>
        <v>January</v>
      </c>
      <c r="Q62" s="7" t="str">
        <f>IF(B62="","",TEXT(B62,"yyyy-mm"))</f>
        <v>2026-01</v>
      </c>
      <c r="R62" s="8">
        <f>IFERROR(G62/F62,"")</f>
        <v>220</v>
      </c>
      <c r="S62" s="9">
        <f>IFERROR(I62/G62,"")</f>
        <v>0.18181818181818182</v>
      </c>
      <c r="T62" s="7" t="s">
        <v>459</v>
      </c>
      <c r="U62" s="7"/>
    </row>
    <row r="63" spans="1:21">
      <c r="A63" s="2" t="s">
        <v>170</v>
      </c>
      <c r="B63" s="3">
        <v>46043</v>
      </c>
      <c r="C63" s="2" t="s">
        <v>15</v>
      </c>
      <c r="D63" s="2" t="s">
        <v>16</v>
      </c>
      <c r="E63" s="2" t="s">
        <v>36</v>
      </c>
      <c r="F63" s="4">
        <v>1</v>
      </c>
      <c r="G63" s="5">
        <v>220</v>
      </c>
      <c r="H63" s="5">
        <v>180</v>
      </c>
      <c r="I63" s="5">
        <v>40</v>
      </c>
      <c r="J63" s="2" t="s">
        <v>62</v>
      </c>
      <c r="K63" s="2" t="s">
        <v>31</v>
      </c>
      <c r="L63" s="6">
        <v>18.2</v>
      </c>
      <c r="M63" s="2" t="s">
        <v>25</v>
      </c>
      <c r="N63" s="7">
        <f>IF(B63="","",YEAR(B63))</f>
        <v>2026</v>
      </c>
      <c r="O63" s="7" t="str">
        <f>IF(B63="","","Q"&amp;ROUNDUP(MONTH(B63)/3,0))</f>
        <v>Q1</v>
      </c>
      <c r="P63" s="7" t="str">
        <f>IF(B63="","",TEXT(B63,"mmmm"))</f>
        <v>January</v>
      </c>
      <c r="Q63" s="7" t="str">
        <f>IF(B63="","",TEXT(B63,"yyyy-mm"))</f>
        <v>2026-01</v>
      </c>
      <c r="R63" s="8">
        <f>IFERROR(G63/F63,"")</f>
        <v>220</v>
      </c>
      <c r="S63" s="9">
        <f>IFERROR(I63/G63,"")</f>
        <v>0.18181818181818182</v>
      </c>
      <c r="T63" s="7" t="s">
        <v>459</v>
      </c>
      <c r="U63" s="7"/>
    </row>
    <row r="64" spans="1:21">
      <c r="A64" s="2" t="s">
        <v>171</v>
      </c>
      <c r="B64" s="3">
        <v>46043</v>
      </c>
      <c r="C64" s="2" t="s">
        <v>27</v>
      </c>
      <c r="D64" s="2" t="s">
        <v>16</v>
      </c>
      <c r="E64" s="2" t="s">
        <v>86</v>
      </c>
      <c r="F64" s="4">
        <v>1</v>
      </c>
      <c r="G64" s="5">
        <v>140</v>
      </c>
      <c r="H64" s="5">
        <v>80</v>
      </c>
      <c r="I64" s="5">
        <v>60</v>
      </c>
      <c r="J64" s="2" t="s">
        <v>22</v>
      </c>
      <c r="K64" s="2" t="s">
        <v>458</v>
      </c>
      <c r="L64" s="6">
        <v>42.9</v>
      </c>
      <c r="M64" s="2" t="s">
        <v>25</v>
      </c>
      <c r="N64" s="7">
        <f>IF(B64="","",YEAR(B64))</f>
        <v>2026</v>
      </c>
      <c r="O64" s="7" t="str">
        <f>IF(B64="","","Q"&amp;ROUNDUP(MONTH(B64)/3,0))</f>
        <v>Q1</v>
      </c>
      <c r="P64" s="7" t="str">
        <f>IF(B64="","",TEXT(B64,"mmmm"))</f>
        <v>January</v>
      </c>
      <c r="Q64" s="7" t="str">
        <f>IF(B64="","",TEXT(B64,"yyyy-mm"))</f>
        <v>2026-01</v>
      </c>
      <c r="R64" s="8">
        <f>IFERROR(G64/F64,"")</f>
        <v>140</v>
      </c>
      <c r="S64" s="9">
        <f>IFERROR(I64/G64,"")</f>
        <v>0.42857142857142855</v>
      </c>
      <c r="T64" s="7" t="s">
        <v>459</v>
      </c>
      <c r="U64" s="7"/>
    </row>
    <row r="65" spans="1:21">
      <c r="A65" s="2" t="s">
        <v>172</v>
      </c>
      <c r="B65" s="3">
        <v>46043</v>
      </c>
      <c r="C65" s="2" t="s">
        <v>34</v>
      </c>
      <c r="D65" s="2" t="s">
        <v>16</v>
      </c>
      <c r="E65" s="2" t="s">
        <v>43</v>
      </c>
      <c r="F65" s="4">
        <v>2</v>
      </c>
      <c r="G65" s="5">
        <v>540</v>
      </c>
      <c r="H65" s="5">
        <v>500</v>
      </c>
      <c r="I65" s="5">
        <v>40</v>
      </c>
      <c r="J65" s="2" t="s">
        <v>22</v>
      </c>
      <c r="K65" s="2" t="s">
        <v>458</v>
      </c>
      <c r="L65" s="6">
        <v>7.4</v>
      </c>
      <c r="M65" s="2" t="s">
        <v>25</v>
      </c>
      <c r="N65" s="7">
        <f>IF(B65="","",YEAR(B65))</f>
        <v>2026</v>
      </c>
      <c r="O65" s="7" t="str">
        <f>IF(B65="","","Q"&amp;ROUNDUP(MONTH(B65)/3,0))</f>
        <v>Q1</v>
      </c>
      <c r="P65" s="7" t="str">
        <f>IF(B65="","",TEXT(B65,"mmmm"))</f>
        <v>January</v>
      </c>
      <c r="Q65" s="7" t="str">
        <f>IF(B65="","",TEXT(B65,"yyyy-mm"))</f>
        <v>2026-01</v>
      </c>
      <c r="R65" s="8">
        <f>IFERROR(G65/F65,"")</f>
        <v>270</v>
      </c>
      <c r="S65" s="9">
        <f>IFERROR(I65/G65,"")</f>
        <v>7.407407407407407E-2</v>
      </c>
      <c r="T65" s="7" t="s">
        <v>459</v>
      </c>
      <c r="U65" s="7"/>
    </row>
    <row r="66" spans="1:21">
      <c r="A66" s="2" t="s">
        <v>173</v>
      </c>
      <c r="B66" s="3">
        <v>46044</v>
      </c>
      <c r="C66" s="2" t="s">
        <v>15</v>
      </c>
      <c r="D66" s="2" t="s">
        <v>42</v>
      </c>
      <c r="E66" s="2" t="s">
        <v>56</v>
      </c>
      <c r="F66" s="4">
        <v>2</v>
      </c>
      <c r="G66" s="5">
        <v>396</v>
      </c>
      <c r="H66" s="5">
        <v>230</v>
      </c>
      <c r="I66" s="5">
        <v>166</v>
      </c>
      <c r="J66" s="2" t="s">
        <v>62</v>
      </c>
      <c r="K66" s="2" t="s">
        <v>458</v>
      </c>
      <c r="L66" s="6">
        <v>41.9</v>
      </c>
      <c r="M66" s="2" t="s">
        <v>25</v>
      </c>
      <c r="N66" s="7">
        <f>IF(B66="","",YEAR(B66))</f>
        <v>2026</v>
      </c>
      <c r="O66" s="7" t="str">
        <f>IF(B66="","","Q"&amp;ROUNDUP(MONTH(B66)/3,0))</f>
        <v>Q1</v>
      </c>
      <c r="P66" s="7" t="str">
        <f>IF(B66="","",TEXT(B66,"mmmm"))</f>
        <v>January</v>
      </c>
      <c r="Q66" s="7" t="str">
        <f>IF(B66="","",TEXT(B66,"yyyy-mm"))</f>
        <v>2026-01</v>
      </c>
      <c r="R66" s="8">
        <f>IFERROR(G66/F66,"")</f>
        <v>198</v>
      </c>
      <c r="S66" s="9">
        <f>IFERROR(I66/G66,"")</f>
        <v>0.41919191919191917</v>
      </c>
      <c r="T66" s="7" t="s">
        <v>459</v>
      </c>
      <c r="U66" s="7"/>
    </row>
    <row r="67" spans="1:21">
      <c r="A67" s="2" t="s">
        <v>177</v>
      </c>
      <c r="B67" s="3">
        <v>46044</v>
      </c>
      <c r="C67" s="2" t="s">
        <v>34</v>
      </c>
      <c r="D67" s="2" t="s">
        <v>53</v>
      </c>
      <c r="E67" s="2" t="s">
        <v>56</v>
      </c>
      <c r="F67" s="4">
        <v>1</v>
      </c>
      <c r="G67" s="5">
        <v>180</v>
      </c>
      <c r="H67" s="5">
        <v>115</v>
      </c>
      <c r="I67" s="5">
        <v>65</v>
      </c>
      <c r="J67" s="2" t="s">
        <v>460</v>
      </c>
      <c r="K67" s="2" t="s">
        <v>31</v>
      </c>
      <c r="L67" s="6">
        <v>36.1</v>
      </c>
      <c r="M67" s="2" t="s">
        <v>25</v>
      </c>
      <c r="N67" s="7">
        <f>IF(B67="","",YEAR(B67))</f>
        <v>2026</v>
      </c>
      <c r="O67" s="7" t="str">
        <f>IF(B67="","","Q"&amp;ROUNDUP(MONTH(B67)/3,0))</f>
        <v>Q1</v>
      </c>
      <c r="P67" s="7" t="str">
        <f>IF(B67="","",TEXT(B67,"mmmm"))</f>
        <v>January</v>
      </c>
      <c r="Q67" s="7" t="str">
        <f>IF(B67="","",TEXT(B67,"yyyy-mm"))</f>
        <v>2026-01</v>
      </c>
      <c r="R67" s="8">
        <f>IFERROR(G67/F67,"")</f>
        <v>180</v>
      </c>
      <c r="S67" s="9">
        <f>IFERROR(I67/G67,"")</f>
        <v>0.3611111111111111</v>
      </c>
      <c r="T67" s="7" t="s">
        <v>459</v>
      </c>
      <c r="U67" s="7"/>
    </row>
    <row r="68" spans="1:21">
      <c r="A68" s="2" t="s">
        <v>178</v>
      </c>
      <c r="B68" s="3">
        <v>46044</v>
      </c>
      <c r="C68" s="2" t="s">
        <v>34</v>
      </c>
      <c r="D68" s="2" t="s">
        <v>42</v>
      </c>
      <c r="E68" s="2" t="s">
        <v>43</v>
      </c>
      <c r="F68" s="4">
        <v>1</v>
      </c>
      <c r="G68" s="5">
        <v>300</v>
      </c>
      <c r="H68" s="5">
        <v>250</v>
      </c>
      <c r="I68" s="5">
        <v>50</v>
      </c>
      <c r="J68" s="2" t="s">
        <v>460</v>
      </c>
      <c r="K68" s="2" t="s">
        <v>31</v>
      </c>
      <c r="L68" s="6">
        <v>16.7</v>
      </c>
      <c r="M68" s="2" t="s">
        <v>25</v>
      </c>
      <c r="N68" s="7">
        <f>IF(B68="","",YEAR(B68))</f>
        <v>2026</v>
      </c>
      <c r="O68" s="7" t="str">
        <f>IF(B68="","","Q"&amp;ROUNDUP(MONTH(B68)/3,0))</f>
        <v>Q1</v>
      </c>
      <c r="P68" s="7" t="str">
        <f>IF(B68="","",TEXT(B68,"mmmm"))</f>
        <v>January</v>
      </c>
      <c r="Q68" s="7" t="str">
        <f>IF(B68="","",TEXT(B68,"yyyy-mm"))</f>
        <v>2026-01</v>
      </c>
      <c r="R68" s="8">
        <f>IFERROR(G68/F68,"")</f>
        <v>300</v>
      </c>
      <c r="S68" s="9">
        <f>IFERROR(I68/G68,"")</f>
        <v>0.16666666666666666</v>
      </c>
      <c r="T68" s="7" t="s">
        <v>459</v>
      </c>
      <c r="U68" s="7"/>
    </row>
    <row r="69" spans="1:21">
      <c r="A69" s="2" t="s">
        <v>179</v>
      </c>
      <c r="B69" s="3">
        <v>46044</v>
      </c>
      <c r="C69" s="2" t="s">
        <v>27</v>
      </c>
      <c r="D69" s="2" t="s">
        <v>42</v>
      </c>
      <c r="E69" s="2" t="s">
        <v>43</v>
      </c>
      <c r="F69" s="4">
        <v>1</v>
      </c>
      <c r="G69" s="5">
        <v>300</v>
      </c>
      <c r="H69" s="5">
        <v>250</v>
      </c>
      <c r="I69" s="5">
        <v>50</v>
      </c>
      <c r="J69" s="2" t="s">
        <v>460</v>
      </c>
      <c r="K69" s="2" t="s">
        <v>31</v>
      </c>
      <c r="L69" s="6">
        <v>16.7</v>
      </c>
      <c r="M69" s="2" t="s">
        <v>25</v>
      </c>
      <c r="N69" s="7">
        <f>IF(B69="","",YEAR(B69))</f>
        <v>2026</v>
      </c>
      <c r="O69" s="7" t="str">
        <f>IF(B69="","","Q"&amp;ROUNDUP(MONTH(B69)/3,0))</f>
        <v>Q1</v>
      </c>
      <c r="P69" s="7" t="str">
        <f>IF(B69="","",TEXT(B69,"mmmm"))</f>
        <v>January</v>
      </c>
      <c r="Q69" s="7" t="str">
        <f>IF(B69="","",TEXT(B69,"yyyy-mm"))</f>
        <v>2026-01</v>
      </c>
      <c r="R69" s="8">
        <f>IFERROR(G69/F69,"")</f>
        <v>300</v>
      </c>
      <c r="S69" s="9">
        <f>IFERROR(I69/G69,"")</f>
        <v>0.16666666666666666</v>
      </c>
      <c r="T69" s="7" t="s">
        <v>459</v>
      </c>
      <c r="U69" s="7"/>
    </row>
    <row r="70" spans="1:21">
      <c r="A70" s="2" t="s">
        <v>180</v>
      </c>
      <c r="B70" s="3">
        <v>46045</v>
      </c>
      <c r="C70" s="2" t="s">
        <v>34</v>
      </c>
      <c r="D70" s="2" t="s">
        <v>42</v>
      </c>
      <c r="E70" s="2" t="s">
        <v>43</v>
      </c>
      <c r="F70" s="4">
        <v>1</v>
      </c>
      <c r="G70" s="5">
        <v>300</v>
      </c>
      <c r="H70" s="5">
        <v>250</v>
      </c>
      <c r="I70" s="5">
        <v>50</v>
      </c>
      <c r="J70" s="2" t="s">
        <v>460</v>
      </c>
      <c r="K70" s="2" t="s">
        <v>458</v>
      </c>
      <c r="L70" s="6">
        <v>16.7</v>
      </c>
      <c r="M70" s="2" t="s">
        <v>25</v>
      </c>
      <c r="N70" s="7">
        <f>IF(B70="","",YEAR(B70))</f>
        <v>2026</v>
      </c>
      <c r="O70" s="7" t="str">
        <f>IF(B70="","","Q"&amp;ROUNDUP(MONTH(B70)/3,0))</f>
        <v>Q1</v>
      </c>
      <c r="P70" s="7" t="str">
        <f>IF(B70="","",TEXT(B70,"mmmm"))</f>
        <v>January</v>
      </c>
      <c r="Q70" s="7" t="str">
        <f>IF(B70="","",TEXT(B70,"yyyy-mm"))</f>
        <v>2026-01</v>
      </c>
      <c r="R70" s="8">
        <f>IFERROR(G70/F70,"")</f>
        <v>300</v>
      </c>
      <c r="S70" s="9">
        <f>IFERROR(I70/G70,"")</f>
        <v>0.16666666666666666</v>
      </c>
      <c r="T70" s="7" t="s">
        <v>459</v>
      </c>
      <c r="U70" s="7"/>
    </row>
    <row r="71" spans="1:21">
      <c r="A71" s="2" t="s">
        <v>182</v>
      </c>
      <c r="B71" s="3">
        <v>46045</v>
      </c>
      <c r="C71" s="2" t="s">
        <v>34</v>
      </c>
      <c r="D71" s="2" t="s">
        <v>42</v>
      </c>
      <c r="E71" s="2" t="s">
        <v>43</v>
      </c>
      <c r="F71" s="4">
        <v>1</v>
      </c>
      <c r="G71" s="5">
        <v>300</v>
      </c>
      <c r="H71" s="5">
        <v>250</v>
      </c>
      <c r="I71" s="5">
        <v>50</v>
      </c>
      <c r="J71" s="2" t="s">
        <v>62</v>
      </c>
      <c r="K71" s="2" t="s">
        <v>458</v>
      </c>
      <c r="L71" s="6">
        <v>16.7</v>
      </c>
      <c r="M71" s="2" t="s">
        <v>25</v>
      </c>
      <c r="N71" s="7">
        <f>IF(B71="","",YEAR(B71))</f>
        <v>2026</v>
      </c>
      <c r="O71" s="7" t="str">
        <f>IF(B71="","","Q"&amp;ROUNDUP(MONTH(B71)/3,0))</f>
        <v>Q1</v>
      </c>
      <c r="P71" s="7" t="str">
        <f>IF(B71="","",TEXT(B71,"mmmm"))</f>
        <v>January</v>
      </c>
      <c r="Q71" s="7" t="str">
        <f>IF(B71="","",TEXT(B71,"yyyy-mm"))</f>
        <v>2026-01</v>
      </c>
      <c r="R71" s="8">
        <f>IFERROR(G71/F71,"")</f>
        <v>300</v>
      </c>
      <c r="S71" s="9">
        <f>IFERROR(I71/G71,"")</f>
        <v>0.16666666666666666</v>
      </c>
      <c r="T71" s="7" t="s">
        <v>459</v>
      </c>
      <c r="U71" s="7"/>
    </row>
    <row r="72" spans="1:21">
      <c r="A72" s="2" t="s">
        <v>183</v>
      </c>
      <c r="B72" s="3">
        <v>46045</v>
      </c>
      <c r="C72" s="2" t="s">
        <v>27</v>
      </c>
      <c r="D72" s="2" t="s">
        <v>16</v>
      </c>
      <c r="E72" s="2" t="s">
        <v>43</v>
      </c>
      <c r="F72" s="4">
        <v>1</v>
      </c>
      <c r="G72" s="5">
        <v>300</v>
      </c>
      <c r="H72" s="5">
        <v>250</v>
      </c>
      <c r="I72" s="5">
        <v>50</v>
      </c>
      <c r="J72" s="2" t="s">
        <v>62</v>
      </c>
      <c r="K72" s="2" t="s">
        <v>31</v>
      </c>
      <c r="L72" s="6">
        <v>16.7</v>
      </c>
      <c r="M72" s="2" t="s">
        <v>25</v>
      </c>
      <c r="N72" s="7">
        <f>IF(B72="","",YEAR(B72))</f>
        <v>2026</v>
      </c>
      <c r="O72" s="7" t="str">
        <f>IF(B72="","","Q"&amp;ROUNDUP(MONTH(B72)/3,0))</f>
        <v>Q1</v>
      </c>
      <c r="P72" s="7" t="str">
        <f>IF(B72="","",TEXT(B72,"mmmm"))</f>
        <v>January</v>
      </c>
      <c r="Q72" s="7" t="str">
        <f>IF(B72="","",TEXT(B72,"yyyy-mm"))</f>
        <v>2026-01</v>
      </c>
      <c r="R72" s="8">
        <f>IFERROR(G72/F72,"")</f>
        <v>300</v>
      </c>
      <c r="S72" s="9">
        <f>IFERROR(I72/G72,"")</f>
        <v>0.16666666666666666</v>
      </c>
      <c r="T72" s="7" t="s">
        <v>459</v>
      </c>
      <c r="U72" s="7"/>
    </row>
    <row r="73" spans="1:21">
      <c r="A73" s="2" t="s">
        <v>184</v>
      </c>
      <c r="B73" s="3">
        <v>46046</v>
      </c>
      <c r="C73" s="2" t="s">
        <v>15</v>
      </c>
      <c r="D73" s="2" t="s">
        <v>53</v>
      </c>
      <c r="E73" s="2" t="s">
        <v>43</v>
      </c>
      <c r="F73" s="4">
        <v>2</v>
      </c>
      <c r="G73" s="5">
        <v>540</v>
      </c>
      <c r="H73" s="5">
        <v>500</v>
      </c>
      <c r="I73" s="5">
        <v>40</v>
      </c>
      <c r="J73" s="2" t="s">
        <v>460</v>
      </c>
      <c r="K73" s="2" t="s">
        <v>31</v>
      </c>
      <c r="L73" s="6">
        <v>7.4</v>
      </c>
      <c r="M73" s="2" t="s">
        <v>25</v>
      </c>
      <c r="N73" s="7">
        <f>IF(B73="","",YEAR(B73))</f>
        <v>2026</v>
      </c>
      <c r="O73" s="7" t="str">
        <f>IF(B73="","","Q"&amp;ROUNDUP(MONTH(B73)/3,0))</f>
        <v>Q1</v>
      </c>
      <c r="P73" s="7" t="str">
        <f>IF(B73="","",TEXT(B73,"mmmm"))</f>
        <v>January</v>
      </c>
      <c r="Q73" s="7" t="str">
        <f>IF(B73="","",TEXT(B73,"yyyy-mm"))</f>
        <v>2026-01</v>
      </c>
      <c r="R73" s="8">
        <f>IFERROR(G73/F73,"")</f>
        <v>270</v>
      </c>
      <c r="S73" s="9">
        <f>IFERROR(I73/G73,"")</f>
        <v>7.407407407407407E-2</v>
      </c>
      <c r="T73" s="7" t="s">
        <v>459</v>
      </c>
      <c r="U73" s="7"/>
    </row>
    <row r="74" spans="1:21">
      <c r="A74" s="2" t="s">
        <v>186</v>
      </c>
      <c r="B74" s="3">
        <v>46047</v>
      </c>
      <c r="C74" s="2" t="s">
        <v>34</v>
      </c>
      <c r="D74" s="2" t="s">
        <v>16</v>
      </c>
      <c r="E74" s="2" t="s">
        <v>43</v>
      </c>
      <c r="F74" s="4">
        <v>1</v>
      </c>
      <c r="G74" s="5">
        <v>270</v>
      </c>
      <c r="H74" s="5">
        <v>250</v>
      </c>
      <c r="I74" s="5">
        <v>20</v>
      </c>
      <c r="J74" s="2" t="s">
        <v>22</v>
      </c>
      <c r="K74" s="2" t="s">
        <v>31</v>
      </c>
      <c r="L74" s="6">
        <v>7.4</v>
      </c>
      <c r="M74" s="2" t="s">
        <v>25</v>
      </c>
      <c r="N74" s="7">
        <f>IF(B74="","",YEAR(B74))</f>
        <v>2026</v>
      </c>
      <c r="O74" s="7" t="str">
        <f>IF(B74="","","Q"&amp;ROUNDUP(MONTH(B74)/3,0))</f>
        <v>Q1</v>
      </c>
      <c r="P74" s="7" t="str">
        <f>IF(B74="","",TEXT(B74,"mmmm"))</f>
        <v>January</v>
      </c>
      <c r="Q74" s="7" t="str">
        <f>IF(B74="","",TEXT(B74,"yyyy-mm"))</f>
        <v>2026-01</v>
      </c>
      <c r="R74" s="8">
        <f>IFERROR(G74/F74,"")</f>
        <v>270</v>
      </c>
      <c r="S74" s="9">
        <f>IFERROR(I74/G74,"")</f>
        <v>7.407407407407407E-2</v>
      </c>
      <c r="T74" s="7" t="s">
        <v>459</v>
      </c>
      <c r="U74" s="7"/>
    </row>
    <row r="75" spans="1:21">
      <c r="A75" s="2" t="s">
        <v>188</v>
      </c>
      <c r="B75" s="3">
        <v>46047</v>
      </c>
      <c r="C75" s="2" t="s">
        <v>34</v>
      </c>
      <c r="D75" s="2" t="s">
        <v>16</v>
      </c>
      <c r="E75" s="2" t="s">
        <v>43</v>
      </c>
      <c r="F75" s="4">
        <v>1</v>
      </c>
      <c r="G75" s="5">
        <v>270</v>
      </c>
      <c r="H75" s="5">
        <v>250</v>
      </c>
      <c r="I75" s="5">
        <v>20</v>
      </c>
      <c r="J75" s="2" t="s">
        <v>460</v>
      </c>
      <c r="K75" s="2" t="s">
        <v>31</v>
      </c>
      <c r="L75" s="6">
        <v>7.4</v>
      </c>
      <c r="M75" s="2" t="s">
        <v>25</v>
      </c>
      <c r="N75" s="7">
        <f>IF(B75="","",YEAR(B75))</f>
        <v>2026</v>
      </c>
      <c r="O75" s="7" t="str">
        <f>IF(B75="","","Q"&amp;ROUNDUP(MONTH(B75)/3,0))</f>
        <v>Q1</v>
      </c>
      <c r="P75" s="7" t="str">
        <f>IF(B75="","",TEXT(B75,"mmmm"))</f>
        <v>January</v>
      </c>
      <c r="Q75" s="7" t="str">
        <f>IF(B75="","",TEXT(B75,"yyyy-mm"))</f>
        <v>2026-01</v>
      </c>
      <c r="R75" s="8">
        <f>IFERROR(G75/F75,"")</f>
        <v>270</v>
      </c>
      <c r="S75" s="9">
        <f>IFERROR(I75/G75,"")</f>
        <v>7.407407407407407E-2</v>
      </c>
      <c r="T75" s="7" t="s">
        <v>459</v>
      </c>
      <c r="U75" s="7"/>
    </row>
    <row r="76" spans="1:21">
      <c r="A76" s="2" t="s">
        <v>189</v>
      </c>
      <c r="B76" s="3">
        <v>46047</v>
      </c>
      <c r="C76" s="2" t="s">
        <v>49</v>
      </c>
      <c r="D76" s="2" t="s">
        <v>42</v>
      </c>
      <c r="E76" s="2" t="s">
        <v>17</v>
      </c>
      <c r="F76" s="4">
        <v>1</v>
      </c>
      <c r="G76" s="5">
        <v>99</v>
      </c>
      <c r="H76" s="5">
        <v>40</v>
      </c>
      <c r="I76" s="5">
        <v>59</v>
      </c>
      <c r="J76" s="2" t="s">
        <v>22</v>
      </c>
      <c r="K76" s="2" t="s">
        <v>458</v>
      </c>
      <c r="L76" s="6">
        <v>59.6</v>
      </c>
      <c r="M76" s="2" t="s">
        <v>25</v>
      </c>
      <c r="N76" s="7">
        <f>IF(B76="","",YEAR(B76))</f>
        <v>2026</v>
      </c>
      <c r="O76" s="7" t="str">
        <f>IF(B76="","","Q"&amp;ROUNDUP(MONTH(B76)/3,0))</f>
        <v>Q1</v>
      </c>
      <c r="P76" s="7" t="str">
        <f>IF(B76="","",TEXT(B76,"mmmm"))</f>
        <v>January</v>
      </c>
      <c r="Q76" s="7" t="str">
        <f>IF(B76="","",TEXT(B76,"yyyy-mm"))</f>
        <v>2026-01</v>
      </c>
      <c r="R76" s="8">
        <f>IFERROR(G76/F76,"")</f>
        <v>99</v>
      </c>
      <c r="S76" s="9">
        <f>IFERROR(I76/G76,"")</f>
        <v>0.59595959595959591</v>
      </c>
      <c r="T76" s="7" t="s">
        <v>459</v>
      </c>
      <c r="U76" s="7"/>
    </row>
    <row r="77" spans="1:21">
      <c r="A77" s="2" t="s">
        <v>192</v>
      </c>
      <c r="B77" s="3">
        <v>46047</v>
      </c>
      <c r="C77" s="2" t="s">
        <v>15</v>
      </c>
      <c r="D77" s="2" t="s">
        <v>16</v>
      </c>
      <c r="E77" s="2" t="s">
        <v>56</v>
      </c>
      <c r="F77" s="4">
        <v>1</v>
      </c>
      <c r="G77" s="5">
        <v>162</v>
      </c>
      <c r="H77" s="5">
        <v>115</v>
      </c>
      <c r="I77" s="5">
        <v>47</v>
      </c>
      <c r="J77" s="2" t="s">
        <v>460</v>
      </c>
      <c r="K77" s="2" t="s">
        <v>31</v>
      </c>
      <c r="L77" s="6">
        <v>29</v>
      </c>
      <c r="M77" s="2" t="s">
        <v>25</v>
      </c>
      <c r="N77" s="7">
        <f>IF(B77="","",YEAR(B77))</f>
        <v>2026</v>
      </c>
      <c r="O77" s="7" t="str">
        <f>IF(B77="","","Q"&amp;ROUNDUP(MONTH(B77)/3,0))</f>
        <v>Q1</v>
      </c>
      <c r="P77" s="7" t="str">
        <f>IF(B77="","",TEXT(B77,"mmmm"))</f>
        <v>January</v>
      </c>
      <c r="Q77" s="7" t="str">
        <f>IF(B77="","",TEXT(B77,"yyyy-mm"))</f>
        <v>2026-01</v>
      </c>
      <c r="R77" s="8">
        <f>IFERROR(G77/F77,"")</f>
        <v>162</v>
      </c>
      <c r="S77" s="9">
        <f>IFERROR(I77/G77,"")</f>
        <v>0.29012345679012347</v>
      </c>
      <c r="T77" s="7" t="s">
        <v>459</v>
      </c>
      <c r="U77" s="7"/>
    </row>
    <row r="78" spans="1:21">
      <c r="A78" s="2" t="s">
        <v>193</v>
      </c>
      <c r="B78" s="3">
        <v>46048</v>
      </c>
      <c r="C78" s="2" t="s">
        <v>27</v>
      </c>
      <c r="D78" s="2" t="s">
        <v>42</v>
      </c>
      <c r="E78" s="2" t="s">
        <v>17</v>
      </c>
      <c r="F78" s="4">
        <v>1</v>
      </c>
      <c r="G78" s="5">
        <v>90</v>
      </c>
      <c r="H78" s="5">
        <v>40</v>
      </c>
      <c r="I78" s="5">
        <v>50</v>
      </c>
      <c r="J78" s="2" t="s">
        <v>22</v>
      </c>
      <c r="K78" s="2" t="s">
        <v>31</v>
      </c>
      <c r="L78" s="6">
        <v>55.6</v>
      </c>
      <c r="M78" s="2" t="s">
        <v>25</v>
      </c>
      <c r="N78" s="7">
        <f>IF(B78="","",YEAR(B78))</f>
        <v>2026</v>
      </c>
      <c r="O78" s="7" t="str">
        <f>IF(B78="","","Q"&amp;ROUNDUP(MONTH(B78)/3,0))</f>
        <v>Q1</v>
      </c>
      <c r="P78" s="7" t="str">
        <f>IF(B78="","",TEXT(B78,"mmmm"))</f>
        <v>January</v>
      </c>
      <c r="Q78" s="7" t="str">
        <f>IF(B78="","",TEXT(B78,"yyyy-mm"))</f>
        <v>2026-01</v>
      </c>
      <c r="R78" s="8">
        <f>IFERROR(G78/F78,"")</f>
        <v>90</v>
      </c>
      <c r="S78" s="9">
        <f>IFERROR(I78/G78,"")</f>
        <v>0.55555555555555558</v>
      </c>
      <c r="T78" s="7" t="s">
        <v>459</v>
      </c>
      <c r="U78" s="7"/>
    </row>
    <row r="79" spans="1:21">
      <c r="A79" s="2" t="s">
        <v>195</v>
      </c>
      <c r="B79" s="3">
        <v>46048</v>
      </c>
      <c r="C79" s="2" t="s">
        <v>15</v>
      </c>
      <c r="D79" s="2" t="s">
        <v>16</v>
      </c>
      <c r="E79" s="2" t="s">
        <v>17</v>
      </c>
      <c r="F79" s="4">
        <v>1</v>
      </c>
      <c r="G79" s="5">
        <v>90</v>
      </c>
      <c r="H79" s="5">
        <v>40</v>
      </c>
      <c r="I79" s="5">
        <v>50</v>
      </c>
      <c r="J79" s="2" t="s">
        <v>62</v>
      </c>
      <c r="K79" s="2" t="s">
        <v>31</v>
      </c>
      <c r="L79" s="6">
        <v>55.6</v>
      </c>
      <c r="M79" s="2" t="s">
        <v>25</v>
      </c>
      <c r="N79" s="7">
        <f>IF(B79="","",YEAR(B79))</f>
        <v>2026</v>
      </c>
      <c r="O79" s="7" t="str">
        <f>IF(B79="","","Q"&amp;ROUNDUP(MONTH(B79)/3,0))</f>
        <v>Q1</v>
      </c>
      <c r="P79" s="7" t="str">
        <f>IF(B79="","",TEXT(B79,"mmmm"))</f>
        <v>January</v>
      </c>
      <c r="Q79" s="7" t="str">
        <f>IF(B79="","",TEXT(B79,"yyyy-mm"))</f>
        <v>2026-01</v>
      </c>
      <c r="R79" s="8">
        <f>IFERROR(G79/F79,"")</f>
        <v>90</v>
      </c>
      <c r="S79" s="9">
        <f>IFERROR(I79/G79,"")</f>
        <v>0.55555555555555558</v>
      </c>
      <c r="T79" s="7" t="s">
        <v>459</v>
      </c>
      <c r="U79" s="7"/>
    </row>
    <row r="80" spans="1:21">
      <c r="A80" s="2" t="s">
        <v>196</v>
      </c>
      <c r="B80" s="3">
        <v>46048</v>
      </c>
      <c r="C80" s="2" t="s">
        <v>34</v>
      </c>
      <c r="D80" s="2" t="s">
        <v>42</v>
      </c>
      <c r="E80" s="2" t="s">
        <v>43</v>
      </c>
      <c r="F80" s="4">
        <v>3</v>
      </c>
      <c r="G80" s="5">
        <v>900</v>
      </c>
      <c r="H80" s="5">
        <v>750</v>
      </c>
      <c r="I80" s="5">
        <v>150</v>
      </c>
      <c r="J80" s="2" t="s">
        <v>62</v>
      </c>
      <c r="K80" s="2" t="s">
        <v>458</v>
      </c>
      <c r="L80" s="6">
        <v>16.7</v>
      </c>
      <c r="M80" s="2" t="s">
        <v>25</v>
      </c>
      <c r="N80" s="7">
        <f>IF(B80="","",YEAR(B80))</f>
        <v>2026</v>
      </c>
      <c r="O80" s="7" t="str">
        <f>IF(B80="","","Q"&amp;ROUNDUP(MONTH(B80)/3,0))</f>
        <v>Q1</v>
      </c>
      <c r="P80" s="7" t="str">
        <f>IF(B80="","",TEXT(B80,"mmmm"))</f>
        <v>January</v>
      </c>
      <c r="Q80" s="7" t="str">
        <f>IF(B80="","",TEXT(B80,"yyyy-mm"))</f>
        <v>2026-01</v>
      </c>
      <c r="R80" s="8">
        <f>IFERROR(G80/F80,"")</f>
        <v>300</v>
      </c>
      <c r="S80" s="9">
        <f>IFERROR(I80/G80,"")</f>
        <v>0.16666666666666666</v>
      </c>
      <c r="T80" s="7" t="s">
        <v>459</v>
      </c>
      <c r="U80" s="7"/>
    </row>
    <row r="81" spans="1:21">
      <c r="A81" s="2" t="s">
        <v>200</v>
      </c>
      <c r="B81" s="3">
        <v>46049</v>
      </c>
      <c r="C81" s="2" t="s">
        <v>27</v>
      </c>
      <c r="D81" s="2" t="s">
        <v>16</v>
      </c>
      <c r="E81" s="2" t="s">
        <v>56</v>
      </c>
      <c r="F81" s="4">
        <v>1</v>
      </c>
      <c r="G81" s="5">
        <v>198</v>
      </c>
      <c r="H81" s="5">
        <v>115</v>
      </c>
      <c r="I81" s="5">
        <v>83</v>
      </c>
      <c r="J81" s="2" t="s">
        <v>460</v>
      </c>
      <c r="K81" s="2" t="s">
        <v>458</v>
      </c>
      <c r="L81" s="6">
        <v>41.9</v>
      </c>
      <c r="M81" s="2" t="s">
        <v>25</v>
      </c>
      <c r="N81" s="7">
        <f>IF(B81="","",YEAR(B81))</f>
        <v>2026</v>
      </c>
      <c r="O81" s="7" t="str">
        <f>IF(B81="","","Q"&amp;ROUNDUP(MONTH(B81)/3,0))</f>
        <v>Q1</v>
      </c>
      <c r="P81" s="7" t="str">
        <f>IF(B81="","",TEXT(B81,"mmmm"))</f>
        <v>January</v>
      </c>
      <c r="Q81" s="7" t="str">
        <f>IF(B81="","",TEXT(B81,"yyyy-mm"))</f>
        <v>2026-01</v>
      </c>
      <c r="R81" s="8">
        <f>IFERROR(G81/F81,"")</f>
        <v>198</v>
      </c>
      <c r="S81" s="9">
        <f>IFERROR(I81/G81,"")</f>
        <v>0.41919191919191917</v>
      </c>
      <c r="T81" s="7" t="s">
        <v>459</v>
      </c>
      <c r="U81" s="7"/>
    </row>
    <row r="82" spans="1:21">
      <c r="A82" s="2" t="s">
        <v>202</v>
      </c>
      <c r="B82" s="3">
        <v>46049</v>
      </c>
      <c r="C82" s="2" t="s">
        <v>15</v>
      </c>
      <c r="D82" s="2" t="s">
        <v>42</v>
      </c>
      <c r="E82" s="2" t="s">
        <v>86</v>
      </c>
      <c r="F82" s="4">
        <v>1</v>
      </c>
      <c r="G82" s="5">
        <v>154</v>
      </c>
      <c r="H82" s="5">
        <v>80</v>
      </c>
      <c r="I82" s="5">
        <v>74</v>
      </c>
      <c r="J82" s="2" t="s">
        <v>460</v>
      </c>
      <c r="K82" s="2" t="s">
        <v>31</v>
      </c>
      <c r="L82" s="6">
        <v>48.1</v>
      </c>
      <c r="M82" s="2" t="s">
        <v>25</v>
      </c>
      <c r="N82" s="7">
        <f>IF(B82="","",YEAR(B82))</f>
        <v>2026</v>
      </c>
      <c r="O82" s="7" t="str">
        <f>IF(B82="","","Q"&amp;ROUNDUP(MONTH(B82)/3,0))</f>
        <v>Q1</v>
      </c>
      <c r="P82" s="7" t="str">
        <f>IF(B82="","",TEXT(B82,"mmmm"))</f>
        <v>January</v>
      </c>
      <c r="Q82" s="7" t="str">
        <f>IF(B82="","",TEXT(B82,"yyyy-mm"))</f>
        <v>2026-01</v>
      </c>
      <c r="R82" s="8">
        <f>IFERROR(G82/F82,"")</f>
        <v>154</v>
      </c>
      <c r="S82" s="9">
        <f>IFERROR(I82/G82,"")</f>
        <v>0.48051948051948051</v>
      </c>
      <c r="T82" s="7" t="s">
        <v>459</v>
      </c>
      <c r="U82" s="7"/>
    </row>
    <row r="83" spans="1:21">
      <c r="A83" s="2" t="s">
        <v>203</v>
      </c>
      <c r="B83" s="3">
        <v>46049</v>
      </c>
      <c r="C83" s="2" t="s">
        <v>34</v>
      </c>
      <c r="D83" s="2" t="s">
        <v>42</v>
      </c>
      <c r="E83" s="2" t="s">
        <v>17</v>
      </c>
      <c r="F83" s="4">
        <v>1</v>
      </c>
      <c r="G83" s="5">
        <v>81</v>
      </c>
      <c r="H83" s="5">
        <v>40</v>
      </c>
      <c r="I83" s="5">
        <v>41</v>
      </c>
      <c r="J83" s="2" t="s">
        <v>22</v>
      </c>
      <c r="K83" s="2" t="s">
        <v>31</v>
      </c>
      <c r="L83" s="6">
        <v>50.6</v>
      </c>
      <c r="M83" s="2" t="s">
        <v>25</v>
      </c>
      <c r="N83" s="7">
        <f>IF(B83="","",YEAR(B83))</f>
        <v>2026</v>
      </c>
      <c r="O83" s="7" t="str">
        <f>IF(B83="","","Q"&amp;ROUNDUP(MONTH(B83)/3,0))</f>
        <v>Q1</v>
      </c>
      <c r="P83" s="7" t="str">
        <f>IF(B83="","",TEXT(B83,"mmmm"))</f>
        <v>January</v>
      </c>
      <c r="Q83" s="7" t="str">
        <f>IF(B83="","",TEXT(B83,"yyyy-mm"))</f>
        <v>2026-01</v>
      </c>
      <c r="R83" s="8">
        <f>IFERROR(G83/F83,"")</f>
        <v>81</v>
      </c>
      <c r="S83" s="9">
        <f>IFERROR(I83/G83,"")</f>
        <v>0.50617283950617287</v>
      </c>
      <c r="T83" s="7" t="s">
        <v>459</v>
      </c>
      <c r="U83" s="7"/>
    </row>
    <row r="84" spans="1:21">
      <c r="A84" s="2" t="s">
        <v>204</v>
      </c>
      <c r="B84" s="3">
        <v>46049</v>
      </c>
      <c r="C84" s="2" t="s">
        <v>34</v>
      </c>
      <c r="D84" s="2" t="s">
        <v>42</v>
      </c>
      <c r="E84" s="2" t="s">
        <v>43</v>
      </c>
      <c r="F84" s="4">
        <v>2</v>
      </c>
      <c r="G84" s="5">
        <v>600</v>
      </c>
      <c r="H84" s="5">
        <v>500</v>
      </c>
      <c r="I84" s="5">
        <v>100</v>
      </c>
      <c r="J84" s="2" t="s">
        <v>460</v>
      </c>
      <c r="K84" s="2" t="s">
        <v>31</v>
      </c>
      <c r="L84" s="6">
        <v>16.7</v>
      </c>
      <c r="M84" s="2" t="s">
        <v>25</v>
      </c>
      <c r="N84" s="7">
        <f>IF(B84="","",YEAR(B84))</f>
        <v>2026</v>
      </c>
      <c r="O84" s="7" t="str">
        <f>IF(B84="","","Q"&amp;ROUNDUP(MONTH(B84)/3,0))</f>
        <v>Q1</v>
      </c>
      <c r="P84" s="7" t="str">
        <f>IF(B84="","",TEXT(B84,"mmmm"))</f>
        <v>January</v>
      </c>
      <c r="Q84" s="7" t="str">
        <f>IF(B84="","",TEXT(B84,"yyyy-mm"))</f>
        <v>2026-01</v>
      </c>
      <c r="R84" s="8">
        <f>IFERROR(G84/F84,"")</f>
        <v>300</v>
      </c>
      <c r="S84" s="9">
        <f>IFERROR(I84/G84,"")</f>
        <v>0.16666666666666666</v>
      </c>
      <c r="T84" s="7" t="s">
        <v>459</v>
      </c>
      <c r="U84" s="7"/>
    </row>
    <row r="85" spans="1:21">
      <c r="A85" s="2" t="s">
        <v>205</v>
      </c>
      <c r="B85" s="3">
        <v>46049</v>
      </c>
      <c r="C85" s="2" t="s">
        <v>27</v>
      </c>
      <c r="D85" s="2" t="s">
        <v>16</v>
      </c>
      <c r="E85" s="2" t="s">
        <v>56</v>
      </c>
      <c r="F85" s="4">
        <v>1</v>
      </c>
      <c r="G85" s="5">
        <v>180</v>
      </c>
      <c r="H85" s="5">
        <v>115</v>
      </c>
      <c r="I85" s="5">
        <v>65</v>
      </c>
      <c r="J85" s="2" t="s">
        <v>22</v>
      </c>
      <c r="K85" s="2" t="s">
        <v>458</v>
      </c>
      <c r="L85" s="6">
        <v>36.1</v>
      </c>
      <c r="M85" s="2" t="s">
        <v>25</v>
      </c>
      <c r="N85" s="7">
        <f>IF(B85="","",YEAR(B85))</f>
        <v>2026</v>
      </c>
      <c r="O85" s="7" t="str">
        <f>IF(B85="","","Q"&amp;ROUNDUP(MONTH(B85)/3,0))</f>
        <v>Q1</v>
      </c>
      <c r="P85" s="7" t="str">
        <f>IF(B85="","",TEXT(B85,"mmmm"))</f>
        <v>January</v>
      </c>
      <c r="Q85" s="7" t="str">
        <f>IF(B85="","",TEXT(B85,"yyyy-mm"))</f>
        <v>2026-01</v>
      </c>
      <c r="R85" s="8">
        <f>IFERROR(G85/F85,"")</f>
        <v>180</v>
      </c>
      <c r="S85" s="9">
        <f>IFERROR(I85/G85,"")</f>
        <v>0.3611111111111111</v>
      </c>
      <c r="T85" s="7" t="s">
        <v>459</v>
      </c>
      <c r="U85" s="7"/>
    </row>
    <row r="86" spans="1:21">
      <c r="A86" s="2" t="s">
        <v>206</v>
      </c>
      <c r="B86" s="3">
        <v>46049</v>
      </c>
      <c r="C86" s="2" t="s">
        <v>34</v>
      </c>
      <c r="D86" s="2" t="s">
        <v>42</v>
      </c>
      <c r="E86" s="2" t="s">
        <v>56</v>
      </c>
      <c r="F86" s="4">
        <v>1</v>
      </c>
      <c r="G86" s="5">
        <v>198</v>
      </c>
      <c r="H86" s="5">
        <v>115</v>
      </c>
      <c r="I86" s="5">
        <v>83</v>
      </c>
      <c r="J86" s="2" t="s">
        <v>460</v>
      </c>
      <c r="K86" s="2" t="s">
        <v>31</v>
      </c>
      <c r="L86" s="6">
        <v>41.9</v>
      </c>
      <c r="M86" s="2" t="s">
        <v>25</v>
      </c>
      <c r="N86" s="7">
        <f>IF(B86="","",YEAR(B86))</f>
        <v>2026</v>
      </c>
      <c r="O86" s="7" t="str">
        <f>IF(B86="","","Q"&amp;ROUNDUP(MONTH(B86)/3,0))</f>
        <v>Q1</v>
      </c>
      <c r="P86" s="7" t="str">
        <f>IF(B86="","",TEXT(B86,"mmmm"))</f>
        <v>January</v>
      </c>
      <c r="Q86" s="7" t="str">
        <f>IF(B86="","",TEXT(B86,"yyyy-mm"))</f>
        <v>2026-01</v>
      </c>
      <c r="R86" s="8">
        <f>IFERROR(G86/F86,"")</f>
        <v>198</v>
      </c>
      <c r="S86" s="9">
        <f>IFERROR(I86/G86,"")</f>
        <v>0.41919191919191917</v>
      </c>
      <c r="T86" s="7" t="s">
        <v>459</v>
      </c>
      <c r="U86" s="7"/>
    </row>
    <row r="87" spans="1:21">
      <c r="A87" s="2" t="s">
        <v>207</v>
      </c>
      <c r="B87" s="3">
        <v>46050</v>
      </c>
      <c r="C87" s="2" t="s">
        <v>27</v>
      </c>
      <c r="D87" s="2" t="s">
        <v>16</v>
      </c>
      <c r="E87" s="2" t="s">
        <v>86</v>
      </c>
      <c r="F87" s="4">
        <v>1</v>
      </c>
      <c r="G87" s="5">
        <v>140</v>
      </c>
      <c r="H87" s="5">
        <v>80</v>
      </c>
      <c r="I87" s="5">
        <v>60</v>
      </c>
      <c r="J87" s="2" t="s">
        <v>22</v>
      </c>
      <c r="K87" s="2" t="s">
        <v>458</v>
      </c>
      <c r="L87" s="6">
        <v>42.9</v>
      </c>
      <c r="M87" s="2" t="s">
        <v>25</v>
      </c>
      <c r="N87" s="7">
        <f>IF(B87="","",YEAR(B87))</f>
        <v>2026</v>
      </c>
      <c r="O87" s="7" t="str">
        <f>IF(B87="","","Q"&amp;ROUNDUP(MONTH(B87)/3,0))</f>
        <v>Q1</v>
      </c>
      <c r="P87" s="7" t="str">
        <f>IF(B87="","",TEXT(B87,"mmmm"))</f>
        <v>January</v>
      </c>
      <c r="Q87" s="7" t="str">
        <f>IF(B87="","",TEXT(B87,"yyyy-mm"))</f>
        <v>2026-01</v>
      </c>
      <c r="R87" s="8">
        <f>IFERROR(G87/F87,"")</f>
        <v>140</v>
      </c>
      <c r="S87" s="9">
        <f>IFERROR(I87/G87,"")</f>
        <v>0.42857142857142855</v>
      </c>
      <c r="T87" s="7" t="s">
        <v>459</v>
      </c>
      <c r="U87" s="7"/>
    </row>
    <row r="88" spans="1:21">
      <c r="A88" s="2" t="s">
        <v>209</v>
      </c>
      <c r="B88" s="3">
        <v>46050</v>
      </c>
      <c r="C88" s="2" t="s">
        <v>15</v>
      </c>
      <c r="D88" s="2" t="s">
        <v>53</v>
      </c>
      <c r="E88" s="2" t="s">
        <v>17</v>
      </c>
      <c r="F88" s="4">
        <v>2</v>
      </c>
      <c r="G88" s="5">
        <v>180</v>
      </c>
      <c r="H88" s="5">
        <v>80</v>
      </c>
      <c r="I88" s="5">
        <v>100</v>
      </c>
      <c r="J88" s="2" t="s">
        <v>460</v>
      </c>
      <c r="K88" s="2" t="s">
        <v>31</v>
      </c>
      <c r="L88" s="6">
        <v>55.6</v>
      </c>
      <c r="M88" s="2" t="s">
        <v>25</v>
      </c>
      <c r="N88" s="7">
        <f>IF(B88="","",YEAR(B88))</f>
        <v>2026</v>
      </c>
      <c r="O88" s="7" t="str">
        <f>IF(B88="","","Q"&amp;ROUNDUP(MONTH(B88)/3,0))</f>
        <v>Q1</v>
      </c>
      <c r="P88" s="7" t="str">
        <f>IF(B88="","",TEXT(B88,"mmmm"))</f>
        <v>January</v>
      </c>
      <c r="Q88" s="7" t="str">
        <f>IF(B88="","",TEXT(B88,"yyyy-mm"))</f>
        <v>2026-01</v>
      </c>
      <c r="R88" s="8">
        <f>IFERROR(G88/F88,"")</f>
        <v>90</v>
      </c>
      <c r="S88" s="9">
        <f>IFERROR(I88/G88,"")</f>
        <v>0.55555555555555558</v>
      </c>
      <c r="T88" s="7" t="s">
        <v>459</v>
      </c>
      <c r="U88" s="7"/>
    </row>
    <row r="89" spans="1:21">
      <c r="A89" s="2" t="s">
        <v>210</v>
      </c>
      <c r="B89" s="3">
        <v>46051</v>
      </c>
      <c r="C89" s="2" t="s">
        <v>27</v>
      </c>
      <c r="D89" s="2" t="s">
        <v>16</v>
      </c>
      <c r="E89" s="2" t="s">
        <v>56</v>
      </c>
      <c r="F89" s="4">
        <v>1</v>
      </c>
      <c r="G89" s="5">
        <v>162</v>
      </c>
      <c r="H89" s="5">
        <v>115</v>
      </c>
      <c r="I89" s="5">
        <v>47</v>
      </c>
      <c r="J89" s="2" t="s">
        <v>460</v>
      </c>
      <c r="K89" s="2" t="s">
        <v>458</v>
      </c>
      <c r="L89" s="6">
        <v>29</v>
      </c>
      <c r="M89" s="2" t="s">
        <v>25</v>
      </c>
      <c r="N89" s="7">
        <f>IF(B89="","",YEAR(B89))</f>
        <v>2026</v>
      </c>
      <c r="O89" s="7" t="str">
        <f>IF(B89="","","Q"&amp;ROUNDUP(MONTH(B89)/3,0))</f>
        <v>Q1</v>
      </c>
      <c r="P89" s="7" t="str">
        <f>IF(B89="","",TEXT(B89,"mmmm"))</f>
        <v>January</v>
      </c>
      <c r="Q89" s="7" t="str">
        <f>IF(B89="","",TEXT(B89,"yyyy-mm"))</f>
        <v>2026-01</v>
      </c>
      <c r="R89" s="8">
        <f>IFERROR(G89/F89,"")</f>
        <v>162</v>
      </c>
      <c r="S89" s="9">
        <f>IFERROR(I89/G89,"")</f>
        <v>0.29012345679012347</v>
      </c>
      <c r="T89" s="7" t="s">
        <v>459</v>
      </c>
      <c r="U89" s="7"/>
    </row>
    <row r="90" spans="1:21">
      <c r="A90" s="2" t="s">
        <v>212</v>
      </c>
      <c r="B90" s="3">
        <v>46051</v>
      </c>
      <c r="C90" s="2" t="s">
        <v>15</v>
      </c>
      <c r="D90" s="2" t="s">
        <v>53</v>
      </c>
      <c r="E90" s="2" t="s">
        <v>36</v>
      </c>
      <c r="F90" s="4">
        <v>1</v>
      </c>
      <c r="G90" s="5">
        <v>220</v>
      </c>
      <c r="H90" s="5">
        <v>180</v>
      </c>
      <c r="I90" s="5">
        <v>40</v>
      </c>
      <c r="J90" s="2" t="s">
        <v>22</v>
      </c>
      <c r="K90" s="2" t="s">
        <v>458</v>
      </c>
      <c r="L90" s="6">
        <v>18.2</v>
      </c>
      <c r="M90" s="2" t="s">
        <v>25</v>
      </c>
      <c r="N90" s="7">
        <f>IF(B90="","",YEAR(B90))</f>
        <v>2026</v>
      </c>
      <c r="O90" s="7" t="str">
        <f>IF(B90="","","Q"&amp;ROUNDUP(MONTH(B90)/3,0))</f>
        <v>Q1</v>
      </c>
      <c r="P90" s="7" t="str">
        <f>IF(B90="","",TEXT(B90,"mmmm"))</f>
        <v>January</v>
      </c>
      <c r="Q90" s="7" t="str">
        <f>IF(B90="","",TEXT(B90,"yyyy-mm"))</f>
        <v>2026-01</v>
      </c>
      <c r="R90" s="8">
        <f>IFERROR(G90/F90,"")</f>
        <v>220</v>
      </c>
      <c r="S90" s="9">
        <f>IFERROR(I90/G90,"")</f>
        <v>0.18181818181818182</v>
      </c>
      <c r="T90" s="7" t="s">
        <v>459</v>
      </c>
      <c r="U90" s="7"/>
    </row>
    <row r="91" spans="1:21">
      <c r="A91" s="2" t="s">
        <v>213</v>
      </c>
      <c r="B91" s="3">
        <v>46051</v>
      </c>
      <c r="C91" s="2" t="s">
        <v>34</v>
      </c>
      <c r="D91" s="2" t="s">
        <v>53</v>
      </c>
      <c r="E91" s="2" t="s">
        <v>56</v>
      </c>
      <c r="F91" s="4">
        <v>2</v>
      </c>
      <c r="G91" s="5">
        <v>360</v>
      </c>
      <c r="H91" s="5">
        <v>230</v>
      </c>
      <c r="I91" s="5">
        <v>130</v>
      </c>
      <c r="J91" s="2" t="s">
        <v>22</v>
      </c>
      <c r="K91" s="2" t="s">
        <v>458</v>
      </c>
      <c r="L91" s="6">
        <v>36.1</v>
      </c>
      <c r="M91" s="2" t="s">
        <v>25</v>
      </c>
      <c r="N91" s="7">
        <f>IF(B91="","",YEAR(B91))</f>
        <v>2026</v>
      </c>
      <c r="O91" s="7" t="str">
        <f>IF(B91="","","Q"&amp;ROUNDUP(MONTH(B91)/3,0))</f>
        <v>Q1</v>
      </c>
      <c r="P91" s="7" t="str">
        <f>IF(B91="","",TEXT(B91,"mmmm"))</f>
        <v>January</v>
      </c>
      <c r="Q91" s="7" t="str">
        <f>IF(B91="","",TEXT(B91,"yyyy-mm"))</f>
        <v>2026-01</v>
      </c>
      <c r="R91" s="8">
        <f>IFERROR(G91/F91,"")</f>
        <v>180</v>
      </c>
      <c r="S91" s="9">
        <f>IFERROR(I91/G91,"")</f>
        <v>0.3611111111111111</v>
      </c>
      <c r="T91" s="7" t="s">
        <v>459</v>
      </c>
      <c r="U91" s="7"/>
    </row>
    <row r="92" spans="1:21">
      <c r="A92" s="2" t="s">
        <v>214</v>
      </c>
      <c r="B92" s="3">
        <v>46051</v>
      </c>
      <c r="C92" s="2" t="s">
        <v>49</v>
      </c>
      <c r="D92" s="2" t="s">
        <v>16</v>
      </c>
      <c r="E92" s="2" t="s">
        <v>56</v>
      </c>
      <c r="F92" s="4">
        <v>1</v>
      </c>
      <c r="G92" s="5">
        <v>180</v>
      </c>
      <c r="H92" s="5">
        <v>115</v>
      </c>
      <c r="I92" s="5">
        <v>65</v>
      </c>
      <c r="J92" s="2" t="s">
        <v>460</v>
      </c>
      <c r="K92" s="2" t="s">
        <v>31</v>
      </c>
      <c r="L92" s="6">
        <v>36.1</v>
      </c>
      <c r="M92" s="2" t="s">
        <v>25</v>
      </c>
      <c r="N92" s="7">
        <f>IF(B92="","",YEAR(B92))</f>
        <v>2026</v>
      </c>
      <c r="O92" s="7" t="str">
        <f>IF(B92="","","Q"&amp;ROUNDUP(MONTH(B92)/3,0))</f>
        <v>Q1</v>
      </c>
      <c r="P92" s="7" t="str">
        <f>IF(B92="","",TEXT(B92,"mmmm"))</f>
        <v>January</v>
      </c>
      <c r="Q92" s="7" t="str">
        <f>IF(B92="","",TEXT(B92,"yyyy-mm"))</f>
        <v>2026-01</v>
      </c>
      <c r="R92" s="8">
        <f>IFERROR(G92/F92,"")</f>
        <v>180</v>
      </c>
      <c r="S92" s="9">
        <f>IFERROR(I92/G92,"")</f>
        <v>0.3611111111111111</v>
      </c>
      <c r="T92" s="7" t="s">
        <v>459</v>
      </c>
      <c r="U92" s="7"/>
    </row>
    <row r="93" spans="1:21">
      <c r="A93" s="2" t="s">
        <v>215</v>
      </c>
      <c r="B93" s="3">
        <v>46052</v>
      </c>
      <c r="C93" s="2" t="s">
        <v>49</v>
      </c>
      <c r="D93" s="2" t="s">
        <v>42</v>
      </c>
      <c r="E93" s="2" t="s">
        <v>43</v>
      </c>
      <c r="F93" s="4">
        <v>1</v>
      </c>
      <c r="G93" s="5">
        <v>300</v>
      </c>
      <c r="H93" s="5">
        <v>250</v>
      </c>
      <c r="I93" s="5">
        <v>50</v>
      </c>
      <c r="J93" s="2" t="s">
        <v>22</v>
      </c>
      <c r="K93" s="2" t="s">
        <v>458</v>
      </c>
      <c r="L93" s="6">
        <v>16.7</v>
      </c>
      <c r="M93" s="2" t="s">
        <v>25</v>
      </c>
      <c r="N93" s="7">
        <f>IF(B93="","",YEAR(B93))</f>
        <v>2026</v>
      </c>
      <c r="O93" s="7" t="str">
        <f>IF(B93="","","Q"&amp;ROUNDUP(MONTH(B93)/3,0))</f>
        <v>Q1</v>
      </c>
      <c r="P93" s="7" t="str">
        <f>IF(B93="","",TEXT(B93,"mmmm"))</f>
        <v>January</v>
      </c>
      <c r="Q93" s="7" t="str">
        <f>IF(B93="","",TEXT(B93,"yyyy-mm"))</f>
        <v>2026-01</v>
      </c>
      <c r="R93" s="8">
        <f>IFERROR(G93/F93,"")</f>
        <v>300</v>
      </c>
      <c r="S93" s="9">
        <f>IFERROR(I93/G93,"")</f>
        <v>0.16666666666666666</v>
      </c>
      <c r="T93" s="7" t="s">
        <v>459</v>
      </c>
      <c r="U93" s="7"/>
    </row>
    <row r="94" spans="1:21">
      <c r="A94" s="2" t="s">
        <v>217</v>
      </c>
      <c r="B94" s="3">
        <v>46052</v>
      </c>
      <c r="C94" s="2" t="s">
        <v>27</v>
      </c>
      <c r="D94" s="2" t="s">
        <v>53</v>
      </c>
      <c r="E94" s="2" t="s">
        <v>17</v>
      </c>
      <c r="F94" s="4">
        <v>1</v>
      </c>
      <c r="G94" s="5">
        <v>81</v>
      </c>
      <c r="H94" s="5">
        <v>40</v>
      </c>
      <c r="I94" s="5">
        <v>41</v>
      </c>
      <c r="J94" s="2" t="s">
        <v>22</v>
      </c>
      <c r="K94" s="2" t="s">
        <v>458</v>
      </c>
      <c r="L94" s="6">
        <v>50.6</v>
      </c>
      <c r="M94" s="2" t="s">
        <v>25</v>
      </c>
      <c r="N94" s="7">
        <f>IF(B94="","",YEAR(B94))</f>
        <v>2026</v>
      </c>
      <c r="O94" s="7" t="str">
        <f>IF(B94="","","Q"&amp;ROUNDUP(MONTH(B94)/3,0))</f>
        <v>Q1</v>
      </c>
      <c r="P94" s="7" t="str">
        <f>IF(B94="","",TEXT(B94,"mmmm"))</f>
        <v>January</v>
      </c>
      <c r="Q94" s="7" t="str">
        <f>IF(B94="","",TEXT(B94,"yyyy-mm"))</f>
        <v>2026-01</v>
      </c>
      <c r="R94" s="8">
        <f>IFERROR(G94/F94,"")</f>
        <v>81</v>
      </c>
      <c r="S94" s="9">
        <f>IFERROR(I94/G94,"")</f>
        <v>0.50617283950617287</v>
      </c>
      <c r="T94" s="7" t="s">
        <v>459</v>
      </c>
      <c r="U94" s="7"/>
    </row>
    <row r="95" spans="1:21">
      <c r="A95" s="2" t="s">
        <v>218</v>
      </c>
      <c r="B95" s="3">
        <v>46053</v>
      </c>
      <c r="C95" s="2" t="s">
        <v>15</v>
      </c>
      <c r="D95" s="2" t="s">
        <v>42</v>
      </c>
      <c r="E95" s="2" t="s">
        <v>17</v>
      </c>
      <c r="F95" s="4">
        <v>1</v>
      </c>
      <c r="G95" s="5">
        <v>81</v>
      </c>
      <c r="H95" s="5">
        <v>40</v>
      </c>
      <c r="I95" s="5">
        <v>41</v>
      </c>
      <c r="J95" s="2" t="s">
        <v>22</v>
      </c>
      <c r="K95" s="2" t="s">
        <v>31</v>
      </c>
      <c r="L95" s="6">
        <v>50.6</v>
      </c>
      <c r="M95" s="2" t="s">
        <v>25</v>
      </c>
      <c r="N95" s="7">
        <f>IF(B95="","",YEAR(B95))</f>
        <v>2026</v>
      </c>
      <c r="O95" s="7" t="str">
        <f>IF(B95="","","Q"&amp;ROUNDUP(MONTH(B95)/3,0))</f>
        <v>Q1</v>
      </c>
      <c r="P95" s="7" t="str">
        <f>IF(B95="","",TEXT(B95,"mmmm"))</f>
        <v>January</v>
      </c>
      <c r="Q95" s="7" t="str">
        <f>IF(B95="","",TEXT(B95,"yyyy-mm"))</f>
        <v>2026-01</v>
      </c>
      <c r="R95" s="8">
        <f>IFERROR(G95/F95,"")</f>
        <v>81</v>
      </c>
      <c r="S95" s="9">
        <f>IFERROR(I95/G95,"")</f>
        <v>0.50617283950617287</v>
      </c>
      <c r="T95" s="7" t="s">
        <v>459</v>
      </c>
      <c r="U95" s="7"/>
    </row>
    <row r="96" spans="1:21">
      <c r="A96" s="2" t="s">
        <v>220</v>
      </c>
      <c r="B96" s="3">
        <v>46053</v>
      </c>
      <c r="C96" s="2" t="s">
        <v>34</v>
      </c>
      <c r="D96" s="2" t="s">
        <v>16</v>
      </c>
      <c r="E96" s="2" t="s">
        <v>17</v>
      </c>
      <c r="F96" s="4">
        <v>1</v>
      </c>
      <c r="G96" s="5">
        <v>90</v>
      </c>
      <c r="H96" s="5">
        <v>40</v>
      </c>
      <c r="I96" s="5">
        <v>50</v>
      </c>
      <c r="J96" s="2" t="s">
        <v>460</v>
      </c>
      <c r="K96" s="2" t="s">
        <v>31</v>
      </c>
      <c r="L96" s="6">
        <v>55.6</v>
      </c>
      <c r="M96" s="2" t="s">
        <v>25</v>
      </c>
      <c r="N96" s="7">
        <f>IF(B96="","",YEAR(B96))</f>
        <v>2026</v>
      </c>
      <c r="O96" s="7" t="str">
        <f>IF(B96="","","Q"&amp;ROUNDUP(MONTH(B96)/3,0))</f>
        <v>Q1</v>
      </c>
      <c r="P96" s="7" t="str">
        <f>IF(B96="","",TEXT(B96,"mmmm"))</f>
        <v>January</v>
      </c>
      <c r="Q96" s="7" t="str">
        <f>IF(B96="","",TEXT(B96,"yyyy-mm"))</f>
        <v>2026-01</v>
      </c>
      <c r="R96" s="8">
        <f>IFERROR(G96/F96,"")</f>
        <v>90</v>
      </c>
      <c r="S96" s="9">
        <f>IFERROR(I96/G96,"")</f>
        <v>0.55555555555555558</v>
      </c>
      <c r="T96" s="7" t="s">
        <v>459</v>
      </c>
      <c r="U96" s="7"/>
    </row>
    <row r="97" spans="1:21">
      <c r="A97" s="2" t="s">
        <v>221</v>
      </c>
      <c r="B97" s="3">
        <v>46054</v>
      </c>
      <c r="C97" s="2" t="s">
        <v>49</v>
      </c>
      <c r="D97" s="2" t="s">
        <v>16</v>
      </c>
      <c r="E97" s="2" t="s">
        <v>17</v>
      </c>
      <c r="F97" s="4">
        <v>1</v>
      </c>
      <c r="G97" s="5">
        <v>90</v>
      </c>
      <c r="H97" s="5">
        <v>40</v>
      </c>
      <c r="I97" s="5">
        <v>50</v>
      </c>
      <c r="J97" s="2" t="s">
        <v>62</v>
      </c>
      <c r="K97" s="2" t="s">
        <v>31</v>
      </c>
      <c r="L97" s="6">
        <v>55.6</v>
      </c>
      <c r="M97" s="2" t="s">
        <v>223</v>
      </c>
      <c r="N97" s="7">
        <f>IF(B97="","",YEAR(B97))</f>
        <v>2026</v>
      </c>
      <c r="O97" s="7" t="str">
        <f>IF(B97="","","Q"&amp;ROUNDUP(MONTH(B97)/3,0))</f>
        <v>Q1</v>
      </c>
      <c r="P97" s="7" t="str">
        <f>IF(B97="","",TEXT(B97,"mmmm"))</f>
        <v>February</v>
      </c>
      <c r="Q97" s="7" t="str">
        <f>IF(B97="","",TEXT(B97,"yyyy-mm"))</f>
        <v>2026-02</v>
      </c>
      <c r="R97" s="8">
        <f>IFERROR(G97/F97,"")</f>
        <v>90</v>
      </c>
      <c r="S97" s="9">
        <f>IFERROR(I97/G97,"")</f>
        <v>0.55555555555555558</v>
      </c>
      <c r="T97" s="7" t="s">
        <v>459</v>
      </c>
      <c r="U97" s="7"/>
    </row>
    <row r="98" spans="1:21">
      <c r="A98" s="2" t="s">
        <v>224</v>
      </c>
      <c r="B98" s="3">
        <v>46054</v>
      </c>
      <c r="C98" s="2" t="s">
        <v>27</v>
      </c>
      <c r="D98" s="2" t="s">
        <v>16</v>
      </c>
      <c r="E98" s="2" t="s">
        <v>43</v>
      </c>
      <c r="F98" s="4">
        <v>1</v>
      </c>
      <c r="G98" s="5">
        <v>270</v>
      </c>
      <c r="H98" s="5">
        <v>250</v>
      </c>
      <c r="I98" s="5">
        <v>20</v>
      </c>
      <c r="J98" s="2" t="s">
        <v>22</v>
      </c>
      <c r="K98" s="2" t="s">
        <v>458</v>
      </c>
      <c r="L98" s="6">
        <v>7.4</v>
      </c>
      <c r="M98" s="2" t="s">
        <v>223</v>
      </c>
      <c r="N98" s="7">
        <f>IF(B98="","",YEAR(B98))</f>
        <v>2026</v>
      </c>
      <c r="O98" s="7" t="str">
        <f>IF(B98="","","Q"&amp;ROUNDUP(MONTH(B98)/3,0))</f>
        <v>Q1</v>
      </c>
      <c r="P98" s="7" t="str">
        <f>IF(B98="","",TEXT(B98,"mmmm"))</f>
        <v>February</v>
      </c>
      <c r="Q98" s="7" t="str">
        <f>IF(B98="","",TEXT(B98,"yyyy-mm"))</f>
        <v>2026-02</v>
      </c>
      <c r="R98" s="8">
        <f>IFERROR(G98/F98,"")</f>
        <v>270</v>
      </c>
      <c r="S98" s="9">
        <f>IFERROR(I98/G98,"")</f>
        <v>7.407407407407407E-2</v>
      </c>
      <c r="T98" s="7" t="s">
        <v>459</v>
      </c>
      <c r="U98" s="7"/>
    </row>
    <row r="99" spans="1:21">
      <c r="A99" s="2" t="s">
        <v>225</v>
      </c>
      <c r="B99" s="3">
        <v>46056</v>
      </c>
      <c r="C99" s="2" t="s">
        <v>49</v>
      </c>
      <c r="D99" s="2" t="s">
        <v>16</v>
      </c>
      <c r="E99" s="2" t="s">
        <v>43</v>
      </c>
      <c r="F99" s="4">
        <v>1</v>
      </c>
      <c r="G99" s="5">
        <v>300</v>
      </c>
      <c r="H99" s="5">
        <v>250</v>
      </c>
      <c r="I99" s="5">
        <v>50</v>
      </c>
      <c r="J99" s="2" t="s">
        <v>460</v>
      </c>
      <c r="K99" s="2" t="s">
        <v>31</v>
      </c>
      <c r="L99" s="6">
        <v>16.7</v>
      </c>
      <c r="M99" s="2" t="s">
        <v>223</v>
      </c>
      <c r="N99" s="7">
        <f>IF(B99="","",YEAR(B99))</f>
        <v>2026</v>
      </c>
      <c r="O99" s="7" t="str">
        <f>IF(B99="","","Q"&amp;ROUNDUP(MONTH(B99)/3,0))</f>
        <v>Q1</v>
      </c>
      <c r="P99" s="7" t="str">
        <f>IF(B99="","",TEXT(B99,"mmmm"))</f>
        <v>February</v>
      </c>
      <c r="Q99" s="7" t="str">
        <f>IF(B99="","",TEXT(B99,"yyyy-mm"))</f>
        <v>2026-02</v>
      </c>
      <c r="R99" s="8">
        <f>IFERROR(G99/F99,"")</f>
        <v>300</v>
      </c>
      <c r="S99" s="9">
        <f>IFERROR(I99/G99,"")</f>
        <v>0.16666666666666666</v>
      </c>
      <c r="T99" s="7" t="s">
        <v>459</v>
      </c>
      <c r="U99" s="7"/>
    </row>
    <row r="100" spans="1:21">
      <c r="A100" s="2" t="s">
        <v>227</v>
      </c>
      <c r="B100" s="3">
        <v>46057</v>
      </c>
      <c r="C100" s="2" t="s">
        <v>34</v>
      </c>
      <c r="D100" s="2" t="s">
        <v>16</v>
      </c>
      <c r="E100" s="2" t="s">
        <v>43</v>
      </c>
      <c r="F100" s="4">
        <v>1</v>
      </c>
      <c r="G100" s="5">
        <v>270</v>
      </c>
      <c r="H100" s="5">
        <v>250</v>
      </c>
      <c r="I100" s="5">
        <v>20</v>
      </c>
      <c r="J100" s="2" t="s">
        <v>22</v>
      </c>
      <c r="K100" s="2" t="s">
        <v>458</v>
      </c>
      <c r="L100" s="6">
        <v>7.4</v>
      </c>
      <c r="M100" s="2" t="s">
        <v>223</v>
      </c>
      <c r="N100" s="7">
        <f>IF(B100="","",YEAR(B100))</f>
        <v>2026</v>
      </c>
      <c r="O100" s="7" t="str">
        <f>IF(B100="","","Q"&amp;ROUNDUP(MONTH(B100)/3,0))</f>
        <v>Q1</v>
      </c>
      <c r="P100" s="7" t="str">
        <f>IF(B100="","",TEXT(B100,"mmmm"))</f>
        <v>February</v>
      </c>
      <c r="Q100" s="7" t="str">
        <f>IF(B100="","",TEXT(B100,"yyyy-mm"))</f>
        <v>2026-02</v>
      </c>
      <c r="R100" s="8">
        <f>IFERROR(G100/F100,"")</f>
        <v>270</v>
      </c>
      <c r="S100" s="9">
        <f>IFERROR(I100/G100,"")</f>
        <v>7.407407407407407E-2</v>
      </c>
      <c r="T100" s="7" t="s">
        <v>459</v>
      </c>
      <c r="U100" s="7"/>
    </row>
    <row r="101" spans="1:21">
      <c r="A101" s="2" t="s">
        <v>229</v>
      </c>
      <c r="B101" s="3">
        <v>46057</v>
      </c>
      <c r="C101" s="2" t="s">
        <v>34</v>
      </c>
      <c r="D101" s="2" t="s">
        <v>42</v>
      </c>
      <c r="E101" s="2" t="s">
        <v>86</v>
      </c>
      <c r="F101" s="4">
        <v>1</v>
      </c>
      <c r="G101" s="5">
        <v>140</v>
      </c>
      <c r="H101" s="5">
        <v>80</v>
      </c>
      <c r="I101" s="5">
        <v>60</v>
      </c>
      <c r="J101" s="2" t="s">
        <v>460</v>
      </c>
      <c r="K101" s="2" t="s">
        <v>31</v>
      </c>
      <c r="L101" s="6">
        <v>42.9</v>
      </c>
      <c r="M101" s="2" t="s">
        <v>223</v>
      </c>
      <c r="N101" s="7">
        <f>IF(B101="","",YEAR(B101))</f>
        <v>2026</v>
      </c>
      <c r="O101" s="7" t="str">
        <f>IF(B101="","","Q"&amp;ROUNDUP(MONTH(B101)/3,0))</f>
        <v>Q1</v>
      </c>
      <c r="P101" s="7" t="str">
        <f>IF(B101="","",TEXT(B101,"mmmm"))</f>
        <v>February</v>
      </c>
      <c r="Q101" s="7" t="str">
        <f>IF(B101="","",TEXT(B101,"yyyy-mm"))</f>
        <v>2026-02</v>
      </c>
      <c r="R101" s="8">
        <f>IFERROR(G101/F101,"")</f>
        <v>140</v>
      </c>
      <c r="S101" s="9">
        <f>IFERROR(I101/G101,"")</f>
        <v>0.42857142857142855</v>
      </c>
      <c r="T101" s="7" t="s">
        <v>459</v>
      </c>
      <c r="U101" s="7"/>
    </row>
    <row r="102" spans="1:21">
      <c r="A102" s="2" t="s">
        <v>230</v>
      </c>
      <c r="B102" s="3">
        <v>46057</v>
      </c>
      <c r="C102" s="2" t="s">
        <v>49</v>
      </c>
      <c r="D102" s="2" t="s">
        <v>42</v>
      </c>
      <c r="E102" s="2" t="s">
        <v>43</v>
      </c>
      <c r="F102" s="4">
        <v>1</v>
      </c>
      <c r="G102" s="5">
        <v>300</v>
      </c>
      <c r="H102" s="5">
        <v>250</v>
      </c>
      <c r="I102" s="5">
        <v>50</v>
      </c>
      <c r="J102" s="2" t="s">
        <v>22</v>
      </c>
      <c r="K102" s="2" t="s">
        <v>458</v>
      </c>
      <c r="L102" s="6">
        <v>16.7</v>
      </c>
      <c r="M102" s="2" t="s">
        <v>223</v>
      </c>
      <c r="N102" s="7">
        <f>IF(B102="","",YEAR(B102))</f>
        <v>2026</v>
      </c>
      <c r="O102" s="7" t="str">
        <f>IF(B102="","","Q"&amp;ROUNDUP(MONTH(B102)/3,0))</f>
        <v>Q1</v>
      </c>
      <c r="P102" s="7" t="str">
        <f>IF(B102="","",TEXT(B102,"mmmm"))</f>
        <v>February</v>
      </c>
      <c r="Q102" s="7" t="str">
        <f>IF(B102="","",TEXT(B102,"yyyy-mm"))</f>
        <v>2026-02</v>
      </c>
      <c r="R102" s="8">
        <f>IFERROR(G102/F102,"")</f>
        <v>300</v>
      </c>
      <c r="S102" s="9">
        <f>IFERROR(I102/G102,"")</f>
        <v>0.16666666666666666</v>
      </c>
      <c r="T102" s="7" t="s">
        <v>459</v>
      </c>
      <c r="U102" s="7"/>
    </row>
    <row r="103" spans="1:21">
      <c r="A103" s="2" t="s">
        <v>231</v>
      </c>
      <c r="B103" s="3">
        <v>46057</v>
      </c>
      <c r="C103" s="2" t="s">
        <v>34</v>
      </c>
      <c r="D103" s="2" t="s">
        <v>16</v>
      </c>
      <c r="E103" s="2" t="s">
        <v>43</v>
      </c>
      <c r="F103" s="4">
        <v>1</v>
      </c>
      <c r="G103" s="5">
        <v>300</v>
      </c>
      <c r="H103" s="5">
        <v>250</v>
      </c>
      <c r="I103" s="5">
        <v>50</v>
      </c>
      <c r="J103" s="2" t="s">
        <v>22</v>
      </c>
      <c r="K103" s="2" t="s">
        <v>458</v>
      </c>
      <c r="L103" s="6">
        <v>16.7</v>
      </c>
      <c r="M103" s="2" t="s">
        <v>223</v>
      </c>
      <c r="N103" s="7">
        <f>IF(B103="","",YEAR(B103))</f>
        <v>2026</v>
      </c>
      <c r="O103" s="7" t="str">
        <f>IF(B103="","","Q"&amp;ROUNDUP(MONTH(B103)/3,0))</f>
        <v>Q1</v>
      </c>
      <c r="P103" s="7" t="str">
        <f>IF(B103="","",TEXT(B103,"mmmm"))</f>
        <v>February</v>
      </c>
      <c r="Q103" s="7" t="str">
        <f>IF(B103="","",TEXT(B103,"yyyy-mm"))</f>
        <v>2026-02</v>
      </c>
      <c r="R103" s="8">
        <f>IFERROR(G103/F103,"")</f>
        <v>300</v>
      </c>
      <c r="S103" s="9">
        <f>IFERROR(I103/G103,"")</f>
        <v>0.16666666666666666</v>
      </c>
      <c r="T103" s="7" t="s">
        <v>459</v>
      </c>
      <c r="U103" s="7"/>
    </row>
    <row r="104" spans="1:21">
      <c r="A104" s="2" t="s">
        <v>232</v>
      </c>
      <c r="B104" s="3">
        <v>46057</v>
      </c>
      <c r="C104" s="2" t="s">
        <v>15</v>
      </c>
      <c r="D104" s="2" t="s">
        <v>42</v>
      </c>
      <c r="E104" s="2" t="s">
        <v>36</v>
      </c>
      <c r="F104" s="4">
        <v>1</v>
      </c>
      <c r="G104" s="5">
        <v>242</v>
      </c>
      <c r="H104" s="5">
        <v>180</v>
      </c>
      <c r="I104" s="5">
        <v>62</v>
      </c>
      <c r="J104" s="2" t="s">
        <v>22</v>
      </c>
      <c r="K104" s="2" t="s">
        <v>458</v>
      </c>
      <c r="L104" s="6">
        <v>25.6</v>
      </c>
      <c r="M104" s="2" t="s">
        <v>223</v>
      </c>
      <c r="N104" s="7">
        <f>IF(B104="","",YEAR(B104))</f>
        <v>2026</v>
      </c>
      <c r="O104" s="7" t="str">
        <f>IF(B104="","","Q"&amp;ROUNDUP(MONTH(B104)/3,0))</f>
        <v>Q1</v>
      </c>
      <c r="P104" s="7" t="str">
        <f>IF(B104="","",TEXT(B104,"mmmm"))</f>
        <v>February</v>
      </c>
      <c r="Q104" s="7" t="str">
        <f>IF(B104="","",TEXT(B104,"yyyy-mm"))</f>
        <v>2026-02</v>
      </c>
      <c r="R104" s="8">
        <f>IFERROR(G104/F104,"")</f>
        <v>242</v>
      </c>
      <c r="S104" s="9">
        <f>IFERROR(I104/G104,"")</f>
        <v>0.256198347107438</v>
      </c>
      <c r="T104" s="7" t="s">
        <v>459</v>
      </c>
      <c r="U104" s="7"/>
    </row>
    <row r="105" spans="1:21">
      <c r="A105" s="2" t="s">
        <v>235</v>
      </c>
      <c r="B105" s="3">
        <v>46058</v>
      </c>
      <c r="C105" s="2" t="s">
        <v>49</v>
      </c>
      <c r="D105" s="2" t="s">
        <v>42</v>
      </c>
      <c r="E105" s="2" t="s">
        <v>17</v>
      </c>
      <c r="F105" s="4">
        <v>1</v>
      </c>
      <c r="G105" s="5">
        <v>90</v>
      </c>
      <c r="H105" s="5">
        <v>40</v>
      </c>
      <c r="I105" s="5">
        <v>50</v>
      </c>
      <c r="J105" s="2" t="s">
        <v>22</v>
      </c>
      <c r="K105" s="2" t="s">
        <v>31</v>
      </c>
      <c r="L105" s="6">
        <v>55.6</v>
      </c>
      <c r="M105" s="2" t="s">
        <v>223</v>
      </c>
      <c r="N105" s="7">
        <f>IF(B105="","",YEAR(B105))</f>
        <v>2026</v>
      </c>
      <c r="O105" s="7" t="str">
        <f>IF(B105="","","Q"&amp;ROUNDUP(MONTH(B105)/3,0))</f>
        <v>Q1</v>
      </c>
      <c r="P105" s="7" t="str">
        <f>IF(B105="","",TEXT(B105,"mmmm"))</f>
        <v>February</v>
      </c>
      <c r="Q105" s="7" t="str">
        <f>IF(B105="","",TEXT(B105,"yyyy-mm"))</f>
        <v>2026-02</v>
      </c>
      <c r="R105" s="8">
        <f>IFERROR(G105/F105,"")</f>
        <v>90</v>
      </c>
      <c r="S105" s="9">
        <f>IFERROR(I105/G105,"")</f>
        <v>0.55555555555555558</v>
      </c>
      <c r="T105" s="7" t="s">
        <v>459</v>
      </c>
      <c r="U105" s="7"/>
    </row>
    <row r="106" spans="1:21">
      <c r="A106" s="2" t="s">
        <v>237</v>
      </c>
      <c r="B106" s="3">
        <v>46058</v>
      </c>
      <c r="C106" s="2" t="s">
        <v>27</v>
      </c>
      <c r="D106" s="2" t="s">
        <v>42</v>
      </c>
      <c r="E106" s="2" t="s">
        <v>36</v>
      </c>
      <c r="F106" s="4">
        <v>2</v>
      </c>
      <c r="G106" s="5">
        <v>440</v>
      </c>
      <c r="H106" s="5">
        <v>360</v>
      </c>
      <c r="I106" s="5">
        <v>80</v>
      </c>
      <c r="J106" s="2" t="s">
        <v>460</v>
      </c>
      <c r="K106" s="2" t="s">
        <v>458</v>
      </c>
      <c r="L106" s="6">
        <v>18.2</v>
      </c>
      <c r="M106" s="2" t="s">
        <v>223</v>
      </c>
      <c r="N106" s="7">
        <f>IF(B106="","",YEAR(B106))</f>
        <v>2026</v>
      </c>
      <c r="O106" s="7" t="str">
        <f>IF(B106="","","Q"&amp;ROUNDUP(MONTH(B106)/3,0))</f>
        <v>Q1</v>
      </c>
      <c r="P106" s="7" t="str">
        <f>IF(B106="","",TEXT(B106,"mmmm"))</f>
        <v>February</v>
      </c>
      <c r="Q106" s="7" t="str">
        <f>IF(B106="","",TEXT(B106,"yyyy-mm"))</f>
        <v>2026-02</v>
      </c>
      <c r="R106" s="8">
        <f>IFERROR(G106/F106,"")</f>
        <v>220</v>
      </c>
      <c r="S106" s="9">
        <f>IFERROR(I106/G106,"")</f>
        <v>0.18181818181818182</v>
      </c>
      <c r="T106" s="7" t="s">
        <v>459</v>
      </c>
      <c r="U106" s="7"/>
    </row>
    <row r="107" spans="1:21">
      <c r="A107" s="2" t="s">
        <v>239</v>
      </c>
      <c r="B107" s="3">
        <v>46058</v>
      </c>
      <c r="C107" s="2" t="s">
        <v>15</v>
      </c>
      <c r="D107" s="2" t="s">
        <v>42</v>
      </c>
      <c r="E107" s="2" t="s">
        <v>36</v>
      </c>
      <c r="F107" s="4">
        <v>3</v>
      </c>
      <c r="G107" s="5">
        <v>594</v>
      </c>
      <c r="H107" s="5">
        <v>540</v>
      </c>
      <c r="I107" s="5">
        <v>54</v>
      </c>
      <c r="J107" s="2" t="s">
        <v>460</v>
      </c>
      <c r="K107" s="2" t="s">
        <v>31</v>
      </c>
      <c r="L107" s="6">
        <v>9.1</v>
      </c>
      <c r="M107" s="2" t="s">
        <v>223</v>
      </c>
      <c r="N107" s="7">
        <f>IF(B107="","",YEAR(B107))</f>
        <v>2026</v>
      </c>
      <c r="O107" s="7" t="str">
        <f>IF(B107="","","Q"&amp;ROUNDUP(MONTH(B107)/3,0))</f>
        <v>Q1</v>
      </c>
      <c r="P107" s="7" t="str">
        <f>IF(B107="","",TEXT(B107,"mmmm"))</f>
        <v>February</v>
      </c>
      <c r="Q107" s="7" t="str">
        <f>IF(B107="","",TEXT(B107,"yyyy-mm"))</f>
        <v>2026-02</v>
      </c>
      <c r="R107" s="8">
        <f>IFERROR(G107/F107,"")</f>
        <v>198</v>
      </c>
      <c r="S107" s="9">
        <f>IFERROR(I107/G107,"")</f>
        <v>9.0909090909090912E-2</v>
      </c>
      <c r="T107" s="7" t="s">
        <v>459</v>
      </c>
      <c r="U107" s="7"/>
    </row>
    <row r="108" spans="1:21">
      <c r="A108" s="2" t="s">
        <v>242</v>
      </c>
      <c r="B108" s="3">
        <v>46059</v>
      </c>
      <c r="C108" s="2" t="s">
        <v>15</v>
      </c>
      <c r="D108" s="2" t="s">
        <v>16</v>
      </c>
      <c r="E108" s="2" t="s">
        <v>86</v>
      </c>
      <c r="F108" s="4">
        <v>1</v>
      </c>
      <c r="G108" s="5">
        <v>140</v>
      </c>
      <c r="H108" s="5">
        <v>80</v>
      </c>
      <c r="I108" s="5">
        <v>60</v>
      </c>
      <c r="J108" s="2" t="s">
        <v>22</v>
      </c>
      <c r="K108" s="2" t="s">
        <v>458</v>
      </c>
      <c r="L108" s="6">
        <v>42.9</v>
      </c>
      <c r="M108" s="2" t="s">
        <v>223</v>
      </c>
      <c r="N108" s="7">
        <f>IF(B108="","",YEAR(B108))</f>
        <v>2026</v>
      </c>
      <c r="O108" s="7" t="str">
        <f>IF(B108="","","Q"&amp;ROUNDUP(MONTH(B108)/3,0))</f>
        <v>Q1</v>
      </c>
      <c r="P108" s="7" t="str">
        <f>IF(B108="","",TEXT(B108,"mmmm"))</f>
        <v>February</v>
      </c>
      <c r="Q108" s="7" t="str">
        <f>IF(B108="","",TEXT(B108,"yyyy-mm"))</f>
        <v>2026-02</v>
      </c>
      <c r="R108" s="8">
        <f>IFERROR(G108/F108,"")</f>
        <v>140</v>
      </c>
      <c r="S108" s="9">
        <f>IFERROR(I108/G108,"")</f>
        <v>0.42857142857142855</v>
      </c>
      <c r="T108" s="7" t="s">
        <v>459</v>
      </c>
      <c r="U108" s="7"/>
    </row>
    <row r="109" spans="1:21">
      <c r="A109" s="2" t="s">
        <v>244</v>
      </c>
      <c r="B109" s="3">
        <v>46059</v>
      </c>
      <c r="C109" s="2" t="s">
        <v>27</v>
      </c>
      <c r="D109" s="2" t="s">
        <v>16</v>
      </c>
      <c r="E109" s="2" t="s">
        <v>56</v>
      </c>
      <c r="F109" s="4">
        <v>2</v>
      </c>
      <c r="G109" s="5">
        <v>396</v>
      </c>
      <c r="H109" s="5">
        <v>230</v>
      </c>
      <c r="I109" s="5">
        <v>166</v>
      </c>
      <c r="J109" s="2" t="s">
        <v>460</v>
      </c>
      <c r="K109" s="2" t="s">
        <v>458</v>
      </c>
      <c r="L109" s="6">
        <v>41.9</v>
      </c>
      <c r="M109" s="2" t="s">
        <v>223</v>
      </c>
      <c r="N109" s="7">
        <f>IF(B109="","",YEAR(B109))</f>
        <v>2026</v>
      </c>
      <c r="O109" s="7" t="str">
        <f>IF(B109="","","Q"&amp;ROUNDUP(MONTH(B109)/3,0))</f>
        <v>Q1</v>
      </c>
      <c r="P109" s="7" t="str">
        <f>IF(B109="","",TEXT(B109,"mmmm"))</f>
        <v>February</v>
      </c>
      <c r="Q109" s="7" t="str">
        <f>IF(B109="","",TEXT(B109,"yyyy-mm"))</f>
        <v>2026-02</v>
      </c>
      <c r="R109" s="8">
        <f>IFERROR(G109/F109,"")</f>
        <v>198</v>
      </c>
      <c r="S109" s="9">
        <f>IFERROR(I109/G109,"")</f>
        <v>0.41919191919191917</v>
      </c>
      <c r="T109" s="7" t="s">
        <v>459</v>
      </c>
      <c r="U109" s="7"/>
    </row>
    <row r="110" spans="1:21">
      <c r="A110" s="2" t="s">
        <v>245</v>
      </c>
      <c r="B110" s="3">
        <v>46060</v>
      </c>
      <c r="C110" s="2" t="s">
        <v>15</v>
      </c>
      <c r="D110" s="2" t="s">
        <v>53</v>
      </c>
      <c r="E110" s="2" t="s">
        <v>17</v>
      </c>
      <c r="F110" s="4">
        <v>1</v>
      </c>
      <c r="G110" s="5">
        <v>90</v>
      </c>
      <c r="H110" s="5">
        <v>40</v>
      </c>
      <c r="I110" s="5">
        <v>50</v>
      </c>
      <c r="J110" s="2" t="s">
        <v>460</v>
      </c>
      <c r="K110" s="2" t="s">
        <v>31</v>
      </c>
      <c r="L110" s="6">
        <v>55.6</v>
      </c>
      <c r="M110" s="2" t="s">
        <v>223</v>
      </c>
      <c r="N110" s="7">
        <f>IF(B110="","",YEAR(B110))</f>
        <v>2026</v>
      </c>
      <c r="O110" s="7" t="str">
        <f>IF(B110="","","Q"&amp;ROUNDUP(MONTH(B110)/3,0))</f>
        <v>Q1</v>
      </c>
      <c r="P110" s="7" t="str">
        <f>IF(B110="","",TEXT(B110,"mmmm"))</f>
        <v>February</v>
      </c>
      <c r="Q110" s="7" t="str">
        <f>IF(B110="","",TEXT(B110,"yyyy-mm"))</f>
        <v>2026-02</v>
      </c>
      <c r="R110" s="8">
        <f>IFERROR(G110/F110,"")</f>
        <v>90</v>
      </c>
      <c r="S110" s="9">
        <f>IFERROR(I110/G110,"")</f>
        <v>0.55555555555555558</v>
      </c>
      <c r="T110" s="7" t="s">
        <v>459</v>
      </c>
      <c r="U110" s="7"/>
    </row>
    <row r="111" spans="1:21">
      <c r="A111" s="2" t="s">
        <v>247</v>
      </c>
      <c r="B111" s="3">
        <v>46060</v>
      </c>
      <c r="C111" s="2" t="s">
        <v>49</v>
      </c>
      <c r="D111" s="2" t="s">
        <v>42</v>
      </c>
      <c r="E111" s="2" t="s">
        <v>86</v>
      </c>
      <c r="F111" s="4">
        <v>1</v>
      </c>
      <c r="G111" s="5">
        <v>126</v>
      </c>
      <c r="H111" s="5">
        <v>80</v>
      </c>
      <c r="I111" s="5">
        <v>46</v>
      </c>
      <c r="J111" s="2" t="s">
        <v>460</v>
      </c>
      <c r="K111" s="2" t="s">
        <v>31</v>
      </c>
      <c r="L111" s="6">
        <v>36.5</v>
      </c>
      <c r="M111" s="2" t="s">
        <v>223</v>
      </c>
      <c r="N111" s="7">
        <f>IF(B111="","",YEAR(B111))</f>
        <v>2026</v>
      </c>
      <c r="O111" s="7" t="str">
        <f>IF(B111="","","Q"&amp;ROUNDUP(MONTH(B111)/3,0))</f>
        <v>Q1</v>
      </c>
      <c r="P111" s="7" t="str">
        <f>IF(B111="","",TEXT(B111,"mmmm"))</f>
        <v>February</v>
      </c>
      <c r="Q111" s="7" t="str">
        <f>IF(B111="","",TEXT(B111,"yyyy-mm"))</f>
        <v>2026-02</v>
      </c>
      <c r="R111" s="8">
        <f>IFERROR(G111/F111,"")</f>
        <v>126</v>
      </c>
      <c r="S111" s="9">
        <f>IFERROR(I111/G111,"")</f>
        <v>0.36507936507936506</v>
      </c>
      <c r="T111" s="7" t="s">
        <v>459</v>
      </c>
      <c r="U111" s="7"/>
    </row>
    <row r="112" spans="1:21">
      <c r="A112" s="2" t="s">
        <v>250</v>
      </c>
      <c r="B112" s="3">
        <v>46061</v>
      </c>
      <c r="C112" s="2" t="s">
        <v>34</v>
      </c>
      <c r="D112" s="2" t="s">
        <v>16</v>
      </c>
      <c r="E112" s="2" t="s">
        <v>86</v>
      </c>
      <c r="F112" s="4">
        <v>1</v>
      </c>
      <c r="G112" s="5">
        <v>140</v>
      </c>
      <c r="H112" s="5">
        <v>80</v>
      </c>
      <c r="I112" s="5">
        <v>60</v>
      </c>
      <c r="J112" s="2" t="s">
        <v>460</v>
      </c>
      <c r="K112" s="2" t="s">
        <v>458</v>
      </c>
      <c r="L112" s="6">
        <v>42.9</v>
      </c>
      <c r="M112" s="2" t="s">
        <v>223</v>
      </c>
      <c r="N112" s="7">
        <f>IF(B112="","",YEAR(B112))</f>
        <v>2026</v>
      </c>
      <c r="O112" s="7" t="str">
        <f>IF(B112="","","Q"&amp;ROUNDUP(MONTH(B112)/3,0))</f>
        <v>Q1</v>
      </c>
      <c r="P112" s="7" t="str">
        <f>IF(B112="","",TEXT(B112,"mmmm"))</f>
        <v>February</v>
      </c>
      <c r="Q112" s="7" t="str">
        <f>IF(B112="","",TEXT(B112,"yyyy-mm"))</f>
        <v>2026-02</v>
      </c>
      <c r="R112" s="8">
        <f>IFERROR(G112/F112,"")</f>
        <v>140</v>
      </c>
      <c r="S112" s="9">
        <f>IFERROR(I112/G112,"")</f>
        <v>0.42857142857142855</v>
      </c>
      <c r="T112" s="7" t="s">
        <v>459</v>
      </c>
      <c r="U112" s="7"/>
    </row>
    <row r="113" spans="1:21">
      <c r="A113" s="2" t="s">
        <v>252</v>
      </c>
      <c r="B113" s="3">
        <v>46061</v>
      </c>
      <c r="C113" s="2" t="s">
        <v>49</v>
      </c>
      <c r="D113" s="2" t="s">
        <v>53</v>
      </c>
      <c r="E113" s="2" t="s">
        <v>17</v>
      </c>
      <c r="F113" s="4">
        <v>2</v>
      </c>
      <c r="G113" s="5">
        <v>180</v>
      </c>
      <c r="H113" s="5">
        <v>80</v>
      </c>
      <c r="I113" s="5">
        <v>100</v>
      </c>
      <c r="J113" s="2" t="s">
        <v>460</v>
      </c>
      <c r="K113" s="2" t="s">
        <v>458</v>
      </c>
      <c r="L113" s="6">
        <v>55.6</v>
      </c>
      <c r="M113" s="2" t="s">
        <v>223</v>
      </c>
      <c r="N113" s="7">
        <f>IF(B113="","",YEAR(B113))</f>
        <v>2026</v>
      </c>
      <c r="O113" s="7" t="str">
        <f>IF(B113="","","Q"&amp;ROUNDUP(MONTH(B113)/3,0))</f>
        <v>Q1</v>
      </c>
      <c r="P113" s="7" t="str">
        <f>IF(B113="","",TEXT(B113,"mmmm"))</f>
        <v>February</v>
      </c>
      <c r="Q113" s="7" t="str">
        <f>IF(B113="","",TEXT(B113,"yyyy-mm"))</f>
        <v>2026-02</v>
      </c>
      <c r="R113" s="8">
        <f>IFERROR(G113/F113,"")</f>
        <v>90</v>
      </c>
      <c r="S113" s="9">
        <f>IFERROR(I113/G113,"")</f>
        <v>0.55555555555555558</v>
      </c>
      <c r="T113" s="7" t="s">
        <v>459</v>
      </c>
      <c r="U113" s="7"/>
    </row>
    <row r="114" spans="1:21">
      <c r="A114" s="2" t="s">
        <v>253</v>
      </c>
      <c r="B114" s="3">
        <v>46061</v>
      </c>
      <c r="C114" s="2" t="s">
        <v>15</v>
      </c>
      <c r="D114" s="2" t="s">
        <v>42</v>
      </c>
      <c r="E114" s="2" t="s">
        <v>36</v>
      </c>
      <c r="F114" s="4">
        <v>1</v>
      </c>
      <c r="G114" s="5">
        <v>220</v>
      </c>
      <c r="H114" s="5">
        <v>180</v>
      </c>
      <c r="I114" s="5">
        <v>40</v>
      </c>
      <c r="J114" s="2" t="s">
        <v>22</v>
      </c>
      <c r="K114" s="2" t="s">
        <v>458</v>
      </c>
      <c r="L114" s="6">
        <v>18.2</v>
      </c>
      <c r="M114" s="2" t="s">
        <v>223</v>
      </c>
      <c r="N114" s="7">
        <f>IF(B114="","",YEAR(B114))</f>
        <v>2026</v>
      </c>
      <c r="O114" s="7" t="str">
        <f>IF(B114="","","Q"&amp;ROUNDUP(MONTH(B114)/3,0))</f>
        <v>Q1</v>
      </c>
      <c r="P114" s="7" t="str">
        <f>IF(B114="","",TEXT(B114,"mmmm"))</f>
        <v>February</v>
      </c>
      <c r="Q114" s="7" t="str">
        <f>IF(B114="","",TEXT(B114,"yyyy-mm"))</f>
        <v>2026-02</v>
      </c>
      <c r="R114" s="8">
        <f>IFERROR(G114/F114,"")</f>
        <v>220</v>
      </c>
      <c r="S114" s="9">
        <f>IFERROR(I114/G114,"")</f>
        <v>0.18181818181818182</v>
      </c>
      <c r="T114" s="7" t="s">
        <v>459</v>
      </c>
      <c r="U114" s="7"/>
    </row>
    <row r="115" spans="1:21">
      <c r="A115" s="2" t="s">
        <v>254</v>
      </c>
      <c r="B115" s="3">
        <v>46062</v>
      </c>
      <c r="C115" s="2" t="s">
        <v>27</v>
      </c>
      <c r="D115" s="2" t="s">
        <v>42</v>
      </c>
      <c r="E115" s="2" t="s">
        <v>36</v>
      </c>
      <c r="F115" s="4">
        <v>1</v>
      </c>
      <c r="G115" s="5">
        <v>220</v>
      </c>
      <c r="H115" s="5">
        <v>180</v>
      </c>
      <c r="I115" s="5">
        <v>40</v>
      </c>
      <c r="J115" s="2" t="s">
        <v>460</v>
      </c>
      <c r="K115" s="2" t="s">
        <v>31</v>
      </c>
      <c r="L115" s="6">
        <v>18.2</v>
      </c>
      <c r="M115" s="2" t="s">
        <v>223</v>
      </c>
      <c r="N115" s="7">
        <f>IF(B115="","",YEAR(B115))</f>
        <v>2026</v>
      </c>
      <c r="O115" s="7" t="str">
        <f>IF(B115="","","Q"&amp;ROUNDUP(MONTH(B115)/3,0))</f>
        <v>Q1</v>
      </c>
      <c r="P115" s="7" t="str">
        <f>IF(B115="","",TEXT(B115,"mmmm"))</f>
        <v>February</v>
      </c>
      <c r="Q115" s="7" t="str">
        <f>IF(B115="","",TEXT(B115,"yyyy-mm"))</f>
        <v>2026-02</v>
      </c>
      <c r="R115" s="8">
        <f>IFERROR(G115/F115,"")</f>
        <v>220</v>
      </c>
      <c r="S115" s="9">
        <f>IFERROR(I115/G115,"")</f>
        <v>0.18181818181818182</v>
      </c>
      <c r="T115" s="7" t="s">
        <v>459</v>
      </c>
      <c r="U115" s="7"/>
    </row>
    <row r="116" spans="1:21">
      <c r="A116" s="2" t="s">
        <v>256</v>
      </c>
      <c r="B116" s="3">
        <v>46063</v>
      </c>
      <c r="C116" s="2" t="s">
        <v>27</v>
      </c>
      <c r="D116" s="2" t="s">
        <v>16</v>
      </c>
      <c r="E116" s="2" t="s">
        <v>36</v>
      </c>
      <c r="F116" s="4">
        <v>1</v>
      </c>
      <c r="G116" s="5">
        <v>220</v>
      </c>
      <c r="H116" s="5">
        <v>180</v>
      </c>
      <c r="I116" s="5">
        <v>40</v>
      </c>
      <c r="J116" s="2" t="s">
        <v>62</v>
      </c>
      <c r="K116" s="2" t="s">
        <v>31</v>
      </c>
      <c r="L116" s="6">
        <v>18.2</v>
      </c>
      <c r="M116" s="2" t="s">
        <v>223</v>
      </c>
      <c r="N116" s="7">
        <f>IF(B116="","",YEAR(B116))</f>
        <v>2026</v>
      </c>
      <c r="O116" s="7" t="str">
        <f>IF(B116="","","Q"&amp;ROUNDUP(MONTH(B116)/3,0))</f>
        <v>Q1</v>
      </c>
      <c r="P116" s="7" t="str">
        <f>IF(B116="","",TEXT(B116,"mmmm"))</f>
        <v>February</v>
      </c>
      <c r="Q116" s="7" t="str">
        <f>IF(B116="","",TEXT(B116,"yyyy-mm"))</f>
        <v>2026-02</v>
      </c>
      <c r="R116" s="8">
        <f>IFERROR(G116/F116,"")</f>
        <v>220</v>
      </c>
      <c r="S116" s="9">
        <f>IFERROR(I116/G116,"")</f>
        <v>0.18181818181818182</v>
      </c>
      <c r="T116" s="7" t="s">
        <v>459</v>
      </c>
      <c r="U116" s="7"/>
    </row>
    <row r="117" spans="1:21">
      <c r="A117" s="2" t="s">
        <v>258</v>
      </c>
      <c r="B117" s="3">
        <v>46063</v>
      </c>
      <c r="C117" s="2" t="s">
        <v>27</v>
      </c>
      <c r="D117" s="2" t="s">
        <v>16</v>
      </c>
      <c r="E117" s="2" t="s">
        <v>86</v>
      </c>
      <c r="F117" s="4">
        <v>2</v>
      </c>
      <c r="G117" s="5">
        <v>280</v>
      </c>
      <c r="H117" s="5">
        <v>160</v>
      </c>
      <c r="I117" s="5">
        <v>120</v>
      </c>
      <c r="J117" s="2" t="s">
        <v>460</v>
      </c>
      <c r="K117" s="2" t="s">
        <v>31</v>
      </c>
      <c r="L117" s="6">
        <v>42.9</v>
      </c>
      <c r="M117" s="2" t="s">
        <v>223</v>
      </c>
      <c r="N117" s="7">
        <f>IF(B117="","",YEAR(B117))</f>
        <v>2026</v>
      </c>
      <c r="O117" s="7" t="str">
        <f>IF(B117="","","Q"&amp;ROUNDUP(MONTH(B117)/3,0))</f>
        <v>Q1</v>
      </c>
      <c r="P117" s="7" t="str">
        <f>IF(B117="","",TEXT(B117,"mmmm"))</f>
        <v>February</v>
      </c>
      <c r="Q117" s="7" t="str">
        <f>IF(B117="","",TEXT(B117,"yyyy-mm"))</f>
        <v>2026-02</v>
      </c>
      <c r="R117" s="8">
        <f>IFERROR(G117/F117,"")</f>
        <v>140</v>
      </c>
      <c r="S117" s="9">
        <f>IFERROR(I117/G117,"")</f>
        <v>0.42857142857142855</v>
      </c>
      <c r="T117" s="7" t="s">
        <v>459</v>
      </c>
      <c r="U117" s="7"/>
    </row>
    <row r="118" spans="1:21">
      <c r="A118" s="2" t="s">
        <v>259</v>
      </c>
      <c r="B118" s="3">
        <v>46063</v>
      </c>
      <c r="C118" s="2" t="s">
        <v>34</v>
      </c>
      <c r="D118" s="2" t="s">
        <v>42</v>
      </c>
      <c r="E118" s="2" t="s">
        <v>17</v>
      </c>
      <c r="F118" s="4">
        <v>2</v>
      </c>
      <c r="G118" s="5">
        <v>180</v>
      </c>
      <c r="H118" s="5">
        <v>80</v>
      </c>
      <c r="I118" s="5">
        <v>100</v>
      </c>
      <c r="J118" s="2" t="s">
        <v>460</v>
      </c>
      <c r="K118" s="2" t="s">
        <v>458</v>
      </c>
      <c r="L118" s="6">
        <v>55.6</v>
      </c>
      <c r="M118" s="2" t="s">
        <v>223</v>
      </c>
      <c r="N118" s="7">
        <f>IF(B118="","",YEAR(B118))</f>
        <v>2026</v>
      </c>
      <c r="O118" s="7" t="str">
        <f>IF(B118="","","Q"&amp;ROUNDUP(MONTH(B118)/3,0))</f>
        <v>Q1</v>
      </c>
      <c r="P118" s="7" t="str">
        <f>IF(B118="","",TEXT(B118,"mmmm"))</f>
        <v>February</v>
      </c>
      <c r="Q118" s="7" t="str">
        <f>IF(B118="","",TEXT(B118,"yyyy-mm"))</f>
        <v>2026-02</v>
      </c>
      <c r="R118" s="8">
        <f>IFERROR(G118/F118,"")</f>
        <v>90</v>
      </c>
      <c r="S118" s="9">
        <f>IFERROR(I118/G118,"")</f>
        <v>0.55555555555555558</v>
      </c>
      <c r="T118" s="7" t="s">
        <v>459</v>
      </c>
      <c r="U118" s="7"/>
    </row>
    <row r="119" spans="1:21">
      <c r="A119" s="2" t="s">
        <v>260</v>
      </c>
      <c r="B119" s="3">
        <v>46065</v>
      </c>
      <c r="C119" s="2" t="s">
        <v>49</v>
      </c>
      <c r="D119" s="2" t="s">
        <v>16</v>
      </c>
      <c r="E119" s="2" t="s">
        <v>17</v>
      </c>
      <c r="F119" s="4">
        <v>2</v>
      </c>
      <c r="G119" s="5">
        <v>180</v>
      </c>
      <c r="H119" s="5">
        <v>80</v>
      </c>
      <c r="I119" s="5">
        <v>100</v>
      </c>
      <c r="J119" s="2" t="s">
        <v>62</v>
      </c>
      <c r="K119" s="2" t="s">
        <v>458</v>
      </c>
      <c r="L119" s="6">
        <v>55.6</v>
      </c>
      <c r="M119" s="2" t="s">
        <v>223</v>
      </c>
      <c r="N119" s="7">
        <f>IF(B119="","",YEAR(B119))</f>
        <v>2026</v>
      </c>
      <c r="O119" s="7" t="str">
        <f>IF(B119="","","Q"&amp;ROUNDUP(MONTH(B119)/3,0))</f>
        <v>Q1</v>
      </c>
      <c r="P119" s="7" t="str">
        <f>IF(B119="","",TEXT(B119,"mmmm"))</f>
        <v>February</v>
      </c>
      <c r="Q119" s="7" t="str">
        <f>IF(B119="","",TEXT(B119,"yyyy-mm"))</f>
        <v>2026-02</v>
      </c>
      <c r="R119" s="8">
        <f>IFERROR(G119/F119,"")</f>
        <v>90</v>
      </c>
      <c r="S119" s="9">
        <f>IFERROR(I119/G119,"")</f>
        <v>0.55555555555555558</v>
      </c>
      <c r="T119" s="7" t="s">
        <v>459</v>
      </c>
      <c r="U119" s="7"/>
    </row>
    <row r="120" spans="1:21">
      <c r="A120" s="2" t="s">
        <v>262</v>
      </c>
      <c r="B120" s="3">
        <v>46066</v>
      </c>
      <c r="C120" s="2" t="s">
        <v>34</v>
      </c>
      <c r="D120" s="2" t="s">
        <v>53</v>
      </c>
      <c r="E120" s="2" t="s">
        <v>56</v>
      </c>
      <c r="F120" s="4">
        <v>2</v>
      </c>
      <c r="G120" s="5">
        <v>396</v>
      </c>
      <c r="H120" s="5">
        <v>230</v>
      </c>
      <c r="I120" s="5">
        <v>166</v>
      </c>
      <c r="J120" s="2" t="s">
        <v>22</v>
      </c>
      <c r="K120" s="2" t="s">
        <v>458</v>
      </c>
      <c r="L120" s="6">
        <v>41.9</v>
      </c>
      <c r="M120" s="2" t="s">
        <v>223</v>
      </c>
      <c r="N120" s="7">
        <f>IF(B120="","",YEAR(B120))</f>
        <v>2026</v>
      </c>
      <c r="O120" s="7" t="str">
        <f>IF(B120="","","Q"&amp;ROUNDUP(MONTH(B120)/3,0))</f>
        <v>Q1</v>
      </c>
      <c r="P120" s="7" t="str">
        <f>IF(B120="","",TEXT(B120,"mmmm"))</f>
        <v>February</v>
      </c>
      <c r="Q120" s="7" t="str">
        <f>IF(B120="","",TEXT(B120,"yyyy-mm"))</f>
        <v>2026-02</v>
      </c>
      <c r="R120" s="8">
        <f>IFERROR(G120/F120,"")</f>
        <v>198</v>
      </c>
      <c r="S120" s="9">
        <f>IFERROR(I120/G120,"")</f>
        <v>0.41919191919191917</v>
      </c>
      <c r="T120" s="7" t="s">
        <v>459</v>
      </c>
      <c r="U120" s="7"/>
    </row>
    <row r="121" spans="1:21">
      <c r="A121" s="2" t="s">
        <v>264</v>
      </c>
      <c r="B121" s="3">
        <v>46066</v>
      </c>
      <c r="C121" s="2" t="s">
        <v>34</v>
      </c>
      <c r="D121" s="2" t="s">
        <v>42</v>
      </c>
      <c r="E121" s="2" t="s">
        <v>86</v>
      </c>
      <c r="F121" s="4">
        <v>1</v>
      </c>
      <c r="G121" s="5">
        <v>154</v>
      </c>
      <c r="H121" s="5">
        <v>80</v>
      </c>
      <c r="I121" s="5">
        <v>74</v>
      </c>
      <c r="J121" s="2" t="s">
        <v>460</v>
      </c>
      <c r="K121" s="2" t="s">
        <v>458</v>
      </c>
      <c r="L121" s="6">
        <v>48.1</v>
      </c>
      <c r="M121" s="2" t="s">
        <v>223</v>
      </c>
      <c r="N121" s="7">
        <f>IF(B121="","",YEAR(B121))</f>
        <v>2026</v>
      </c>
      <c r="O121" s="7" t="str">
        <f>IF(B121="","","Q"&amp;ROUNDUP(MONTH(B121)/3,0))</f>
        <v>Q1</v>
      </c>
      <c r="P121" s="7" t="str">
        <f>IF(B121="","",TEXT(B121,"mmmm"))</f>
        <v>February</v>
      </c>
      <c r="Q121" s="7" t="str">
        <f>IF(B121="","",TEXT(B121,"yyyy-mm"))</f>
        <v>2026-02</v>
      </c>
      <c r="R121" s="8">
        <f>IFERROR(G121/F121,"")</f>
        <v>154</v>
      </c>
      <c r="S121" s="9">
        <f>IFERROR(I121/G121,"")</f>
        <v>0.48051948051948051</v>
      </c>
      <c r="T121" s="7" t="s">
        <v>459</v>
      </c>
      <c r="U121" s="7"/>
    </row>
    <row r="122" spans="1:21">
      <c r="A122" s="2" t="s">
        <v>265</v>
      </c>
      <c r="B122" s="3">
        <v>46067</v>
      </c>
      <c r="C122" s="2" t="s">
        <v>49</v>
      </c>
      <c r="D122" s="2" t="s">
        <v>16</v>
      </c>
      <c r="E122" s="2" t="s">
        <v>86</v>
      </c>
      <c r="F122" s="4">
        <v>1</v>
      </c>
      <c r="G122" s="5">
        <v>140</v>
      </c>
      <c r="H122" s="5">
        <v>80</v>
      </c>
      <c r="I122" s="5">
        <v>60</v>
      </c>
      <c r="J122" s="2" t="s">
        <v>460</v>
      </c>
      <c r="K122" s="2" t="s">
        <v>458</v>
      </c>
      <c r="L122" s="6">
        <v>42.9</v>
      </c>
      <c r="M122" s="2" t="s">
        <v>223</v>
      </c>
      <c r="N122" s="7">
        <f>IF(B122="","",YEAR(B122))</f>
        <v>2026</v>
      </c>
      <c r="O122" s="7" t="str">
        <f>IF(B122="","","Q"&amp;ROUNDUP(MONTH(B122)/3,0))</f>
        <v>Q1</v>
      </c>
      <c r="P122" s="7" t="str">
        <f>IF(B122="","",TEXT(B122,"mmmm"))</f>
        <v>February</v>
      </c>
      <c r="Q122" s="7" t="str">
        <f>IF(B122="","",TEXT(B122,"yyyy-mm"))</f>
        <v>2026-02</v>
      </c>
      <c r="R122" s="8">
        <f>IFERROR(G122/F122,"")</f>
        <v>140</v>
      </c>
      <c r="S122" s="9">
        <f>IFERROR(I122/G122,"")</f>
        <v>0.42857142857142855</v>
      </c>
      <c r="T122" s="7" t="s">
        <v>459</v>
      </c>
      <c r="U122" s="7"/>
    </row>
    <row r="123" spans="1:21">
      <c r="A123" s="2" t="s">
        <v>267</v>
      </c>
      <c r="B123" s="3">
        <v>46067</v>
      </c>
      <c r="C123" s="2" t="s">
        <v>49</v>
      </c>
      <c r="D123" s="2" t="s">
        <v>16</v>
      </c>
      <c r="E123" s="2" t="s">
        <v>36</v>
      </c>
      <c r="F123" s="4">
        <v>1</v>
      </c>
      <c r="G123" s="5">
        <v>220</v>
      </c>
      <c r="H123" s="5">
        <v>180</v>
      </c>
      <c r="I123" s="5">
        <v>40</v>
      </c>
      <c r="J123" s="2" t="s">
        <v>22</v>
      </c>
      <c r="K123" s="2" t="s">
        <v>458</v>
      </c>
      <c r="L123" s="6">
        <v>18.2</v>
      </c>
      <c r="M123" s="2" t="s">
        <v>223</v>
      </c>
      <c r="N123" s="7">
        <f>IF(B123="","",YEAR(B123))</f>
        <v>2026</v>
      </c>
      <c r="O123" s="7" t="str">
        <f>IF(B123="","","Q"&amp;ROUNDUP(MONTH(B123)/3,0))</f>
        <v>Q1</v>
      </c>
      <c r="P123" s="7" t="str">
        <f>IF(B123="","",TEXT(B123,"mmmm"))</f>
        <v>February</v>
      </c>
      <c r="Q123" s="7" t="str">
        <f>IF(B123="","",TEXT(B123,"yyyy-mm"))</f>
        <v>2026-02</v>
      </c>
      <c r="R123" s="8">
        <f>IFERROR(G123/F123,"")</f>
        <v>220</v>
      </c>
      <c r="S123" s="9">
        <f>IFERROR(I123/G123,"")</f>
        <v>0.18181818181818182</v>
      </c>
      <c r="T123" s="7" t="s">
        <v>459</v>
      </c>
      <c r="U123" s="7"/>
    </row>
    <row r="124" spans="1:21">
      <c r="A124" s="2" t="s">
        <v>268</v>
      </c>
      <c r="B124" s="3">
        <v>46068</v>
      </c>
      <c r="C124" s="2" t="s">
        <v>27</v>
      </c>
      <c r="D124" s="2" t="s">
        <v>16</v>
      </c>
      <c r="E124" s="2" t="s">
        <v>56</v>
      </c>
      <c r="F124" s="4">
        <v>3</v>
      </c>
      <c r="G124" s="5">
        <v>594</v>
      </c>
      <c r="H124" s="5">
        <v>345</v>
      </c>
      <c r="I124" s="5">
        <v>249</v>
      </c>
      <c r="J124" s="2" t="s">
        <v>22</v>
      </c>
      <c r="K124" s="2" t="s">
        <v>458</v>
      </c>
      <c r="L124" s="6">
        <v>41.9</v>
      </c>
      <c r="M124" s="2" t="s">
        <v>223</v>
      </c>
      <c r="N124" s="7">
        <f>IF(B124="","",YEAR(B124))</f>
        <v>2026</v>
      </c>
      <c r="O124" s="7" t="str">
        <f>IF(B124="","","Q"&amp;ROUNDUP(MONTH(B124)/3,0))</f>
        <v>Q1</v>
      </c>
      <c r="P124" s="7" t="str">
        <f>IF(B124="","",TEXT(B124,"mmmm"))</f>
        <v>February</v>
      </c>
      <c r="Q124" s="7" t="str">
        <f>IF(B124="","",TEXT(B124,"yyyy-mm"))</f>
        <v>2026-02</v>
      </c>
      <c r="R124" s="8">
        <f>IFERROR(G124/F124,"")</f>
        <v>198</v>
      </c>
      <c r="S124" s="9">
        <f>IFERROR(I124/G124,"")</f>
        <v>0.41919191919191917</v>
      </c>
      <c r="T124" s="7" t="s">
        <v>459</v>
      </c>
      <c r="U124" s="7"/>
    </row>
    <row r="125" spans="1:21">
      <c r="A125" s="2" t="s">
        <v>271</v>
      </c>
      <c r="B125" s="3">
        <v>46068</v>
      </c>
      <c r="C125" s="2" t="s">
        <v>34</v>
      </c>
      <c r="D125" s="2" t="s">
        <v>16</v>
      </c>
      <c r="E125" s="2" t="s">
        <v>36</v>
      </c>
      <c r="F125" s="4">
        <v>1</v>
      </c>
      <c r="G125" s="5">
        <v>220</v>
      </c>
      <c r="H125" s="5">
        <v>180</v>
      </c>
      <c r="I125" s="5">
        <v>40</v>
      </c>
      <c r="J125" s="2" t="s">
        <v>460</v>
      </c>
      <c r="K125" s="2" t="s">
        <v>31</v>
      </c>
      <c r="L125" s="6">
        <v>18.2</v>
      </c>
      <c r="M125" s="2" t="s">
        <v>223</v>
      </c>
      <c r="N125" s="7">
        <f>IF(B125="","",YEAR(B125))</f>
        <v>2026</v>
      </c>
      <c r="O125" s="7" t="str">
        <f>IF(B125="","","Q"&amp;ROUNDUP(MONTH(B125)/3,0))</f>
        <v>Q1</v>
      </c>
      <c r="P125" s="7" t="str">
        <f>IF(B125="","",TEXT(B125,"mmmm"))</f>
        <v>February</v>
      </c>
      <c r="Q125" s="7" t="str">
        <f>IF(B125="","",TEXT(B125,"yyyy-mm"))</f>
        <v>2026-02</v>
      </c>
      <c r="R125" s="8">
        <f>IFERROR(G125/F125,"")</f>
        <v>220</v>
      </c>
      <c r="S125" s="9">
        <f>IFERROR(I125/G125,"")</f>
        <v>0.18181818181818182</v>
      </c>
      <c r="T125" s="7" t="s">
        <v>459</v>
      </c>
      <c r="U125" s="7"/>
    </row>
    <row r="126" spans="1:21">
      <c r="A126" s="2" t="s">
        <v>272</v>
      </c>
      <c r="B126" s="3">
        <v>46068</v>
      </c>
      <c r="C126" s="2" t="s">
        <v>34</v>
      </c>
      <c r="D126" s="2" t="s">
        <v>42</v>
      </c>
      <c r="E126" s="2" t="s">
        <v>43</v>
      </c>
      <c r="F126" s="4">
        <v>2</v>
      </c>
      <c r="G126" s="5">
        <v>600</v>
      </c>
      <c r="H126" s="5">
        <v>500</v>
      </c>
      <c r="I126" s="5">
        <v>100</v>
      </c>
      <c r="J126" s="2" t="s">
        <v>460</v>
      </c>
      <c r="K126" s="2" t="s">
        <v>31</v>
      </c>
      <c r="L126" s="6">
        <v>16.7</v>
      </c>
      <c r="M126" s="2" t="s">
        <v>223</v>
      </c>
      <c r="N126" s="7">
        <f>IF(B126="","",YEAR(B126))</f>
        <v>2026</v>
      </c>
      <c r="O126" s="7" t="str">
        <f>IF(B126="","","Q"&amp;ROUNDUP(MONTH(B126)/3,0))</f>
        <v>Q1</v>
      </c>
      <c r="P126" s="7" t="str">
        <f>IF(B126="","",TEXT(B126,"mmmm"))</f>
        <v>February</v>
      </c>
      <c r="Q126" s="7" t="str">
        <f>IF(B126="","",TEXT(B126,"yyyy-mm"))</f>
        <v>2026-02</v>
      </c>
      <c r="R126" s="8">
        <f>IFERROR(G126/F126,"")</f>
        <v>300</v>
      </c>
      <c r="S126" s="9">
        <f>IFERROR(I126/G126,"")</f>
        <v>0.16666666666666666</v>
      </c>
      <c r="T126" s="7" t="s">
        <v>459</v>
      </c>
      <c r="U126" s="7"/>
    </row>
    <row r="127" spans="1:21">
      <c r="A127" s="2" t="s">
        <v>273</v>
      </c>
      <c r="B127" s="3">
        <v>46068</v>
      </c>
      <c r="C127" s="2" t="s">
        <v>49</v>
      </c>
      <c r="D127" s="2" t="s">
        <v>53</v>
      </c>
      <c r="E127" s="2" t="s">
        <v>56</v>
      </c>
      <c r="F127" s="4">
        <v>2</v>
      </c>
      <c r="G127" s="5">
        <v>396</v>
      </c>
      <c r="H127" s="5">
        <v>230</v>
      </c>
      <c r="I127" s="5">
        <v>166</v>
      </c>
      <c r="J127" s="2" t="s">
        <v>460</v>
      </c>
      <c r="K127" s="2" t="s">
        <v>458</v>
      </c>
      <c r="L127" s="6">
        <v>41.9</v>
      </c>
      <c r="M127" s="2" t="s">
        <v>223</v>
      </c>
      <c r="N127" s="7">
        <f>IF(B127="","",YEAR(B127))</f>
        <v>2026</v>
      </c>
      <c r="O127" s="7" t="str">
        <f>IF(B127="","","Q"&amp;ROUNDUP(MONTH(B127)/3,0))</f>
        <v>Q1</v>
      </c>
      <c r="P127" s="7" t="str">
        <f>IF(B127="","",TEXT(B127,"mmmm"))</f>
        <v>February</v>
      </c>
      <c r="Q127" s="7" t="str">
        <f>IF(B127="","",TEXT(B127,"yyyy-mm"))</f>
        <v>2026-02</v>
      </c>
      <c r="R127" s="8">
        <f>IFERROR(G127/F127,"")</f>
        <v>198</v>
      </c>
      <c r="S127" s="9">
        <f>IFERROR(I127/G127,"")</f>
        <v>0.41919191919191917</v>
      </c>
      <c r="T127" s="7" t="s">
        <v>459</v>
      </c>
      <c r="U127" s="7"/>
    </row>
    <row r="128" spans="1:21">
      <c r="A128" s="2" t="s">
        <v>274</v>
      </c>
      <c r="B128" s="3">
        <v>46068</v>
      </c>
      <c r="C128" s="2" t="s">
        <v>49</v>
      </c>
      <c r="D128" s="2" t="s">
        <v>42</v>
      </c>
      <c r="E128" s="2" t="s">
        <v>17</v>
      </c>
      <c r="F128" s="4">
        <v>2</v>
      </c>
      <c r="G128" s="5">
        <v>180</v>
      </c>
      <c r="H128" s="5">
        <v>80</v>
      </c>
      <c r="I128" s="5">
        <v>100</v>
      </c>
      <c r="J128" s="2" t="s">
        <v>460</v>
      </c>
      <c r="K128" s="2" t="s">
        <v>458</v>
      </c>
      <c r="L128" s="6">
        <v>55.6</v>
      </c>
      <c r="M128" s="2" t="s">
        <v>223</v>
      </c>
      <c r="N128" s="7">
        <f>IF(B128="","",YEAR(B128))</f>
        <v>2026</v>
      </c>
      <c r="O128" s="7" t="str">
        <f>IF(B128="","","Q"&amp;ROUNDUP(MONTH(B128)/3,0))</f>
        <v>Q1</v>
      </c>
      <c r="P128" s="7" t="str">
        <f>IF(B128="","",TEXT(B128,"mmmm"))</f>
        <v>February</v>
      </c>
      <c r="Q128" s="7" t="str">
        <f>IF(B128="","",TEXT(B128,"yyyy-mm"))</f>
        <v>2026-02</v>
      </c>
      <c r="R128" s="8">
        <f>IFERROR(G128/F128,"")</f>
        <v>90</v>
      </c>
      <c r="S128" s="9">
        <f>IFERROR(I128/G128,"")</f>
        <v>0.55555555555555558</v>
      </c>
      <c r="T128" s="7" t="s">
        <v>459</v>
      </c>
      <c r="U128" s="7"/>
    </row>
    <row r="129" spans="1:21">
      <c r="A129" s="2" t="s">
        <v>275</v>
      </c>
      <c r="B129" s="3">
        <v>46069</v>
      </c>
      <c r="C129" s="2" t="s">
        <v>34</v>
      </c>
      <c r="D129" s="2" t="s">
        <v>16</v>
      </c>
      <c r="E129" s="2" t="s">
        <v>56</v>
      </c>
      <c r="F129" s="4">
        <v>1</v>
      </c>
      <c r="G129" s="5">
        <v>198</v>
      </c>
      <c r="H129" s="5">
        <v>115</v>
      </c>
      <c r="I129" s="5">
        <v>83</v>
      </c>
      <c r="J129" s="2" t="s">
        <v>460</v>
      </c>
      <c r="K129" s="2" t="s">
        <v>458</v>
      </c>
      <c r="L129" s="6">
        <v>41.9</v>
      </c>
      <c r="M129" s="2" t="s">
        <v>223</v>
      </c>
      <c r="N129" s="7">
        <f>IF(B129="","",YEAR(B129))</f>
        <v>2026</v>
      </c>
      <c r="O129" s="7" t="str">
        <f>IF(B129="","","Q"&amp;ROUNDUP(MONTH(B129)/3,0))</f>
        <v>Q1</v>
      </c>
      <c r="P129" s="7" t="str">
        <f>IF(B129="","",TEXT(B129,"mmmm"))</f>
        <v>February</v>
      </c>
      <c r="Q129" s="7" t="str">
        <f>IF(B129="","",TEXT(B129,"yyyy-mm"))</f>
        <v>2026-02</v>
      </c>
      <c r="R129" s="8">
        <f>IFERROR(G129/F129,"")</f>
        <v>198</v>
      </c>
      <c r="S129" s="9">
        <f>IFERROR(I129/G129,"")</f>
        <v>0.41919191919191917</v>
      </c>
      <c r="T129" s="7" t="s">
        <v>459</v>
      </c>
      <c r="U129" s="7"/>
    </row>
    <row r="130" spans="1:21">
      <c r="A130" s="2" t="s">
        <v>277</v>
      </c>
      <c r="B130" s="3">
        <v>46069</v>
      </c>
      <c r="C130" s="2" t="s">
        <v>15</v>
      </c>
      <c r="D130" s="2" t="s">
        <v>16</v>
      </c>
      <c r="E130" s="2" t="s">
        <v>36</v>
      </c>
      <c r="F130" s="4">
        <v>1</v>
      </c>
      <c r="G130" s="5">
        <v>220</v>
      </c>
      <c r="H130" s="5">
        <v>180</v>
      </c>
      <c r="I130" s="5">
        <v>40</v>
      </c>
      <c r="J130" s="2" t="s">
        <v>460</v>
      </c>
      <c r="K130" s="2" t="s">
        <v>31</v>
      </c>
      <c r="L130" s="6">
        <v>18.2</v>
      </c>
      <c r="M130" s="2" t="s">
        <v>223</v>
      </c>
      <c r="N130" s="7">
        <f>IF(B130="","",YEAR(B130))</f>
        <v>2026</v>
      </c>
      <c r="O130" s="7" t="str">
        <f>IF(B130="","","Q"&amp;ROUNDUP(MONTH(B130)/3,0))</f>
        <v>Q1</v>
      </c>
      <c r="P130" s="7" t="str">
        <f>IF(B130="","",TEXT(B130,"mmmm"))</f>
        <v>February</v>
      </c>
      <c r="Q130" s="7" t="str">
        <f>IF(B130="","",TEXT(B130,"yyyy-mm"))</f>
        <v>2026-02</v>
      </c>
      <c r="R130" s="8">
        <f>IFERROR(G130/F130,"")</f>
        <v>220</v>
      </c>
      <c r="S130" s="9">
        <f>IFERROR(I130/G130,"")</f>
        <v>0.18181818181818182</v>
      </c>
      <c r="T130" s="7" t="s">
        <v>459</v>
      </c>
      <c r="U130" s="7"/>
    </row>
    <row r="131" spans="1:21">
      <c r="A131" s="2" t="s">
        <v>278</v>
      </c>
      <c r="B131" s="3">
        <v>46069</v>
      </c>
      <c r="C131" s="2" t="s">
        <v>34</v>
      </c>
      <c r="D131" s="2" t="s">
        <v>16</v>
      </c>
      <c r="E131" s="2" t="s">
        <v>86</v>
      </c>
      <c r="F131" s="4">
        <v>1</v>
      </c>
      <c r="G131" s="5">
        <v>140</v>
      </c>
      <c r="H131" s="5">
        <v>80</v>
      </c>
      <c r="I131" s="5">
        <v>60</v>
      </c>
      <c r="J131" s="2" t="s">
        <v>460</v>
      </c>
      <c r="K131" s="2" t="s">
        <v>458</v>
      </c>
      <c r="L131" s="6">
        <v>42.9</v>
      </c>
      <c r="M131" s="2" t="s">
        <v>223</v>
      </c>
      <c r="N131" s="7">
        <f>IF(B131="","",YEAR(B131))</f>
        <v>2026</v>
      </c>
      <c r="O131" s="7" t="str">
        <f>IF(B131="","","Q"&amp;ROUNDUP(MONTH(B131)/3,0))</f>
        <v>Q1</v>
      </c>
      <c r="P131" s="7" t="str">
        <f>IF(B131="","",TEXT(B131,"mmmm"))</f>
        <v>February</v>
      </c>
      <c r="Q131" s="7" t="str">
        <f>IF(B131="","",TEXT(B131,"yyyy-mm"))</f>
        <v>2026-02</v>
      </c>
      <c r="R131" s="8">
        <f>IFERROR(G131/F131,"")</f>
        <v>140</v>
      </c>
      <c r="S131" s="9">
        <f>IFERROR(I131/G131,"")</f>
        <v>0.42857142857142855</v>
      </c>
      <c r="T131" s="7" t="s">
        <v>459</v>
      </c>
      <c r="U131" s="7"/>
    </row>
    <row r="132" spans="1:21">
      <c r="A132" s="2" t="s">
        <v>279</v>
      </c>
      <c r="B132" s="3">
        <v>46070</v>
      </c>
      <c r="C132" s="2" t="s">
        <v>27</v>
      </c>
      <c r="D132" s="2" t="s">
        <v>16</v>
      </c>
      <c r="E132" s="2" t="s">
        <v>36</v>
      </c>
      <c r="F132" s="4">
        <v>1</v>
      </c>
      <c r="G132" s="5">
        <v>220</v>
      </c>
      <c r="H132" s="5">
        <v>180</v>
      </c>
      <c r="I132" s="5">
        <v>40</v>
      </c>
      <c r="J132" s="2" t="s">
        <v>62</v>
      </c>
      <c r="K132" s="2" t="s">
        <v>31</v>
      </c>
      <c r="L132" s="6">
        <v>18.2</v>
      </c>
      <c r="M132" s="2" t="s">
        <v>223</v>
      </c>
      <c r="N132" s="7">
        <f>IF(B132="","",YEAR(B132))</f>
        <v>2026</v>
      </c>
      <c r="O132" s="7" t="str">
        <f>IF(B132="","","Q"&amp;ROUNDUP(MONTH(B132)/3,0))</f>
        <v>Q1</v>
      </c>
      <c r="P132" s="7" t="str">
        <f>IF(B132="","",TEXT(B132,"mmmm"))</f>
        <v>February</v>
      </c>
      <c r="Q132" s="7" t="str">
        <f>IF(B132="","",TEXT(B132,"yyyy-mm"))</f>
        <v>2026-02</v>
      </c>
      <c r="R132" s="8">
        <f>IFERROR(G132/F132,"")</f>
        <v>220</v>
      </c>
      <c r="S132" s="9">
        <f>IFERROR(I132/G132,"")</f>
        <v>0.18181818181818182</v>
      </c>
      <c r="T132" s="7" t="s">
        <v>459</v>
      </c>
      <c r="U132" s="7"/>
    </row>
    <row r="133" spans="1:21">
      <c r="A133" s="2" t="s">
        <v>281</v>
      </c>
      <c r="B133" s="3">
        <v>46070</v>
      </c>
      <c r="C133" s="2" t="s">
        <v>15</v>
      </c>
      <c r="D133" s="2" t="s">
        <v>16</v>
      </c>
      <c r="E133" s="2" t="s">
        <v>56</v>
      </c>
      <c r="F133" s="4">
        <v>1</v>
      </c>
      <c r="G133" s="5">
        <v>180</v>
      </c>
      <c r="H133" s="5">
        <v>115</v>
      </c>
      <c r="I133" s="5">
        <v>65</v>
      </c>
      <c r="J133" s="2" t="s">
        <v>460</v>
      </c>
      <c r="K133" s="2" t="s">
        <v>458</v>
      </c>
      <c r="L133" s="6">
        <v>36.1</v>
      </c>
      <c r="M133" s="2" t="s">
        <v>223</v>
      </c>
      <c r="N133" s="7">
        <f>IF(B133="","",YEAR(B133))</f>
        <v>2026</v>
      </c>
      <c r="O133" s="7" t="str">
        <f>IF(B133="","","Q"&amp;ROUNDUP(MONTH(B133)/3,0))</f>
        <v>Q1</v>
      </c>
      <c r="P133" s="7" t="str">
        <f>IF(B133="","",TEXT(B133,"mmmm"))</f>
        <v>February</v>
      </c>
      <c r="Q133" s="7" t="str">
        <f>IF(B133="","",TEXT(B133,"yyyy-mm"))</f>
        <v>2026-02</v>
      </c>
      <c r="R133" s="8">
        <f>IFERROR(G133/F133,"")</f>
        <v>180</v>
      </c>
      <c r="S133" s="9">
        <f>IFERROR(I133/G133,"")</f>
        <v>0.3611111111111111</v>
      </c>
      <c r="T133" s="7" t="s">
        <v>459</v>
      </c>
      <c r="U133" s="7"/>
    </row>
    <row r="134" spans="1:21">
      <c r="A134" s="2" t="s">
        <v>282</v>
      </c>
      <c r="B134" s="3">
        <v>46070</v>
      </c>
      <c r="C134" s="2" t="s">
        <v>49</v>
      </c>
      <c r="D134" s="2" t="s">
        <v>16</v>
      </c>
      <c r="E134" s="2" t="s">
        <v>43</v>
      </c>
      <c r="F134" s="4">
        <v>1</v>
      </c>
      <c r="G134" s="5">
        <v>270</v>
      </c>
      <c r="H134" s="5">
        <v>250</v>
      </c>
      <c r="I134" s="5">
        <v>20</v>
      </c>
      <c r="J134" s="2" t="s">
        <v>62</v>
      </c>
      <c r="K134" s="2" t="s">
        <v>458</v>
      </c>
      <c r="L134" s="6">
        <v>7.4</v>
      </c>
      <c r="M134" s="2" t="s">
        <v>223</v>
      </c>
      <c r="N134" s="7">
        <f>IF(B134="","",YEAR(B134))</f>
        <v>2026</v>
      </c>
      <c r="O134" s="7" t="str">
        <f>IF(B134="","","Q"&amp;ROUNDUP(MONTH(B134)/3,0))</f>
        <v>Q1</v>
      </c>
      <c r="P134" s="7" t="str">
        <f>IF(B134="","",TEXT(B134,"mmmm"))</f>
        <v>February</v>
      </c>
      <c r="Q134" s="7" t="str">
        <f>IF(B134="","",TEXT(B134,"yyyy-mm"))</f>
        <v>2026-02</v>
      </c>
      <c r="R134" s="8">
        <f>IFERROR(G134/F134,"")</f>
        <v>270</v>
      </c>
      <c r="S134" s="9">
        <f>IFERROR(I134/G134,"")</f>
        <v>7.407407407407407E-2</v>
      </c>
      <c r="T134" s="7" t="s">
        <v>459</v>
      </c>
      <c r="U134" s="7"/>
    </row>
    <row r="135" spans="1:21">
      <c r="A135" s="2" t="s">
        <v>283</v>
      </c>
      <c r="B135" s="3">
        <v>46070</v>
      </c>
      <c r="C135" s="2" t="s">
        <v>34</v>
      </c>
      <c r="D135" s="2" t="s">
        <v>53</v>
      </c>
      <c r="E135" s="2" t="s">
        <v>36</v>
      </c>
      <c r="F135" s="4">
        <v>1</v>
      </c>
      <c r="G135" s="5">
        <v>220</v>
      </c>
      <c r="H135" s="5">
        <v>180</v>
      </c>
      <c r="I135" s="5">
        <v>40</v>
      </c>
      <c r="J135" s="2" t="s">
        <v>22</v>
      </c>
      <c r="K135" s="2" t="s">
        <v>31</v>
      </c>
      <c r="L135" s="6">
        <v>18.2</v>
      </c>
      <c r="M135" s="2" t="s">
        <v>223</v>
      </c>
      <c r="N135" s="7">
        <f>IF(B135="","",YEAR(B135))</f>
        <v>2026</v>
      </c>
      <c r="O135" s="7" t="str">
        <f>IF(B135="","","Q"&amp;ROUNDUP(MONTH(B135)/3,0))</f>
        <v>Q1</v>
      </c>
      <c r="P135" s="7" t="str">
        <f>IF(B135="","",TEXT(B135,"mmmm"))</f>
        <v>February</v>
      </c>
      <c r="Q135" s="7" t="str">
        <f>IF(B135="","",TEXT(B135,"yyyy-mm"))</f>
        <v>2026-02</v>
      </c>
      <c r="R135" s="8">
        <f>IFERROR(G135/F135,"")</f>
        <v>220</v>
      </c>
      <c r="S135" s="9">
        <f>IFERROR(I135/G135,"")</f>
        <v>0.18181818181818182</v>
      </c>
      <c r="T135" s="7" t="s">
        <v>459</v>
      </c>
      <c r="U135" s="7"/>
    </row>
    <row r="136" spans="1:21">
      <c r="A136" s="2" t="s">
        <v>284</v>
      </c>
      <c r="B136" s="3">
        <v>46071</v>
      </c>
      <c r="C136" s="2" t="s">
        <v>49</v>
      </c>
      <c r="D136" s="2" t="s">
        <v>53</v>
      </c>
      <c r="E136" s="2" t="s">
        <v>56</v>
      </c>
      <c r="F136" s="4">
        <v>1</v>
      </c>
      <c r="G136" s="5">
        <v>180</v>
      </c>
      <c r="H136" s="5">
        <v>115</v>
      </c>
      <c r="I136" s="5">
        <v>65</v>
      </c>
      <c r="J136" s="2" t="s">
        <v>22</v>
      </c>
      <c r="K136" s="2" t="s">
        <v>458</v>
      </c>
      <c r="L136" s="6">
        <v>36.1</v>
      </c>
      <c r="M136" s="2" t="s">
        <v>223</v>
      </c>
      <c r="N136" s="7">
        <f>IF(B136="","",YEAR(B136))</f>
        <v>2026</v>
      </c>
      <c r="O136" s="7" t="str">
        <f>IF(B136="","","Q"&amp;ROUNDUP(MONTH(B136)/3,0))</f>
        <v>Q1</v>
      </c>
      <c r="P136" s="7" t="str">
        <f>IF(B136="","",TEXT(B136,"mmmm"))</f>
        <v>February</v>
      </c>
      <c r="Q136" s="7" t="str">
        <f>IF(B136="","",TEXT(B136,"yyyy-mm"))</f>
        <v>2026-02</v>
      </c>
      <c r="R136" s="8">
        <f>IFERROR(G136/F136,"")</f>
        <v>180</v>
      </c>
      <c r="S136" s="9">
        <f>IFERROR(I136/G136,"")</f>
        <v>0.3611111111111111</v>
      </c>
      <c r="T136" s="7" t="s">
        <v>459</v>
      </c>
      <c r="U136" s="7"/>
    </row>
    <row r="137" spans="1:21">
      <c r="A137" s="2" t="s">
        <v>286</v>
      </c>
      <c r="B137" s="3">
        <v>46071</v>
      </c>
      <c r="C137" s="2" t="s">
        <v>15</v>
      </c>
      <c r="D137" s="2" t="s">
        <v>53</v>
      </c>
      <c r="E137" s="2" t="s">
        <v>86</v>
      </c>
      <c r="F137" s="4">
        <v>2</v>
      </c>
      <c r="G137" s="5">
        <v>252</v>
      </c>
      <c r="H137" s="5">
        <v>160</v>
      </c>
      <c r="I137" s="5">
        <v>92</v>
      </c>
      <c r="J137" s="2" t="s">
        <v>460</v>
      </c>
      <c r="K137" s="2" t="s">
        <v>31</v>
      </c>
      <c r="L137" s="6">
        <v>36.5</v>
      </c>
      <c r="M137" s="2" t="s">
        <v>223</v>
      </c>
      <c r="N137" s="7">
        <f>IF(B137="","",YEAR(B137))</f>
        <v>2026</v>
      </c>
      <c r="O137" s="7" t="str">
        <f>IF(B137="","","Q"&amp;ROUNDUP(MONTH(B137)/3,0))</f>
        <v>Q1</v>
      </c>
      <c r="P137" s="7" t="str">
        <f>IF(B137="","",TEXT(B137,"mmmm"))</f>
        <v>February</v>
      </c>
      <c r="Q137" s="7" t="str">
        <f>IF(B137="","",TEXT(B137,"yyyy-mm"))</f>
        <v>2026-02</v>
      </c>
      <c r="R137" s="8">
        <f>IFERROR(G137/F137,"")</f>
        <v>126</v>
      </c>
      <c r="S137" s="9">
        <f>IFERROR(I137/G137,"")</f>
        <v>0.36507936507936506</v>
      </c>
      <c r="T137" s="7" t="s">
        <v>459</v>
      </c>
      <c r="U137" s="7"/>
    </row>
    <row r="138" spans="1:21">
      <c r="A138" s="2" t="s">
        <v>287</v>
      </c>
      <c r="B138" s="3">
        <v>46072</v>
      </c>
      <c r="C138" s="2" t="s">
        <v>34</v>
      </c>
      <c r="D138" s="2" t="s">
        <v>16</v>
      </c>
      <c r="E138" s="2" t="s">
        <v>17</v>
      </c>
      <c r="F138" s="4">
        <v>1</v>
      </c>
      <c r="G138" s="5">
        <v>81</v>
      </c>
      <c r="H138" s="5">
        <v>40</v>
      </c>
      <c r="I138" s="5">
        <v>41</v>
      </c>
      <c r="J138" s="2" t="s">
        <v>460</v>
      </c>
      <c r="K138" s="2" t="s">
        <v>31</v>
      </c>
      <c r="L138" s="6">
        <v>50.6</v>
      </c>
      <c r="M138" s="2" t="s">
        <v>223</v>
      </c>
      <c r="N138" s="7">
        <f>IF(B138="","",YEAR(B138))</f>
        <v>2026</v>
      </c>
      <c r="O138" s="7" t="str">
        <f>IF(B138="","","Q"&amp;ROUNDUP(MONTH(B138)/3,0))</f>
        <v>Q1</v>
      </c>
      <c r="P138" s="7" t="str">
        <f>IF(B138="","",TEXT(B138,"mmmm"))</f>
        <v>February</v>
      </c>
      <c r="Q138" s="7" t="str">
        <f>IF(B138="","",TEXT(B138,"yyyy-mm"))</f>
        <v>2026-02</v>
      </c>
      <c r="R138" s="8">
        <f>IFERROR(G138/F138,"")</f>
        <v>81</v>
      </c>
      <c r="S138" s="9">
        <f>IFERROR(I138/G138,"")</f>
        <v>0.50617283950617287</v>
      </c>
      <c r="T138" s="7" t="s">
        <v>459</v>
      </c>
      <c r="U138" s="7"/>
    </row>
    <row r="139" spans="1:21">
      <c r="A139" s="2" t="s">
        <v>289</v>
      </c>
      <c r="B139" s="3">
        <v>46072</v>
      </c>
      <c r="C139" s="2" t="s">
        <v>15</v>
      </c>
      <c r="D139" s="2" t="s">
        <v>16</v>
      </c>
      <c r="E139" s="2" t="s">
        <v>17</v>
      </c>
      <c r="F139" s="4">
        <v>1</v>
      </c>
      <c r="G139" s="5">
        <v>90</v>
      </c>
      <c r="H139" s="5">
        <v>40</v>
      </c>
      <c r="I139" s="5">
        <v>50</v>
      </c>
      <c r="J139" s="2" t="s">
        <v>22</v>
      </c>
      <c r="K139" s="2" t="s">
        <v>458</v>
      </c>
      <c r="L139" s="6">
        <v>55.6</v>
      </c>
      <c r="M139" s="2" t="s">
        <v>223</v>
      </c>
      <c r="N139" s="7">
        <f>IF(B139="","",YEAR(B139))</f>
        <v>2026</v>
      </c>
      <c r="O139" s="7" t="str">
        <f>IF(B139="","","Q"&amp;ROUNDUP(MONTH(B139)/3,0))</f>
        <v>Q1</v>
      </c>
      <c r="P139" s="7" t="str">
        <f>IF(B139="","",TEXT(B139,"mmmm"))</f>
        <v>February</v>
      </c>
      <c r="Q139" s="7" t="str">
        <f>IF(B139="","",TEXT(B139,"yyyy-mm"))</f>
        <v>2026-02</v>
      </c>
      <c r="R139" s="8">
        <f>IFERROR(G139/F139,"")</f>
        <v>90</v>
      </c>
      <c r="S139" s="9">
        <f>IFERROR(I139/G139,"")</f>
        <v>0.55555555555555558</v>
      </c>
      <c r="T139" s="7" t="s">
        <v>459</v>
      </c>
      <c r="U139" s="7"/>
    </row>
    <row r="140" spans="1:21">
      <c r="A140" s="2" t="s">
        <v>290</v>
      </c>
      <c r="B140" s="3">
        <v>46072</v>
      </c>
      <c r="C140" s="2" t="s">
        <v>34</v>
      </c>
      <c r="D140" s="2" t="s">
        <v>16</v>
      </c>
      <c r="E140" s="2" t="s">
        <v>56</v>
      </c>
      <c r="F140" s="4">
        <v>1</v>
      </c>
      <c r="G140" s="5">
        <v>180</v>
      </c>
      <c r="H140" s="5">
        <v>115</v>
      </c>
      <c r="I140" s="5">
        <v>65</v>
      </c>
      <c r="J140" s="2" t="s">
        <v>460</v>
      </c>
      <c r="K140" s="2" t="s">
        <v>458</v>
      </c>
      <c r="L140" s="6">
        <v>36.1</v>
      </c>
      <c r="M140" s="2" t="s">
        <v>223</v>
      </c>
      <c r="N140" s="7">
        <f>IF(B140="","",YEAR(B140))</f>
        <v>2026</v>
      </c>
      <c r="O140" s="7" t="str">
        <f>IF(B140="","","Q"&amp;ROUNDUP(MONTH(B140)/3,0))</f>
        <v>Q1</v>
      </c>
      <c r="P140" s="7" t="str">
        <f>IF(B140="","",TEXT(B140,"mmmm"))</f>
        <v>February</v>
      </c>
      <c r="Q140" s="7" t="str">
        <f>IF(B140="","",TEXT(B140,"yyyy-mm"))</f>
        <v>2026-02</v>
      </c>
      <c r="R140" s="8">
        <f>IFERROR(G140/F140,"")</f>
        <v>180</v>
      </c>
      <c r="S140" s="9">
        <f>IFERROR(I140/G140,"")</f>
        <v>0.3611111111111111</v>
      </c>
      <c r="T140" s="7" t="s">
        <v>459</v>
      </c>
      <c r="U140" s="7"/>
    </row>
    <row r="141" spans="1:21">
      <c r="A141" s="2" t="s">
        <v>291</v>
      </c>
      <c r="B141" s="3">
        <v>46073</v>
      </c>
      <c r="C141" s="2" t="s">
        <v>15</v>
      </c>
      <c r="D141" s="2" t="s">
        <v>16</v>
      </c>
      <c r="E141" s="2" t="s">
        <v>56</v>
      </c>
      <c r="F141" s="4">
        <v>2</v>
      </c>
      <c r="G141" s="5">
        <v>360</v>
      </c>
      <c r="H141" s="5">
        <v>230</v>
      </c>
      <c r="I141" s="5">
        <v>130</v>
      </c>
      <c r="J141" s="2" t="s">
        <v>460</v>
      </c>
      <c r="K141" s="2" t="s">
        <v>458</v>
      </c>
      <c r="L141" s="6">
        <v>36.1</v>
      </c>
      <c r="M141" s="2" t="s">
        <v>223</v>
      </c>
      <c r="N141" s="7">
        <f>IF(B141="","",YEAR(B141))</f>
        <v>2026</v>
      </c>
      <c r="O141" s="7" t="str">
        <f>IF(B141="","","Q"&amp;ROUNDUP(MONTH(B141)/3,0))</f>
        <v>Q1</v>
      </c>
      <c r="P141" s="7" t="str">
        <f>IF(B141="","",TEXT(B141,"mmmm"))</f>
        <v>February</v>
      </c>
      <c r="Q141" s="7" t="str">
        <f>IF(B141="","",TEXT(B141,"yyyy-mm"))</f>
        <v>2026-02</v>
      </c>
      <c r="R141" s="8">
        <f>IFERROR(G141/F141,"")</f>
        <v>180</v>
      </c>
      <c r="S141" s="9">
        <f>IFERROR(I141/G141,"")</f>
        <v>0.3611111111111111</v>
      </c>
      <c r="T141" s="7" t="s">
        <v>459</v>
      </c>
      <c r="U141" s="7"/>
    </row>
    <row r="142" spans="1:21">
      <c r="A142" s="2" t="s">
        <v>293</v>
      </c>
      <c r="B142" s="3">
        <v>46073</v>
      </c>
      <c r="C142" s="2" t="s">
        <v>15</v>
      </c>
      <c r="D142" s="2" t="s">
        <v>42</v>
      </c>
      <c r="E142" s="2" t="s">
        <v>86</v>
      </c>
      <c r="F142" s="4">
        <v>1</v>
      </c>
      <c r="G142" s="5">
        <v>154</v>
      </c>
      <c r="H142" s="5">
        <v>80</v>
      </c>
      <c r="I142" s="5">
        <v>74</v>
      </c>
      <c r="J142" s="2" t="s">
        <v>460</v>
      </c>
      <c r="K142" s="2" t="s">
        <v>31</v>
      </c>
      <c r="L142" s="6">
        <v>48.1</v>
      </c>
      <c r="M142" s="2" t="s">
        <v>223</v>
      </c>
      <c r="N142" s="7">
        <f>IF(B142="","",YEAR(B142))</f>
        <v>2026</v>
      </c>
      <c r="O142" s="7" t="str">
        <f>IF(B142="","","Q"&amp;ROUNDUP(MONTH(B142)/3,0))</f>
        <v>Q1</v>
      </c>
      <c r="P142" s="7" t="str">
        <f>IF(B142="","",TEXT(B142,"mmmm"))</f>
        <v>February</v>
      </c>
      <c r="Q142" s="7" t="str">
        <f>IF(B142="","",TEXT(B142,"yyyy-mm"))</f>
        <v>2026-02</v>
      </c>
      <c r="R142" s="8">
        <f>IFERROR(G142/F142,"")</f>
        <v>154</v>
      </c>
      <c r="S142" s="9">
        <f>IFERROR(I142/G142,"")</f>
        <v>0.48051948051948051</v>
      </c>
      <c r="T142" s="7" t="s">
        <v>459</v>
      </c>
      <c r="U142" s="7"/>
    </row>
    <row r="143" spans="1:21">
      <c r="A143" s="2" t="s">
        <v>294</v>
      </c>
      <c r="B143" s="3">
        <v>46073</v>
      </c>
      <c r="C143" s="2" t="s">
        <v>27</v>
      </c>
      <c r="D143" s="2" t="s">
        <v>16</v>
      </c>
      <c r="E143" s="2" t="s">
        <v>86</v>
      </c>
      <c r="F143" s="4">
        <v>1</v>
      </c>
      <c r="G143" s="5">
        <v>140</v>
      </c>
      <c r="H143" s="5">
        <v>80</v>
      </c>
      <c r="I143" s="5">
        <v>60</v>
      </c>
      <c r="J143" s="2" t="s">
        <v>460</v>
      </c>
      <c r="K143" s="2" t="s">
        <v>31</v>
      </c>
      <c r="L143" s="6">
        <v>42.9</v>
      </c>
      <c r="M143" s="2" t="s">
        <v>223</v>
      </c>
      <c r="N143" s="7">
        <f>IF(B143="","",YEAR(B143))</f>
        <v>2026</v>
      </c>
      <c r="O143" s="7" t="str">
        <f>IF(B143="","","Q"&amp;ROUNDUP(MONTH(B143)/3,0))</f>
        <v>Q1</v>
      </c>
      <c r="P143" s="7" t="str">
        <f>IF(B143="","",TEXT(B143,"mmmm"))</f>
        <v>February</v>
      </c>
      <c r="Q143" s="7" t="str">
        <f>IF(B143="","",TEXT(B143,"yyyy-mm"))</f>
        <v>2026-02</v>
      </c>
      <c r="R143" s="8">
        <f>IFERROR(G143/F143,"")</f>
        <v>140</v>
      </c>
      <c r="S143" s="9">
        <f>IFERROR(I143/G143,"")</f>
        <v>0.42857142857142855</v>
      </c>
      <c r="T143" s="7" t="s">
        <v>459</v>
      </c>
      <c r="U143" s="7"/>
    </row>
    <row r="144" spans="1:21">
      <c r="A144" s="2" t="s">
        <v>295</v>
      </c>
      <c r="B144" s="3">
        <v>46073</v>
      </c>
      <c r="C144" s="2" t="s">
        <v>49</v>
      </c>
      <c r="D144" s="2" t="s">
        <v>42</v>
      </c>
      <c r="E144" s="2" t="s">
        <v>36</v>
      </c>
      <c r="F144" s="4">
        <v>1</v>
      </c>
      <c r="G144" s="5">
        <v>220</v>
      </c>
      <c r="H144" s="5">
        <v>180</v>
      </c>
      <c r="I144" s="5">
        <v>40</v>
      </c>
      <c r="J144" s="2" t="s">
        <v>460</v>
      </c>
      <c r="K144" s="2" t="s">
        <v>458</v>
      </c>
      <c r="L144" s="6">
        <v>18.2</v>
      </c>
      <c r="M144" s="2" t="s">
        <v>223</v>
      </c>
      <c r="N144" s="7">
        <f>IF(B144="","",YEAR(B144))</f>
        <v>2026</v>
      </c>
      <c r="O144" s="7" t="str">
        <f>IF(B144="","","Q"&amp;ROUNDUP(MONTH(B144)/3,0))</f>
        <v>Q1</v>
      </c>
      <c r="P144" s="7" t="str">
        <f>IF(B144="","",TEXT(B144,"mmmm"))</f>
        <v>February</v>
      </c>
      <c r="Q144" s="7" t="str">
        <f>IF(B144="","",TEXT(B144,"yyyy-mm"))</f>
        <v>2026-02</v>
      </c>
      <c r="R144" s="8">
        <f>IFERROR(G144/F144,"")</f>
        <v>220</v>
      </c>
      <c r="S144" s="9">
        <f>IFERROR(I144/G144,"")</f>
        <v>0.18181818181818182</v>
      </c>
      <c r="T144" s="7" t="s">
        <v>459</v>
      </c>
      <c r="U144" s="7"/>
    </row>
    <row r="145" spans="1:21">
      <c r="A145" s="2" t="s">
        <v>296</v>
      </c>
      <c r="B145" s="3">
        <v>46073</v>
      </c>
      <c r="C145" s="2" t="s">
        <v>27</v>
      </c>
      <c r="D145" s="2" t="s">
        <v>16</v>
      </c>
      <c r="E145" s="2" t="s">
        <v>36</v>
      </c>
      <c r="F145" s="4">
        <v>2</v>
      </c>
      <c r="G145" s="5">
        <v>440</v>
      </c>
      <c r="H145" s="5">
        <v>360</v>
      </c>
      <c r="I145" s="5">
        <v>80</v>
      </c>
      <c r="J145" s="2" t="s">
        <v>460</v>
      </c>
      <c r="K145" s="2" t="s">
        <v>458</v>
      </c>
      <c r="L145" s="6">
        <v>18.2</v>
      </c>
      <c r="M145" s="2" t="s">
        <v>223</v>
      </c>
      <c r="N145" s="7">
        <f>IF(B145="","",YEAR(B145))</f>
        <v>2026</v>
      </c>
      <c r="O145" s="7" t="str">
        <f>IF(B145="","","Q"&amp;ROUNDUP(MONTH(B145)/3,0))</f>
        <v>Q1</v>
      </c>
      <c r="P145" s="7" t="str">
        <f>IF(B145="","",TEXT(B145,"mmmm"))</f>
        <v>February</v>
      </c>
      <c r="Q145" s="7" t="str">
        <f>IF(B145="","",TEXT(B145,"yyyy-mm"))</f>
        <v>2026-02</v>
      </c>
      <c r="R145" s="8">
        <f>IFERROR(G145/F145,"")</f>
        <v>220</v>
      </c>
      <c r="S145" s="9">
        <f>IFERROR(I145/G145,"")</f>
        <v>0.18181818181818182</v>
      </c>
      <c r="T145" s="7" t="s">
        <v>459</v>
      </c>
      <c r="U145" s="7"/>
    </row>
    <row r="146" spans="1:21">
      <c r="A146" s="2" t="s">
        <v>297</v>
      </c>
      <c r="B146" s="3">
        <v>46074</v>
      </c>
      <c r="C146" s="2" t="s">
        <v>34</v>
      </c>
      <c r="D146" s="2" t="s">
        <v>42</v>
      </c>
      <c r="E146" s="2" t="s">
        <v>86</v>
      </c>
      <c r="F146" s="4">
        <v>1</v>
      </c>
      <c r="G146" s="5">
        <v>126</v>
      </c>
      <c r="H146" s="5">
        <v>80</v>
      </c>
      <c r="I146" s="5">
        <v>46</v>
      </c>
      <c r="J146" s="2" t="s">
        <v>62</v>
      </c>
      <c r="K146" s="2" t="s">
        <v>31</v>
      </c>
      <c r="L146" s="6">
        <v>36.5</v>
      </c>
      <c r="M146" s="2" t="s">
        <v>223</v>
      </c>
      <c r="N146" s="7">
        <f>IF(B146="","",YEAR(B146))</f>
        <v>2026</v>
      </c>
      <c r="O146" s="7" t="str">
        <f>IF(B146="","","Q"&amp;ROUNDUP(MONTH(B146)/3,0))</f>
        <v>Q1</v>
      </c>
      <c r="P146" s="7" t="str">
        <f>IF(B146="","",TEXT(B146,"mmmm"))</f>
        <v>February</v>
      </c>
      <c r="Q146" s="7" t="str">
        <f>IF(B146="","",TEXT(B146,"yyyy-mm"))</f>
        <v>2026-02</v>
      </c>
      <c r="R146" s="8">
        <f>IFERROR(G146/F146,"")</f>
        <v>126</v>
      </c>
      <c r="S146" s="9">
        <f>IFERROR(I146/G146,"")</f>
        <v>0.36507936507936506</v>
      </c>
      <c r="T146" s="7" t="s">
        <v>459</v>
      </c>
      <c r="U146" s="7"/>
    </row>
    <row r="147" spans="1:21">
      <c r="A147" s="2" t="s">
        <v>299</v>
      </c>
      <c r="B147" s="3">
        <v>46074</v>
      </c>
      <c r="C147" s="2" t="s">
        <v>15</v>
      </c>
      <c r="D147" s="2" t="s">
        <v>53</v>
      </c>
      <c r="E147" s="2" t="s">
        <v>56</v>
      </c>
      <c r="F147" s="4">
        <v>2</v>
      </c>
      <c r="G147" s="5">
        <v>360</v>
      </c>
      <c r="H147" s="5">
        <v>230</v>
      </c>
      <c r="I147" s="5">
        <v>130</v>
      </c>
      <c r="J147" s="2" t="s">
        <v>460</v>
      </c>
      <c r="K147" s="2" t="s">
        <v>458</v>
      </c>
      <c r="L147" s="6">
        <v>36.1</v>
      </c>
      <c r="M147" s="2" t="s">
        <v>223</v>
      </c>
      <c r="N147" s="7">
        <f>IF(B147="","",YEAR(B147))</f>
        <v>2026</v>
      </c>
      <c r="O147" s="7" t="str">
        <f>IF(B147="","","Q"&amp;ROUNDUP(MONTH(B147)/3,0))</f>
        <v>Q1</v>
      </c>
      <c r="P147" s="7" t="str">
        <f>IF(B147="","",TEXT(B147,"mmmm"))</f>
        <v>February</v>
      </c>
      <c r="Q147" s="7" t="str">
        <f>IF(B147="","",TEXT(B147,"yyyy-mm"))</f>
        <v>2026-02</v>
      </c>
      <c r="R147" s="8">
        <f>IFERROR(G147/F147,"")</f>
        <v>180</v>
      </c>
      <c r="S147" s="9">
        <f>IFERROR(I147/G147,"")</f>
        <v>0.3611111111111111</v>
      </c>
      <c r="T147" s="7" t="s">
        <v>459</v>
      </c>
      <c r="U147" s="7"/>
    </row>
    <row r="148" spans="1:21">
      <c r="A148" s="2" t="s">
        <v>300</v>
      </c>
      <c r="B148" s="3">
        <v>46074</v>
      </c>
      <c r="C148" s="2" t="s">
        <v>27</v>
      </c>
      <c r="D148" s="2" t="s">
        <v>16</v>
      </c>
      <c r="E148" s="2" t="s">
        <v>56</v>
      </c>
      <c r="F148" s="4">
        <v>1</v>
      </c>
      <c r="G148" s="5">
        <v>180</v>
      </c>
      <c r="H148" s="5">
        <v>115</v>
      </c>
      <c r="I148" s="5">
        <v>65</v>
      </c>
      <c r="J148" s="2" t="s">
        <v>460</v>
      </c>
      <c r="K148" s="2" t="s">
        <v>31</v>
      </c>
      <c r="L148" s="6">
        <v>36.1</v>
      </c>
      <c r="M148" s="2" t="s">
        <v>223</v>
      </c>
      <c r="N148" s="7">
        <f>IF(B148="","",YEAR(B148))</f>
        <v>2026</v>
      </c>
      <c r="O148" s="7" t="str">
        <f>IF(B148="","","Q"&amp;ROUNDUP(MONTH(B148)/3,0))</f>
        <v>Q1</v>
      </c>
      <c r="P148" s="7" t="str">
        <f>IF(B148="","",TEXT(B148,"mmmm"))</f>
        <v>February</v>
      </c>
      <c r="Q148" s="7" t="str">
        <f>IF(B148="","",TEXT(B148,"yyyy-mm"))</f>
        <v>2026-02</v>
      </c>
      <c r="R148" s="8">
        <f>IFERROR(G148/F148,"")</f>
        <v>180</v>
      </c>
      <c r="S148" s="9">
        <f>IFERROR(I148/G148,"")</f>
        <v>0.3611111111111111</v>
      </c>
      <c r="T148" s="7" t="s">
        <v>459</v>
      </c>
      <c r="U148" s="7"/>
    </row>
    <row r="149" spans="1:21">
      <c r="A149" s="2" t="s">
        <v>301</v>
      </c>
      <c r="B149" s="3">
        <v>46074</v>
      </c>
      <c r="C149" s="2" t="s">
        <v>27</v>
      </c>
      <c r="D149" s="2" t="s">
        <v>53</v>
      </c>
      <c r="E149" s="2" t="s">
        <v>56</v>
      </c>
      <c r="F149" s="4">
        <v>2</v>
      </c>
      <c r="G149" s="5">
        <v>360</v>
      </c>
      <c r="H149" s="5">
        <v>230</v>
      </c>
      <c r="I149" s="5">
        <v>130</v>
      </c>
      <c r="J149" s="2" t="s">
        <v>22</v>
      </c>
      <c r="K149" s="2" t="s">
        <v>458</v>
      </c>
      <c r="L149" s="6">
        <v>36.1</v>
      </c>
      <c r="M149" s="2" t="s">
        <v>223</v>
      </c>
      <c r="N149" s="7">
        <f>IF(B149="","",YEAR(B149))</f>
        <v>2026</v>
      </c>
      <c r="O149" s="7" t="str">
        <f>IF(B149="","","Q"&amp;ROUNDUP(MONTH(B149)/3,0))</f>
        <v>Q1</v>
      </c>
      <c r="P149" s="7" t="str">
        <f>IF(B149="","",TEXT(B149,"mmmm"))</f>
        <v>February</v>
      </c>
      <c r="Q149" s="7" t="str">
        <f>IF(B149="","",TEXT(B149,"yyyy-mm"))</f>
        <v>2026-02</v>
      </c>
      <c r="R149" s="8">
        <f>IFERROR(G149/F149,"")</f>
        <v>180</v>
      </c>
      <c r="S149" s="9">
        <f>IFERROR(I149/G149,"")</f>
        <v>0.3611111111111111</v>
      </c>
      <c r="T149" s="7" t="s">
        <v>459</v>
      </c>
      <c r="U149" s="7"/>
    </row>
    <row r="150" spans="1:21">
      <c r="A150" s="2" t="s">
        <v>302</v>
      </c>
      <c r="B150" s="3">
        <v>46074</v>
      </c>
      <c r="C150" s="2" t="s">
        <v>49</v>
      </c>
      <c r="D150" s="2" t="s">
        <v>16</v>
      </c>
      <c r="E150" s="2" t="s">
        <v>36</v>
      </c>
      <c r="F150" s="4">
        <v>2</v>
      </c>
      <c r="G150" s="5">
        <v>396</v>
      </c>
      <c r="H150" s="5">
        <v>360</v>
      </c>
      <c r="I150" s="5">
        <v>36</v>
      </c>
      <c r="J150" s="2" t="s">
        <v>22</v>
      </c>
      <c r="K150" s="2" t="s">
        <v>458</v>
      </c>
      <c r="L150" s="6">
        <v>9.1</v>
      </c>
      <c r="M150" s="2" t="s">
        <v>223</v>
      </c>
      <c r="N150" s="7">
        <f>IF(B150="","",YEAR(B150))</f>
        <v>2026</v>
      </c>
      <c r="O150" s="7" t="str">
        <f>IF(B150="","","Q"&amp;ROUNDUP(MONTH(B150)/3,0))</f>
        <v>Q1</v>
      </c>
      <c r="P150" s="7" t="str">
        <f>IF(B150="","",TEXT(B150,"mmmm"))</f>
        <v>February</v>
      </c>
      <c r="Q150" s="7" t="str">
        <f>IF(B150="","",TEXT(B150,"yyyy-mm"))</f>
        <v>2026-02</v>
      </c>
      <c r="R150" s="8">
        <f>IFERROR(G150/F150,"")</f>
        <v>198</v>
      </c>
      <c r="S150" s="9">
        <f>IFERROR(I150/G150,"")</f>
        <v>9.0909090909090912E-2</v>
      </c>
      <c r="T150" s="7" t="s">
        <v>459</v>
      </c>
      <c r="U150" s="7"/>
    </row>
    <row r="151" spans="1:21">
      <c r="A151" s="2" t="s">
        <v>304</v>
      </c>
      <c r="B151" s="3">
        <v>46074</v>
      </c>
      <c r="C151" s="2" t="s">
        <v>27</v>
      </c>
      <c r="D151" s="2" t="s">
        <v>42</v>
      </c>
      <c r="E151" s="2" t="s">
        <v>43</v>
      </c>
      <c r="F151" s="4">
        <v>1</v>
      </c>
      <c r="G151" s="5">
        <v>300</v>
      </c>
      <c r="H151" s="5">
        <v>250</v>
      </c>
      <c r="I151" s="5">
        <v>50</v>
      </c>
      <c r="J151" s="2" t="s">
        <v>460</v>
      </c>
      <c r="K151" s="2" t="s">
        <v>458</v>
      </c>
      <c r="L151" s="6">
        <v>16.7</v>
      </c>
      <c r="M151" s="2" t="s">
        <v>223</v>
      </c>
      <c r="N151" s="7">
        <f>IF(B151="","",YEAR(B151))</f>
        <v>2026</v>
      </c>
      <c r="O151" s="7" t="str">
        <f>IF(B151="","","Q"&amp;ROUNDUP(MONTH(B151)/3,0))</f>
        <v>Q1</v>
      </c>
      <c r="P151" s="7" t="str">
        <f>IF(B151="","",TEXT(B151,"mmmm"))</f>
        <v>February</v>
      </c>
      <c r="Q151" s="7" t="str">
        <f>IF(B151="","",TEXT(B151,"yyyy-mm"))</f>
        <v>2026-02</v>
      </c>
      <c r="R151" s="8">
        <f>IFERROR(G151/F151,"")</f>
        <v>300</v>
      </c>
      <c r="S151" s="9">
        <f>IFERROR(I151/G151,"")</f>
        <v>0.16666666666666666</v>
      </c>
      <c r="T151" s="7" t="s">
        <v>459</v>
      </c>
      <c r="U151" s="7"/>
    </row>
    <row r="152" spans="1:21">
      <c r="A152" s="2" t="s">
        <v>305</v>
      </c>
      <c r="B152" s="3">
        <v>46075</v>
      </c>
      <c r="C152" s="2" t="s">
        <v>49</v>
      </c>
      <c r="D152" s="2" t="s">
        <v>53</v>
      </c>
      <c r="E152" s="2" t="s">
        <v>17</v>
      </c>
      <c r="F152" s="4">
        <v>1</v>
      </c>
      <c r="G152" s="5">
        <v>90</v>
      </c>
      <c r="H152" s="5">
        <v>40</v>
      </c>
      <c r="I152" s="5">
        <v>50</v>
      </c>
      <c r="J152" s="2" t="s">
        <v>460</v>
      </c>
      <c r="K152" s="2" t="s">
        <v>31</v>
      </c>
      <c r="L152" s="6">
        <v>55.6</v>
      </c>
      <c r="M152" s="2" t="s">
        <v>223</v>
      </c>
      <c r="N152" s="7">
        <f>IF(B152="","",YEAR(B152))</f>
        <v>2026</v>
      </c>
      <c r="O152" s="7" t="str">
        <f>IF(B152="","","Q"&amp;ROUNDUP(MONTH(B152)/3,0))</f>
        <v>Q1</v>
      </c>
      <c r="P152" s="7" t="str">
        <f>IF(B152="","",TEXT(B152,"mmmm"))</f>
        <v>February</v>
      </c>
      <c r="Q152" s="7" t="str">
        <f>IF(B152="","",TEXT(B152,"yyyy-mm"))</f>
        <v>2026-02</v>
      </c>
      <c r="R152" s="8">
        <f>IFERROR(G152/F152,"")</f>
        <v>90</v>
      </c>
      <c r="S152" s="9">
        <f>IFERROR(I152/G152,"")</f>
        <v>0.55555555555555558</v>
      </c>
      <c r="T152" s="7" t="s">
        <v>459</v>
      </c>
      <c r="U152" s="7"/>
    </row>
    <row r="153" spans="1:21">
      <c r="A153" s="2" t="s">
        <v>307</v>
      </c>
      <c r="B153" s="3">
        <v>46075</v>
      </c>
      <c r="C153" s="2" t="s">
        <v>27</v>
      </c>
      <c r="D153" s="2" t="s">
        <v>16</v>
      </c>
      <c r="E153" s="2" t="s">
        <v>36</v>
      </c>
      <c r="F153" s="4">
        <v>1</v>
      </c>
      <c r="G153" s="5">
        <v>198</v>
      </c>
      <c r="H153" s="5">
        <v>180</v>
      </c>
      <c r="I153" s="5">
        <v>18</v>
      </c>
      <c r="J153" s="2" t="s">
        <v>460</v>
      </c>
      <c r="K153" s="2" t="s">
        <v>458</v>
      </c>
      <c r="L153" s="6">
        <v>9.1</v>
      </c>
      <c r="M153" s="2" t="s">
        <v>223</v>
      </c>
      <c r="N153" s="7">
        <f>IF(B153="","",YEAR(B153))</f>
        <v>2026</v>
      </c>
      <c r="O153" s="7" t="str">
        <f>IF(B153="","","Q"&amp;ROUNDUP(MONTH(B153)/3,0))</f>
        <v>Q1</v>
      </c>
      <c r="P153" s="7" t="str">
        <f>IF(B153="","",TEXT(B153,"mmmm"))</f>
        <v>February</v>
      </c>
      <c r="Q153" s="7" t="str">
        <f>IF(B153="","",TEXT(B153,"yyyy-mm"))</f>
        <v>2026-02</v>
      </c>
      <c r="R153" s="8">
        <f>IFERROR(G153/F153,"")</f>
        <v>198</v>
      </c>
      <c r="S153" s="9">
        <f>IFERROR(I153/G153,"")</f>
        <v>9.0909090909090912E-2</v>
      </c>
      <c r="T153" s="7" t="s">
        <v>459</v>
      </c>
      <c r="U153" s="7"/>
    </row>
    <row r="154" spans="1:21">
      <c r="A154" s="2" t="s">
        <v>308</v>
      </c>
      <c r="B154" s="3">
        <v>46075</v>
      </c>
      <c r="C154" s="2" t="s">
        <v>34</v>
      </c>
      <c r="D154" s="2" t="s">
        <v>16</v>
      </c>
      <c r="E154" s="2" t="s">
        <v>36</v>
      </c>
      <c r="F154" s="4">
        <v>1</v>
      </c>
      <c r="G154" s="5">
        <v>220</v>
      </c>
      <c r="H154" s="5">
        <v>180</v>
      </c>
      <c r="I154" s="5">
        <v>40</v>
      </c>
      <c r="J154" s="2" t="s">
        <v>22</v>
      </c>
      <c r="K154" s="2" t="s">
        <v>458</v>
      </c>
      <c r="L154" s="6">
        <v>18.2</v>
      </c>
      <c r="M154" s="2" t="s">
        <v>223</v>
      </c>
      <c r="N154" s="7">
        <f>IF(B154="","",YEAR(B154))</f>
        <v>2026</v>
      </c>
      <c r="O154" s="7" t="str">
        <f>IF(B154="","","Q"&amp;ROUNDUP(MONTH(B154)/3,0))</f>
        <v>Q1</v>
      </c>
      <c r="P154" s="7" t="str">
        <f>IF(B154="","",TEXT(B154,"mmmm"))</f>
        <v>February</v>
      </c>
      <c r="Q154" s="7" t="str">
        <f>IF(B154="","",TEXT(B154,"yyyy-mm"))</f>
        <v>2026-02</v>
      </c>
      <c r="R154" s="8">
        <f>IFERROR(G154/F154,"")</f>
        <v>220</v>
      </c>
      <c r="S154" s="9">
        <f>IFERROR(I154/G154,"")</f>
        <v>0.18181818181818182</v>
      </c>
      <c r="T154" s="7" t="s">
        <v>459</v>
      </c>
      <c r="U154" s="7"/>
    </row>
    <row r="155" spans="1:21">
      <c r="A155" s="2" t="s">
        <v>309</v>
      </c>
      <c r="B155" s="3">
        <v>46076</v>
      </c>
      <c r="C155" s="2" t="s">
        <v>15</v>
      </c>
      <c r="D155" s="2" t="s">
        <v>16</v>
      </c>
      <c r="E155" s="2" t="s">
        <v>86</v>
      </c>
      <c r="F155" s="4">
        <v>1</v>
      </c>
      <c r="G155" s="5">
        <v>140</v>
      </c>
      <c r="H155" s="5">
        <v>80</v>
      </c>
      <c r="I155" s="5">
        <v>60</v>
      </c>
      <c r="J155" s="2" t="s">
        <v>22</v>
      </c>
      <c r="K155" s="2" t="s">
        <v>31</v>
      </c>
      <c r="L155" s="6">
        <v>42.9</v>
      </c>
      <c r="M155" s="2" t="s">
        <v>223</v>
      </c>
      <c r="N155" s="7">
        <f>IF(B155="","",YEAR(B155))</f>
        <v>2026</v>
      </c>
      <c r="O155" s="7" t="str">
        <f>IF(B155="","","Q"&amp;ROUNDUP(MONTH(B155)/3,0))</f>
        <v>Q1</v>
      </c>
      <c r="P155" s="7" t="str">
        <f>IF(B155="","",TEXT(B155,"mmmm"))</f>
        <v>February</v>
      </c>
      <c r="Q155" s="7" t="str">
        <f>IF(B155="","",TEXT(B155,"yyyy-mm"))</f>
        <v>2026-02</v>
      </c>
      <c r="R155" s="8">
        <f>IFERROR(G155/F155,"")</f>
        <v>140</v>
      </c>
      <c r="S155" s="9">
        <f>IFERROR(I155/G155,"")</f>
        <v>0.42857142857142855</v>
      </c>
      <c r="T155" s="7" t="s">
        <v>459</v>
      </c>
      <c r="U155" s="7"/>
    </row>
    <row r="156" spans="1:21">
      <c r="A156" s="2" t="s">
        <v>311</v>
      </c>
      <c r="B156" s="3">
        <v>46076</v>
      </c>
      <c r="C156" s="2" t="s">
        <v>49</v>
      </c>
      <c r="D156" s="2" t="s">
        <v>53</v>
      </c>
      <c r="E156" s="2" t="s">
        <v>36</v>
      </c>
      <c r="F156" s="4">
        <v>2</v>
      </c>
      <c r="G156" s="5">
        <v>440</v>
      </c>
      <c r="H156" s="5">
        <v>360</v>
      </c>
      <c r="I156" s="5">
        <v>80</v>
      </c>
      <c r="J156" s="2" t="s">
        <v>460</v>
      </c>
      <c r="K156" s="2" t="s">
        <v>458</v>
      </c>
      <c r="L156" s="6">
        <v>18.2</v>
      </c>
      <c r="M156" s="2" t="s">
        <v>223</v>
      </c>
      <c r="N156" s="7">
        <f>IF(B156="","",YEAR(B156))</f>
        <v>2026</v>
      </c>
      <c r="O156" s="7" t="str">
        <f>IF(B156="","","Q"&amp;ROUNDUP(MONTH(B156)/3,0))</f>
        <v>Q1</v>
      </c>
      <c r="P156" s="7" t="str">
        <f>IF(B156="","",TEXT(B156,"mmmm"))</f>
        <v>February</v>
      </c>
      <c r="Q156" s="7" t="str">
        <f>IF(B156="","",TEXT(B156,"yyyy-mm"))</f>
        <v>2026-02</v>
      </c>
      <c r="R156" s="8">
        <f>IFERROR(G156/F156,"")</f>
        <v>220</v>
      </c>
      <c r="S156" s="9">
        <f>IFERROR(I156/G156,"")</f>
        <v>0.18181818181818182</v>
      </c>
      <c r="T156" s="7" t="s">
        <v>459</v>
      </c>
      <c r="U156" s="7"/>
    </row>
    <row r="157" spans="1:21">
      <c r="A157" s="2" t="s">
        <v>312</v>
      </c>
      <c r="B157" s="3">
        <v>46077</v>
      </c>
      <c r="C157" s="2" t="s">
        <v>49</v>
      </c>
      <c r="D157" s="2" t="s">
        <v>16</v>
      </c>
      <c r="E157" s="2" t="s">
        <v>17</v>
      </c>
      <c r="F157" s="4">
        <v>1</v>
      </c>
      <c r="G157" s="5">
        <v>90</v>
      </c>
      <c r="H157" s="5">
        <v>40</v>
      </c>
      <c r="I157" s="5">
        <v>50</v>
      </c>
      <c r="J157" s="2" t="s">
        <v>62</v>
      </c>
      <c r="K157" s="2" t="s">
        <v>458</v>
      </c>
      <c r="L157" s="6">
        <v>55.6</v>
      </c>
      <c r="M157" s="2" t="s">
        <v>223</v>
      </c>
      <c r="N157" s="7">
        <f>IF(B157="","",YEAR(B157))</f>
        <v>2026</v>
      </c>
      <c r="O157" s="7" t="str">
        <f>IF(B157="","","Q"&amp;ROUNDUP(MONTH(B157)/3,0))</f>
        <v>Q1</v>
      </c>
      <c r="P157" s="7" t="str">
        <f>IF(B157="","",TEXT(B157,"mmmm"))</f>
        <v>February</v>
      </c>
      <c r="Q157" s="7" t="str">
        <f>IF(B157="","",TEXT(B157,"yyyy-mm"))</f>
        <v>2026-02</v>
      </c>
      <c r="R157" s="8">
        <f>IFERROR(G157/F157,"")</f>
        <v>90</v>
      </c>
      <c r="S157" s="9">
        <f>IFERROR(I157/G157,"")</f>
        <v>0.55555555555555558</v>
      </c>
      <c r="T157" s="7" t="s">
        <v>459</v>
      </c>
      <c r="U157" s="7"/>
    </row>
    <row r="158" spans="1:21">
      <c r="A158" s="2" t="s">
        <v>314</v>
      </c>
      <c r="B158" s="3">
        <v>46077</v>
      </c>
      <c r="C158" s="2" t="s">
        <v>34</v>
      </c>
      <c r="D158" s="2" t="s">
        <v>16</v>
      </c>
      <c r="E158" s="2" t="s">
        <v>17</v>
      </c>
      <c r="F158" s="4">
        <v>1</v>
      </c>
      <c r="G158" s="5">
        <v>90</v>
      </c>
      <c r="H158" s="5">
        <v>40</v>
      </c>
      <c r="I158" s="5">
        <v>50</v>
      </c>
      <c r="J158" s="2" t="s">
        <v>460</v>
      </c>
      <c r="K158" s="2" t="s">
        <v>31</v>
      </c>
      <c r="L158" s="6">
        <v>55.6</v>
      </c>
      <c r="M158" s="2" t="s">
        <v>223</v>
      </c>
      <c r="N158" s="7">
        <f>IF(B158="","",YEAR(B158))</f>
        <v>2026</v>
      </c>
      <c r="O158" s="7" t="str">
        <f>IF(B158="","","Q"&amp;ROUNDUP(MONTH(B158)/3,0))</f>
        <v>Q1</v>
      </c>
      <c r="P158" s="7" t="str">
        <f>IF(B158="","",TEXT(B158,"mmmm"))</f>
        <v>February</v>
      </c>
      <c r="Q158" s="7" t="str">
        <f>IF(B158="","",TEXT(B158,"yyyy-mm"))</f>
        <v>2026-02</v>
      </c>
      <c r="R158" s="8">
        <f>IFERROR(G158/F158,"")</f>
        <v>90</v>
      </c>
      <c r="S158" s="9">
        <f>IFERROR(I158/G158,"")</f>
        <v>0.55555555555555558</v>
      </c>
      <c r="T158" s="7" t="s">
        <v>459</v>
      </c>
      <c r="U158" s="7"/>
    </row>
    <row r="159" spans="1:21">
      <c r="A159" s="2" t="s">
        <v>315</v>
      </c>
      <c r="B159" s="3">
        <v>46077</v>
      </c>
      <c r="C159" s="2" t="s">
        <v>49</v>
      </c>
      <c r="D159" s="2" t="s">
        <v>42</v>
      </c>
      <c r="E159" s="2" t="s">
        <v>56</v>
      </c>
      <c r="F159" s="4">
        <v>1</v>
      </c>
      <c r="G159" s="5">
        <v>162</v>
      </c>
      <c r="H159" s="5">
        <v>115</v>
      </c>
      <c r="I159" s="5">
        <v>47</v>
      </c>
      <c r="J159" s="2" t="s">
        <v>22</v>
      </c>
      <c r="K159" s="2" t="s">
        <v>31</v>
      </c>
      <c r="L159" s="6">
        <v>29</v>
      </c>
      <c r="M159" s="2" t="s">
        <v>223</v>
      </c>
      <c r="N159" s="7">
        <f>IF(B159="","",YEAR(B159))</f>
        <v>2026</v>
      </c>
      <c r="O159" s="7" t="str">
        <f>IF(B159="","","Q"&amp;ROUNDUP(MONTH(B159)/3,0))</f>
        <v>Q1</v>
      </c>
      <c r="P159" s="7" t="str">
        <f>IF(B159="","",TEXT(B159,"mmmm"))</f>
        <v>February</v>
      </c>
      <c r="Q159" s="7" t="str">
        <f>IF(B159="","",TEXT(B159,"yyyy-mm"))</f>
        <v>2026-02</v>
      </c>
      <c r="R159" s="8">
        <f>IFERROR(G159/F159,"")</f>
        <v>162</v>
      </c>
      <c r="S159" s="9">
        <f>IFERROR(I159/G159,"")</f>
        <v>0.29012345679012347</v>
      </c>
      <c r="T159" s="7" t="s">
        <v>459</v>
      </c>
      <c r="U159" s="7"/>
    </row>
    <row r="160" spans="1:21">
      <c r="A160" s="2" t="s">
        <v>316</v>
      </c>
      <c r="B160" s="3">
        <v>46078</v>
      </c>
      <c r="C160" s="2" t="s">
        <v>27</v>
      </c>
      <c r="D160" s="2" t="s">
        <v>53</v>
      </c>
      <c r="E160" s="2" t="s">
        <v>56</v>
      </c>
      <c r="F160" s="4">
        <v>2</v>
      </c>
      <c r="G160" s="5">
        <v>360</v>
      </c>
      <c r="H160" s="5">
        <v>230</v>
      </c>
      <c r="I160" s="5">
        <v>130</v>
      </c>
      <c r="J160" s="2" t="s">
        <v>62</v>
      </c>
      <c r="K160" s="2" t="s">
        <v>31</v>
      </c>
      <c r="L160" s="6">
        <v>36.1</v>
      </c>
      <c r="M160" s="2" t="s">
        <v>223</v>
      </c>
      <c r="N160" s="7">
        <f>IF(B160="","",YEAR(B160))</f>
        <v>2026</v>
      </c>
      <c r="O160" s="7" t="str">
        <f>IF(B160="","","Q"&amp;ROUNDUP(MONTH(B160)/3,0))</f>
        <v>Q1</v>
      </c>
      <c r="P160" s="7" t="str">
        <f>IF(B160="","",TEXT(B160,"mmmm"))</f>
        <v>February</v>
      </c>
      <c r="Q160" s="7" t="str">
        <f>IF(B160="","",TEXT(B160,"yyyy-mm"))</f>
        <v>2026-02</v>
      </c>
      <c r="R160" s="8">
        <f>IFERROR(G160/F160,"")</f>
        <v>180</v>
      </c>
      <c r="S160" s="9">
        <f>IFERROR(I160/G160,"")</f>
        <v>0.3611111111111111</v>
      </c>
      <c r="T160" s="7" t="s">
        <v>459</v>
      </c>
      <c r="U160" s="7"/>
    </row>
    <row r="161" spans="1:21">
      <c r="A161" s="2" t="s">
        <v>318</v>
      </c>
      <c r="B161" s="3">
        <v>46078</v>
      </c>
      <c r="C161" s="2" t="s">
        <v>27</v>
      </c>
      <c r="D161" s="2" t="s">
        <v>16</v>
      </c>
      <c r="E161" s="2" t="s">
        <v>86</v>
      </c>
      <c r="F161" s="4">
        <v>2</v>
      </c>
      <c r="G161" s="5">
        <v>252</v>
      </c>
      <c r="H161" s="5">
        <v>160</v>
      </c>
      <c r="I161" s="5">
        <v>92</v>
      </c>
      <c r="J161" s="2" t="s">
        <v>62</v>
      </c>
      <c r="K161" s="2" t="s">
        <v>458</v>
      </c>
      <c r="L161" s="6">
        <v>36.5</v>
      </c>
      <c r="M161" s="2" t="s">
        <v>223</v>
      </c>
      <c r="N161" s="7">
        <f>IF(B161="","",YEAR(B161))</f>
        <v>2026</v>
      </c>
      <c r="O161" s="7" t="str">
        <f>IF(B161="","","Q"&amp;ROUNDUP(MONTH(B161)/3,0))</f>
        <v>Q1</v>
      </c>
      <c r="P161" s="7" t="str">
        <f>IF(B161="","",TEXT(B161,"mmmm"))</f>
        <v>February</v>
      </c>
      <c r="Q161" s="7" t="str">
        <f>IF(B161="","",TEXT(B161,"yyyy-mm"))</f>
        <v>2026-02</v>
      </c>
      <c r="R161" s="8">
        <f>IFERROR(G161/F161,"")</f>
        <v>126</v>
      </c>
      <c r="S161" s="9">
        <f>IFERROR(I161/G161,"")</f>
        <v>0.36507936507936506</v>
      </c>
      <c r="T161" s="7" t="s">
        <v>459</v>
      </c>
      <c r="U161" s="7"/>
    </row>
    <row r="162" spans="1:21">
      <c r="A162" s="2" t="s">
        <v>319</v>
      </c>
      <c r="B162" s="3">
        <v>46078</v>
      </c>
      <c r="C162" s="2" t="s">
        <v>27</v>
      </c>
      <c r="D162" s="2" t="s">
        <v>53</v>
      </c>
      <c r="E162" s="2" t="s">
        <v>17</v>
      </c>
      <c r="F162" s="4">
        <v>1</v>
      </c>
      <c r="G162" s="5">
        <v>90</v>
      </c>
      <c r="H162" s="5">
        <v>40</v>
      </c>
      <c r="I162" s="5">
        <v>50</v>
      </c>
      <c r="J162" s="2" t="s">
        <v>460</v>
      </c>
      <c r="K162" s="2" t="s">
        <v>458</v>
      </c>
      <c r="L162" s="6">
        <v>55.6</v>
      </c>
      <c r="M162" s="2" t="s">
        <v>223</v>
      </c>
      <c r="N162" s="7">
        <f>IF(B162="","",YEAR(B162))</f>
        <v>2026</v>
      </c>
      <c r="O162" s="7" t="str">
        <f>IF(B162="","","Q"&amp;ROUNDUP(MONTH(B162)/3,0))</f>
        <v>Q1</v>
      </c>
      <c r="P162" s="7" t="str">
        <f>IF(B162="","",TEXT(B162,"mmmm"))</f>
        <v>February</v>
      </c>
      <c r="Q162" s="7" t="str">
        <f>IF(B162="","",TEXT(B162,"yyyy-mm"))</f>
        <v>2026-02</v>
      </c>
      <c r="R162" s="8">
        <f>IFERROR(G162/F162,"")</f>
        <v>90</v>
      </c>
      <c r="S162" s="9">
        <f>IFERROR(I162/G162,"")</f>
        <v>0.55555555555555558</v>
      </c>
      <c r="T162" s="7" t="s">
        <v>459</v>
      </c>
      <c r="U162" s="7"/>
    </row>
    <row r="163" spans="1:21">
      <c r="A163" s="2" t="s">
        <v>320</v>
      </c>
      <c r="B163" s="3">
        <v>46079</v>
      </c>
      <c r="C163" s="2" t="s">
        <v>49</v>
      </c>
      <c r="D163" s="2" t="s">
        <v>42</v>
      </c>
      <c r="E163" s="2" t="s">
        <v>36</v>
      </c>
      <c r="F163" s="4">
        <v>2</v>
      </c>
      <c r="G163" s="5">
        <v>440</v>
      </c>
      <c r="H163" s="5">
        <v>360</v>
      </c>
      <c r="I163" s="5">
        <v>80</v>
      </c>
      <c r="J163" s="2" t="s">
        <v>22</v>
      </c>
      <c r="K163" s="2" t="s">
        <v>458</v>
      </c>
      <c r="L163" s="6">
        <v>18.2</v>
      </c>
      <c r="M163" s="2" t="s">
        <v>223</v>
      </c>
      <c r="N163" s="7">
        <f>IF(B163="","",YEAR(B163))</f>
        <v>2026</v>
      </c>
      <c r="O163" s="7" t="str">
        <f>IF(B163="","","Q"&amp;ROUNDUP(MONTH(B163)/3,0))</f>
        <v>Q1</v>
      </c>
      <c r="P163" s="7" t="str">
        <f>IF(B163="","",TEXT(B163,"mmmm"))</f>
        <v>February</v>
      </c>
      <c r="Q163" s="7" t="str">
        <f>IF(B163="","",TEXT(B163,"yyyy-mm"))</f>
        <v>2026-02</v>
      </c>
      <c r="R163" s="8">
        <f>IFERROR(G163/F163,"")</f>
        <v>220</v>
      </c>
      <c r="S163" s="9">
        <f>IFERROR(I163/G163,"")</f>
        <v>0.18181818181818182</v>
      </c>
      <c r="T163" s="7" t="s">
        <v>459</v>
      </c>
      <c r="U163" s="7"/>
    </row>
    <row r="164" spans="1:21">
      <c r="A164" s="2" t="s">
        <v>322</v>
      </c>
      <c r="B164" s="3">
        <v>46079</v>
      </c>
      <c r="C164" s="2" t="s">
        <v>15</v>
      </c>
      <c r="D164" s="2" t="s">
        <v>42</v>
      </c>
      <c r="E164" s="2" t="s">
        <v>36</v>
      </c>
      <c r="F164" s="4">
        <v>1</v>
      </c>
      <c r="G164" s="5">
        <v>220</v>
      </c>
      <c r="H164" s="5">
        <v>180</v>
      </c>
      <c r="I164" s="5">
        <v>40</v>
      </c>
      <c r="J164" s="2" t="s">
        <v>22</v>
      </c>
      <c r="K164" s="2" t="s">
        <v>31</v>
      </c>
      <c r="L164" s="6">
        <v>18.2</v>
      </c>
      <c r="M164" s="2" t="s">
        <v>223</v>
      </c>
      <c r="N164" s="7">
        <f>IF(B164="","",YEAR(B164))</f>
        <v>2026</v>
      </c>
      <c r="O164" s="7" t="str">
        <f>IF(B164="","","Q"&amp;ROUNDUP(MONTH(B164)/3,0))</f>
        <v>Q1</v>
      </c>
      <c r="P164" s="7" t="str">
        <f>IF(B164="","",TEXT(B164,"mmmm"))</f>
        <v>February</v>
      </c>
      <c r="Q164" s="7" t="str">
        <f>IF(B164="","",TEXT(B164,"yyyy-mm"))</f>
        <v>2026-02</v>
      </c>
      <c r="R164" s="8">
        <f>IFERROR(G164/F164,"")</f>
        <v>220</v>
      </c>
      <c r="S164" s="9">
        <f>IFERROR(I164/G164,"")</f>
        <v>0.18181818181818182</v>
      </c>
      <c r="T164" s="7" t="s">
        <v>459</v>
      </c>
      <c r="U164" s="7"/>
    </row>
    <row r="165" spans="1:21">
      <c r="A165" s="2" t="s">
        <v>323</v>
      </c>
      <c r="B165" s="3">
        <v>46080</v>
      </c>
      <c r="C165" s="2" t="s">
        <v>15</v>
      </c>
      <c r="D165" s="2" t="s">
        <v>16</v>
      </c>
      <c r="E165" s="2" t="s">
        <v>36</v>
      </c>
      <c r="F165" s="4">
        <v>1</v>
      </c>
      <c r="G165" s="5">
        <v>220</v>
      </c>
      <c r="H165" s="5">
        <v>180</v>
      </c>
      <c r="I165" s="5">
        <v>40</v>
      </c>
      <c r="J165" s="2" t="s">
        <v>460</v>
      </c>
      <c r="K165" s="2" t="s">
        <v>458</v>
      </c>
      <c r="L165" s="6">
        <v>18.2</v>
      </c>
      <c r="M165" s="2" t="s">
        <v>223</v>
      </c>
      <c r="N165" s="7">
        <f>IF(B165="","",YEAR(B165))</f>
        <v>2026</v>
      </c>
      <c r="O165" s="7" t="str">
        <f>IF(B165="","","Q"&amp;ROUNDUP(MONTH(B165)/3,0))</f>
        <v>Q1</v>
      </c>
      <c r="P165" s="7" t="str">
        <f>IF(B165="","",TEXT(B165,"mmmm"))</f>
        <v>February</v>
      </c>
      <c r="Q165" s="7" t="str">
        <f>IF(B165="","",TEXT(B165,"yyyy-mm"))</f>
        <v>2026-02</v>
      </c>
      <c r="R165" s="8">
        <f>IFERROR(G165/F165,"")</f>
        <v>220</v>
      </c>
      <c r="S165" s="9">
        <f>IFERROR(I165/G165,"")</f>
        <v>0.18181818181818182</v>
      </c>
      <c r="T165" s="7" t="s">
        <v>459</v>
      </c>
      <c r="U165" s="7"/>
    </row>
    <row r="166" spans="1:21">
      <c r="A166" s="2" t="s">
        <v>325</v>
      </c>
      <c r="B166" s="3">
        <v>46081</v>
      </c>
      <c r="C166" s="2" t="s">
        <v>27</v>
      </c>
      <c r="D166" s="2" t="s">
        <v>42</v>
      </c>
      <c r="E166" s="2" t="s">
        <v>17</v>
      </c>
      <c r="F166" s="4">
        <v>1</v>
      </c>
      <c r="G166" s="5">
        <v>90</v>
      </c>
      <c r="H166" s="5">
        <v>40</v>
      </c>
      <c r="I166" s="5">
        <v>50</v>
      </c>
      <c r="J166" s="2" t="s">
        <v>22</v>
      </c>
      <c r="K166" s="2" t="s">
        <v>458</v>
      </c>
      <c r="L166" s="6">
        <v>55.6</v>
      </c>
      <c r="M166" s="2" t="s">
        <v>223</v>
      </c>
      <c r="N166" s="7">
        <f>IF(B166="","",YEAR(B166))</f>
        <v>2026</v>
      </c>
      <c r="O166" s="7" t="str">
        <f>IF(B166="","","Q"&amp;ROUNDUP(MONTH(B166)/3,0))</f>
        <v>Q1</v>
      </c>
      <c r="P166" s="7" t="str">
        <f>IF(B166="","",TEXT(B166,"mmmm"))</f>
        <v>February</v>
      </c>
      <c r="Q166" s="7" t="str">
        <f>IF(B166="","",TEXT(B166,"yyyy-mm"))</f>
        <v>2026-02</v>
      </c>
      <c r="R166" s="8">
        <f>IFERROR(G166/F166,"")</f>
        <v>90</v>
      </c>
      <c r="S166" s="9">
        <f>IFERROR(I166/G166,"")</f>
        <v>0.55555555555555558</v>
      </c>
      <c r="T166" s="7" t="s">
        <v>459</v>
      </c>
      <c r="U166" s="7"/>
    </row>
    <row r="167" spans="1:21">
      <c r="A167" s="2" t="s">
        <v>327</v>
      </c>
      <c r="B167" s="3">
        <v>46081</v>
      </c>
      <c r="C167" s="2" t="s">
        <v>27</v>
      </c>
      <c r="D167" s="2" t="s">
        <v>53</v>
      </c>
      <c r="E167" s="2" t="s">
        <v>17</v>
      </c>
      <c r="F167" s="4">
        <v>1</v>
      </c>
      <c r="G167" s="5">
        <v>90</v>
      </c>
      <c r="H167" s="5">
        <v>40</v>
      </c>
      <c r="I167" s="5">
        <v>50</v>
      </c>
      <c r="J167" s="2" t="s">
        <v>460</v>
      </c>
      <c r="K167" s="2" t="s">
        <v>458</v>
      </c>
      <c r="L167" s="6">
        <v>55.6</v>
      </c>
      <c r="M167" s="2" t="s">
        <v>223</v>
      </c>
      <c r="N167" s="7">
        <f>IF(B167="","",YEAR(B167))</f>
        <v>2026</v>
      </c>
      <c r="O167" s="7" t="str">
        <f>IF(B167="","","Q"&amp;ROUNDUP(MONTH(B167)/3,0))</f>
        <v>Q1</v>
      </c>
      <c r="P167" s="7" t="str">
        <f>IF(B167="","",TEXT(B167,"mmmm"))</f>
        <v>February</v>
      </c>
      <c r="Q167" s="7" t="str">
        <f>IF(B167="","",TEXT(B167,"yyyy-mm"))</f>
        <v>2026-02</v>
      </c>
      <c r="R167" s="8">
        <f>IFERROR(G167/F167,"")</f>
        <v>90</v>
      </c>
      <c r="S167" s="9">
        <f>IFERROR(I167/G167,"")</f>
        <v>0.55555555555555558</v>
      </c>
      <c r="T167" s="7" t="s">
        <v>459</v>
      </c>
      <c r="U167" s="7"/>
    </row>
    <row r="168" spans="1:21">
      <c r="A168" s="2" t="s">
        <v>328</v>
      </c>
      <c r="B168" s="3">
        <v>46082</v>
      </c>
      <c r="C168" s="2" t="s">
        <v>15</v>
      </c>
      <c r="D168" s="2" t="s">
        <v>16</v>
      </c>
      <c r="E168" s="2" t="s">
        <v>36</v>
      </c>
      <c r="F168" s="4">
        <v>2</v>
      </c>
      <c r="G168" s="5">
        <v>396</v>
      </c>
      <c r="H168" s="5">
        <v>360</v>
      </c>
      <c r="I168" s="5">
        <v>36</v>
      </c>
      <c r="J168" s="2" t="s">
        <v>22</v>
      </c>
      <c r="K168" s="2" t="s">
        <v>31</v>
      </c>
      <c r="L168" s="6">
        <v>9.1</v>
      </c>
      <c r="M168" s="2" t="s">
        <v>330</v>
      </c>
      <c r="N168" s="7">
        <f>IF(B168="","",YEAR(B168))</f>
        <v>2026</v>
      </c>
      <c r="O168" s="7" t="str">
        <f>IF(B168="","","Q"&amp;ROUNDUP(MONTH(B168)/3,0))</f>
        <v>Q1</v>
      </c>
      <c r="P168" s="7" t="str">
        <f>IF(B168="","",TEXT(B168,"mmmm"))</f>
        <v>March</v>
      </c>
      <c r="Q168" s="7" t="str">
        <f>IF(B168="","",TEXT(B168,"yyyy-mm"))</f>
        <v>2026-03</v>
      </c>
      <c r="R168" s="8">
        <f>IFERROR(G168/F168,"")</f>
        <v>198</v>
      </c>
      <c r="S168" s="9">
        <f>IFERROR(I168/G168,"")</f>
        <v>9.0909090909090912E-2</v>
      </c>
      <c r="T168" s="7" t="s">
        <v>459</v>
      </c>
      <c r="U168" s="7"/>
    </row>
    <row r="169" spans="1:21">
      <c r="A169" s="2" t="s">
        <v>331</v>
      </c>
      <c r="B169" s="3">
        <v>46082</v>
      </c>
      <c r="C169" s="2" t="s">
        <v>34</v>
      </c>
      <c r="D169" s="2" t="s">
        <v>16</v>
      </c>
      <c r="E169" s="2" t="s">
        <v>86</v>
      </c>
      <c r="F169" s="4">
        <v>1</v>
      </c>
      <c r="G169" s="5">
        <v>140</v>
      </c>
      <c r="H169" s="5">
        <v>80</v>
      </c>
      <c r="I169" s="5">
        <v>60</v>
      </c>
      <c r="J169" s="2" t="s">
        <v>22</v>
      </c>
      <c r="K169" s="2" t="s">
        <v>458</v>
      </c>
      <c r="L169" s="6">
        <v>42.9</v>
      </c>
      <c r="M169" s="2" t="s">
        <v>330</v>
      </c>
      <c r="N169" s="7">
        <f>IF(B169="","",YEAR(B169))</f>
        <v>2026</v>
      </c>
      <c r="O169" s="7" t="str">
        <f>IF(B169="","","Q"&amp;ROUNDUP(MONTH(B169)/3,0))</f>
        <v>Q1</v>
      </c>
      <c r="P169" s="7" t="str">
        <f>IF(B169="","",TEXT(B169,"mmmm"))</f>
        <v>March</v>
      </c>
      <c r="Q169" s="7" t="str">
        <f>IF(B169="","",TEXT(B169,"yyyy-mm"))</f>
        <v>2026-03</v>
      </c>
      <c r="R169" s="8">
        <f>IFERROR(G169/F169,"")</f>
        <v>140</v>
      </c>
      <c r="S169" s="9">
        <f>IFERROR(I169/G169,"")</f>
        <v>0.42857142857142855</v>
      </c>
      <c r="T169" s="7" t="s">
        <v>459</v>
      </c>
      <c r="U169" s="7"/>
    </row>
    <row r="170" spans="1:21">
      <c r="A170" s="2" t="s">
        <v>332</v>
      </c>
      <c r="B170" s="3">
        <v>46082</v>
      </c>
      <c r="C170" s="2" t="s">
        <v>27</v>
      </c>
      <c r="D170" s="2" t="s">
        <v>16</v>
      </c>
      <c r="E170" s="2" t="s">
        <v>56</v>
      </c>
      <c r="F170" s="4">
        <v>3</v>
      </c>
      <c r="G170" s="5">
        <v>540</v>
      </c>
      <c r="H170" s="5">
        <v>345</v>
      </c>
      <c r="I170" s="5">
        <v>195</v>
      </c>
      <c r="J170" s="2" t="s">
        <v>62</v>
      </c>
      <c r="K170" s="2" t="s">
        <v>31</v>
      </c>
      <c r="L170" s="6">
        <v>36.1</v>
      </c>
      <c r="M170" s="2" t="s">
        <v>330</v>
      </c>
      <c r="N170" s="7">
        <f>IF(B170="","",YEAR(B170))</f>
        <v>2026</v>
      </c>
      <c r="O170" s="7" t="str">
        <f>IF(B170="","","Q"&amp;ROUNDUP(MONTH(B170)/3,0))</f>
        <v>Q1</v>
      </c>
      <c r="P170" s="7" t="str">
        <f>IF(B170="","",TEXT(B170,"mmmm"))</f>
        <v>March</v>
      </c>
      <c r="Q170" s="7" t="str">
        <f>IF(B170="","",TEXT(B170,"yyyy-mm"))</f>
        <v>2026-03</v>
      </c>
      <c r="R170" s="8">
        <f>IFERROR(G170/F170,"")</f>
        <v>180</v>
      </c>
      <c r="S170" s="9">
        <f>IFERROR(I170/G170,"")</f>
        <v>0.3611111111111111</v>
      </c>
      <c r="T170" s="7" t="s">
        <v>459</v>
      </c>
      <c r="U170" s="7"/>
    </row>
    <row r="171" spans="1:21">
      <c r="A171" s="2" t="s">
        <v>333</v>
      </c>
      <c r="B171" s="3">
        <v>46082</v>
      </c>
      <c r="C171" s="2" t="s">
        <v>15</v>
      </c>
      <c r="D171" s="2" t="s">
        <v>42</v>
      </c>
      <c r="E171" s="2" t="s">
        <v>56</v>
      </c>
      <c r="F171" s="4">
        <v>1</v>
      </c>
      <c r="G171" s="5">
        <v>180</v>
      </c>
      <c r="H171" s="5">
        <v>115</v>
      </c>
      <c r="I171" s="5">
        <v>65</v>
      </c>
      <c r="J171" s="2" t="s">
        <v>22</v>
      </c>
      <c r="K171" s="2" t="s">
        <v>31</v>
      </c>
      <c r="L171" s="6">
        <v>36.1</v>
      </c>
      <c r="M171" s="2" t="s">
        <v>330</v>
      </c>
      <c r="N171" s="7">
        <f>IF(B171="","",YEAR(B171))</f>
        <v>2026</v>
      </c>
      <c r="O171" s="7" t="str">
        <f>IF(B171="","","Q"&amp;ROUNDUP(MONTH(B171)/3,0))</f>
        <v>Q1</v>
      </c>
      <c r="P171" s="7" t="str">
        <f>IF(B171="","",TEXT(B171,"mmmm"))</f>
        <v>March</v>
      </c>
      <c r="Q171" s="7" t="str">
        <f>IF(B171="","",TEXT(B171,"yyyy-mm"))</f>
        <v>2026-03</v>
      </c>
      <c r="R171" s="8">
        <f>IFERROR(G171/F171,"")</f>
        <v>180</v>
      </c>
      <c r="S171" s="9">
        <f>IFERROR(I171/G171,"")</f>
        <v>0.3611111111111111</v>
      </c>
      <c r="T171" s="7" t="s">
        <v>459</v>
      </c>
      <c r="U171" s="7"/>
    </row>
    <row r="172" spans="1:21">
      <c r="A172" s="2" t="s">
        <v>334</v>
      </c>
      <c r="B172" s="3">
        <v>46083</v>
      </c>
      <c r="C172" s="2" t="s">
        <v>49</v>
      </c>
      <c r="D172" s="2" t="s">
        <v>42</v>
      </c>
      <c r="E172" s="2" t="s">
        <v>36</v>
      </c>
      <c r="F172" s="4">
        <v>3</v>
      </c>
      <c r="G172" s="5">
        <v>660</v>
      </c>
      <c r="H172" s="5">
        <v>540</v>
      </c>
      <c r="I172" s="5">
        <v>120</v>
      </c>
      <c r="J172" s="2" t="s">
        <v>22</v>
      </c>
      <c r="K172" s="2" t="s">
        <v>458</v>
      </c>
      <c r="L172" s="6">
        <v>18.2</v>
      </c>
      <c r="M172" s="2" t="s">
        <v>330</v>
      </c>
      <c r="N172" s="7">
        <f>IF(B172="","",YEAR(B172))</f>
        <v>2026</v>
      </c>
      <c r="O172" s="7" t="str">
        <f>IF(B172="","","Q"&amp;ROUNDUP(MONTH(B172)/3,0))</f>
        <v>Q1</v>
      </c>
      <c r="P172" s="7" t="str">
        <f>IF(B172="","",TEXT(B172,"mmmm"))</f>
        <v>March</v>
      </c>
      <c r="Q172" s="7" t="str">
        <f>IF(B172="","",TEXT(B172,"yyyy-mm"))</f>
        <v>2026-03</v>
      </c>
      <c r="R172" s="8">
        <f>IFERROR(G172/F172,"")</f>
        <v>220</v>
      </c>
      <c r="S172" s="9">
        <f>IFERROR(I172/G172,"")</f>
        <v>0.18181818181818182</v>
      </c>
      <c r="T172" s="7" t="s">
        <v>459</v>
      </c>
      <c r="U172" s="7"/>
    </row>
    <row r="173" spans="1:21">
      <c r="A173" s="2" t="s">
        <v>337</v>
      </c>
      <c r="B173" s="3">
        <v>46084</v>
      </c>
      <c r="C173" s="2" t="s">
        <v>15</v>
      </c>
      <c r="D173" s="2" t="s">
        <v>16</v>
      </c>
      <c r="E173" s="2" t="s">
        <v>56</v>
      </c>
      <c r="F173" s="4">
        <v>1</v>
      </c>
      <c r="G173" s="5">
        <v>162</v>
      </c>
      <c r="H173" s="5">
        <v>115</v>
      </c>
      <c r="I173" s="5">
        <v>47</v>
      </c>
      <c r="J173" s="2" t="s">
        <v>22</v>
      </c>
      <c r="K173" s="2" t="s">
        <v>31</v>
      </c>
      <c r="L173" s="6">
        <v>29</v>
      </c>
      <c r="M173" s="2" t="s">
        <v>330</v>
      </c>
      <c r="N173" s="7">
        <f>IF(B173="","",YEAR(B173))</f>
        <v>2026</v>
      </c>
      <c r="O173" s="7" t="str">
        <f>IF(B173="","","Q"&amp;ROUNDUP(MONTH(B173)/3,0))</f>
        <v>Q1</v>
      </c>
      <c r="P173" s="7" t="str">
        <f>IF(B173="","",TEXT(B173,"mmmm"))</f>
        <v>March</v>
      </c>
      <c r="Q173" s="7" t="str">
        <f>IF(B173="","",TEXT(B173,"yyyy-mm"))</f>
        <v>2026-03</v>
      </c>
      <c r="R173" s="8">
        <f>IFERROR(G173/F173,"")</f>
        <v>162</v>
      </c>
      <c r="S173" s="9">
        <f>IFERROR(I173/G173,"")</f>
        <v>0.29012345679012347</v>
      </c>
      <c r="T173" s="7" t="s">
        <v>459</v>
      </c>
      <c r="U173" s="7"/>
    </row>
    <row r="174" spans="1:21">
      <c r="A174" s="2" t="s">
        <v>339</v>
      </c>
      <c r="B174" s="3">
        <v>46084</v>
      </c>
      <c r="C174" s="2" t="s">
        <v>15</v>
      </c>
      <c r="D174" s="2" t="s">
        <v>42</v>
      </c>
      <c r="E174" s="2" t="s">
        <v>86</v>
      </c>
      <c r="F174" s="4">
        <v>1</v>
      </c>
      <c r="G174" s="5">
        <v>140</v>
      </c>
      <c r="H174" s="5">
        <v>80</v>
      </c>
      <c r="I174" s="5">
        <v>60</v>
      </c>
      <c r="J174" s="2" t="s">
        <v>460</v>
      </c>
      <c r="K174" s="2" t="s">
        <v>458</v>
      </c>
      <c r="L174" s="6">
        <v>42.9</v>
      </c>
      <c r="M174" s="2" t="s">
        <v>330</v>
      </c>
      <c r="N174" s="7">
        <f>IF(B174="","",YEAR(B174))</f>
        <v>2026</v>
      </c>
      <c r="O174" s="7" t="str">
        <f>IF(B174="","","Q"&amp;ROUNDUP(MONTH(B174)/3,0))</f>
        <v>Q1</v>
      </c>
      <c r="P174" s="7" t="str">
        <f>IF(B174="","",TEXT(B174,"mmmm"))</f>
        <v>March</v>
      </c>
      <c r="Q174" s="7" t="str">
        <f>IF(B174="","",TEXT(B174,"yyyy-mm"))</f>
        <v>2026-03</v>
      </c>
      <c r="R174" s="8">
        <f>IFERROR(G174/F174,"")</f>
        <v>140</v>
      </c>
      <c r="S174" s="9">
        <f>IFERROR(I174/G174,"")</f>
        <v>0.42857142857142855</v>
      </c>
      <c r="T174" s="7" t="s">
        <v>459</v>
      </c>
      <c r="U174" s="7"/>
    </row>
    <row r="175" spans="1:21">
      <c r="A175" s="2" t="s">
        <v>340</v>
      </c>
      <c r="B175" s="3">
        <v>46084</v>
      </c>
      <c r="C175" s="2" t="s">
        <v>49</v>
      </c>
      <c r="D175" s="2" t="s">
        <v>16</v>
      </c>
      <c r="E175" s="2" t="s">
        <v>56</v>
      </c>
      <c r="F175" s="4">
        <v>1</v>
      </c>
      <c r="G175" s="5">
        <v>180</v>
      </c>
      <c r="H175" s="5">
        <v>115</v>
      </c>
      <c r="I175" s="5">
        <v>65</v>
      </c>
      <c r="J175" s="2" t="s">
        <v>460</v>
      </c>
      <c r="K175" s="2" t="s">
        <v>458</v>
      </c>
      <c r="L175" s="6">
        <v>36.1</v>
      </c>
      <c r="M175" s="2" t="s">
        <v>330</v>
      </c>
      <c r="N175" s="7">
        <f>IF(B175="","",YEAR(B175))</f>
        <v>2026</v>
      </c>
      <c r="O175" s="7" t="str">
        <f>IF(B175="","","Q"&amp;ROUNDUP(MONTH(B175)/3,0))</f>
        <v>Q1</v>
      </c>
      <c r="P175" s="7" t="str">
        <f>IF(B175="","",TEXT(B175,"mmmm"))</f>
        <v>March</v>
      </c>
      <c r="Q175" s="7" t="str">
        <f>IF(B175="","",TEXT(B175,"yyyy-mm"))</f>
        <v>2026-03</v>
      </c>
      <c r="R175" s="8">
        <f>IFERROR(G175/F175,"")</f>
        <v>180</v>
      </c>
      <c r="S175" s="9">
        <f>IFERROR(I175/G175,"")</f>
        <v>0.3611111111111111</v>
      </c>
      <c r="T175" s="7" t="s">
        <v>459</v>
      </c>
      <c r="U175" s="7"/>
    </row>
    <row r="176" spans="1:21">
      <c r="A176" s="2" t="s">
        <v>341</v>
      </c>
      <c r="B176" s="3">
        <v>46084</v>
      </c>
      <c r="C176" s="2" t="s">
        <v>27</v>
      </c>
      <c r="D176" s="2" t="s">
        <v>42</v>
      </c>
      <c r="E176" s="2" t="s">
        <v>86</v>
      </c>
      <c r="F176" s="4">
        <v>2</v>
      </c>
      <c r="G176" s="5">
        <v>280</v>
      </c>
      <c r="H176" s="5">
        <v>160</v>
      </c>
      <c r="I176" s="5">
        <v>120</v>
      </c>
      <c r="J176" s="2" t="s">
        <v>460</v>
      </c>
      <c r="K176" s="2" t="s">
        <v>31</v>
      </c>
      <c r="L176" s="6">
        <v>42.9</v>
      </c>
      <c r="M176" s="2" t="s">
        <v>330</v>
      </c>
      <c r="N176" s="7">
        <f>IF(B176="","",YEAR(B176))</f>
        <v>2026</v>
      </c>
      <c r="O176" s="7" t="str">
        <f>IF(B176="","","Q"&amp;ROUNDUP(MONTH(B176)/3,0))</f>
        <v>Q1</v>
      </c>
      <c r="P176" s="7" t="str">
        <f>IF(B176="","",TEXT(B176,"mmmm"))</f>
        <v>March</v>
      </c>
      <c r="Q176" s="7" t="str">
        <f>IF(B176="","",TEXT(B176,"yyyy-mm"))</f>
        <v>2026-03</v>
      </c>
      <c r="R176" s="8">
        <f>IFERROR(G176/F176,"")</f>
        <v>140</v>
      </c>
      <c r="S176" s="9">
        <f>IFERROR(I176/G176,"")</f>
        <v>0.42857142857142855</v>
      </c>
      <c r="T176" s="7" t="s">
        <v>459</v>
      </c>
      <c r="U176" s="7"/>
    </row>
    <row r="177" spans="1:21">
      <c r="A177" s="2" t="s">
        <v>342</v>
      </c>
      <c r="B177" s="3">
        <v>46085</v>
      </c>
      <c r="C177" s="2" t="s">
        <v>49</v>
      </c>
      <c r="D177" s="2" t="s">
        <v>42</v>
      </c>
      <c r="E177" s="2" t="s">
        <v>43</v>
      </c>
      <c r="F177" s="4">
        <v>3</v>
      </c>
      <c r="G177" s="5">
        <v>900</v>
      </c>
      <c r="H177" s="5">
        <v>750</v>
      </c>
      <c r="I177" s="5">
        <v>150</v>
      </c>
      <c r="J177" s="2" t="s">
        <v>460</v>
      </c>
      <c r="K177" s="2" t="s">
        <v>458</v>
      </c>
      <c r="L177" s="6">
        <v>16.7</v>
      </c>
      <c r="M177" s="2" t="s">
        <v>330</v>
      </c>
      <c r="N177" s="7">
        <f>IF(B177="","",YEAR(B177))</f>
        <v>2026</v>
      </c>
      <c r="O177" s="7" t="str">
        <f>IF(B177="","","Q"&amp;ROUNDUP(MONTH(B177)/3,0))</f>
        <v>Q1</v>
      </c>
      <c r="P177" s="7" t="str">
        <f>IF(B177="","",TEXT(B177,"mmmm"))</f>
        <v>March</v>
      </c>
      <c r="Q177" s="7" t="str">
        <f>IF(B177="","",TEXT(B177,"yyyy-mm"))</f>
        <v>2026-03</v>
      </c>
      <c r="R177" s="8">
        <f>IFERROR(G177/F177,"")</f>
        <v>300</v>
      </c>
      <c r="S177" s="9">
        <f>IFERROR(I177/G177,"")</f>
        <v>0.16666666666666666</v>
      </c>
      <c r="T177" s="7" t="s">
        <v>459</v>
      </c>
      <c r="U177" s="7"/>
    </row>
    <row r="178" spans="1:21">
      <c r="A178" s="2" t="s">
        <v>344</v>
      </c>
      <c r="B178" s="3">
        <v>46085</v>
      </c>
      <c r="C178" s="2" t="s">
        <v>27</v>
      </c>
      <c r="D178" s="2" t="s">
        <v>16</v>
      </c>
      <c r="E178" s="2" t="s">
        <v>56</v>
      </c>
      <c r="F178" s="4">
        <v>1</v>
      </c>
      <c r="G178" s="5">
        <v>198</v>
      </c>
      <c r="H178" s="5">
        <v>115</v>
      </c>
      <c r="I178" s="5">
        <v>83</v>
      </c>
      <c r="J178" s="2" t="s">
        <v>460</v>
      </c>
      <c r="K178" s="2" t="s">
        <v>458</v>
      </c>
      <c r="L178" s="6">
        <v>41.9</v>
      </c>
      <c r="M178" s="2" t="s">
        <v>330</v>
      </c>
      <c r="N178" s="7">
        <f>IF(B178="","",YEAR(B178))</f>
        <v>2026</v>
      </c>
      <c r="O178" s="7" t="str">
        <f>IF(B178="","","Q"&amp;ROUNDUP(MONTH(B178)/3,0))</f>
        <v>Q1</v>
      </c>
      <c r="P178" s="7" t="str">
        <f>IF(B178="","",TEXT(B178,"mmmm"))</f>
        <v>March</v>
      </c>
      <c r="Q178" s="7" t="str">
        <f>IF(B178="","",TEXT(B178,"yyyy-mm"))</f>
        <v>2026-03</v>
      </c>
      <c r="R178" s="8">
        <f>IFERROR(G178/F178,"")</f>
        <v>198</v>
      </c>
      <c r="S178" s="9">
        <f>IFERROR(I178/G178,"")</f>
        <v>0.41919191919191917</v>
      </c>
      <c r="T178" s="7" t="s">
        <v>459</v>
      </c>
      <c r="U178" s="7"/>
    </row>
    <row r="179" spans="1:21">
      <c r="A179" s="2" t="s">
        <v>345</v>
      </c>
      <c r="B179" s="3">
        <v>46086</v>
      </c>
      <c r="C179" s="2" t="s">
        <v>15</v>
      </c>
      <c r="D179" s="2" t="s">
        <v>16</v>
      </c>
      <c r="E179" s="2" t="s">
        <v>43</v>
      </c>
      <c r="F179" s="4">
        <v>2</v>
      </c>
      <c r="G179" s="5">
        <v>600</v>
      </c>
      <c r="H179" s="5">
        <v>500</v>
      </c>
      <c r="I179" s="5">
        <v>100</v>
      </c>
      <c r="J179" s="2" t="s">
        <v>460</v>
      </c>
      <c r="K179" s="2" t="s">
        <v>31</v>
      </c>
      <c r="L179" s="6">
        <v>16.7</v>
      </c>
      <c r="M179" s="2" t="s">
        <v>330</v>
      </c>
      <c r="N179" s="7">
        <f>IF(B179="","",YEAR(B179))</f>
        <v>2026</v>
      </c>
      <c r="O179" s="7" t="str">
        <f>IF(B179="","","Q"&amp;ROUNDUP(MONTH(B179)/3,0))</f>
        <v>Q1</v>
      </c>
      <c r="P179" s="7" t="str">
        <f>IF(B179="","",TEXT(B179,"mmmm"))</f>
        <v>March</v>
      </c>
      <c r="Q179" s="7" t="str">
        <f>IF(B179="","",TEXT(B179,"yyyy-mm"))</f>
        <v>2026-03</v>
      </c>
      <c r="R179" s="8">
        <f>IFERROR(G179/F179,"")</f>
        <v>300</v>
      </c>
      <c r="S179" s="9">
        <f>IFERROR(I179/G179,"")</f>
        <v>0.16666666666666666</v>
      </c>
      <c r="T179" s="7" t="s">
        <v>459</v>
      </c>
      <c r="U179" s="7"/>
    </row>
    <row r="180" spans="1:21">
      <c r="A180" s="2" t="s">
        <v>347</v>
      </c>
      <c r="B180" s="3">
        <v>46086</v>
      </c>
      <c r="C180" s="2" t="s">
        <v>27</v>
      </c>
      <c r="D180" s="2" t="s">
        <v>16</v>
      </c>
      <c r="E180" s="2" t="s">
        <v>43</v>
      </c>
      <c r="F180" s="4">
        <v>1</v>
      </c>
      <c r="G180" s="5">
        <v>300</v>
      </c>
      <c r="H180" s="5">
        <v>250</v>
      </c>
      <c r="I180" s="5">
        <v>50</v>
      </c>
      <c r="J180" s="2" t="s">
        <v>22</v>
      </c>
      <c r="K180" s="2" t="s">
        <v>31</v>
      </c>
      <c r="L180" s="6">
        <v>16.7</v>
      </c>
      <c r="M180" s="2" t="s">
        <v>330</v>
      </c>
      <c r="N180" s="7">
        <f>IF(B180="","",YEAR(B180))</f>
        <v>2026</v>
      </c>
      <c r="O180" s="7" t="str">
        <f>IF(B180="","","Q"&amp;ROUNDUP(MONTH(B180)/3,0))</f>
        <v>Q1</v>
      </c>
      <c r="P180" s="7" t="str">
        <f>IF(B180="","",TEXT(B180,"mmmm"))</f>
        <v>March</v>
      </c>
      <c r="Q180" s="7" t="str">
        <f>IF(B180="","",TEXT(B180,"yyyy-mm"))</f>
        <v>2026-03</v>
      </c>
      <c r="R180" s="8">
        <f>IFERROR(G180/F180,"")</f>
        <v>300</v>
      </c>
      <c r="S180" s="9">
        <f>IFERROR(I180/G180,"")</f>
        <v>0.16666666666666666</v>
      </c>
      <c r="T180" s="7" t="s">
        <v>459</v>
      </c>
      <c r="U180" s="7"/>
    </row>
    <row r="181" spans="1:21">
      <c r="A181" s="2" t="s">
        <v>348</v>
      </c>
      <c r="B181" s="3">
        <v>46087</v>
      </c>
      <c r="C181" s="2" t="s">
        <v>34</v>
      </c>
      <c r="D181" s="2" t="s">
        <v>16</v>
      </c>
      <c r="E181" s="2" t="s">
        <v>36</v>
      </c>
      <c r="F181" s="4">
        <v>1</v>
      </c>
      <c r="G181" s="5">
        <v>242</v>
      </c>
      <c r="H181" s="5">
        <v>180</v>
      </c>
      <c r="I181" s="5">
        <v>62</v>
      </c>
      <c r="J181" s="2" t="s">
        <v>460</v>
      </c>
      <c r="K181" s="2" t="s">
        <v>458</v>
      </c>
      <c r="L181" s="6">
        <v>25.6</v>
      </c>
      <c r="M181" s="2" t="s">
        <v>330</v>
      </c>
      <c r="N181" s="7">
        <f>IF(B181="","",YEAR(B181))</f>
        <v>2026</v>
      </c>
      <c r="O181" s="7" t="str">
        <f>IF(B181="","","Q"&amp;ROUNDUP(MONTH(B181)/3,0))</f>
        <v>Q1</v>
      </c>
      <c r="P181" s="7" t="str">
        <f>IF(B181="","",TEXT(B181,"mmmm"))</f>
        <v>March</v>
      </c>
      <c r="Q181" s="7" t="str">
        <f>IF(B181="","",TEXT(B181,"yyyy-mm"))</f>
        <v>2026-03</v>
      </c>
      <c r="R181" s="8">
        <f>IFERROR(G181/F181,"")</f>
        <v>242</v>
      </c>
      <c r="S181" s="9">
        <f>IFERROR(I181/G181,"")</f>
        <v>0.256198347107438</v>
      </c>
      <c r="T181" s="7" t="s">
        <v>459</v>
      </c>
      <c r="U181" s="7"/>
    </row>
    <row r="182" spans="1:21">
      <c r="A182" s="2" t="s">
        <v>350</v>
      </c>
      <c r="B182" s="3">
        <v>46087</v>
      </c>
      <c r="C182" s="2" t="s">
        <v>27</v>
      </c>
      <c r="D182" s="2" t="s">
        <v>16</v>
      </c>
      <c r="E182" s="2" t="s">
        <v>56</v>
      </c>
      <c r="F182" s="4">
        <v>2</v>
      </c>
      <c r="G182" s="5">
        <v>324</v>
      </c>
      <c r="H182" s="5">
        <v>230</v>
      </c>
      <c r="I182" s="5">
        <v>94</v>
      </c>
      <c r="J182" s="2" t="s">
        <v>460</v>
      </c>
      <c r="K182" s="2" t="s">
        <v>31</v>
      </c>
      <c r="L182" s="6">
        <v>29</v>
      </c>
      <c r="M182" s="2" t="s">
        <v>330</v>
      </c>
      <c r="N182" s="7">
        <f>IF(B182="","",YEAR(B182))</f>
        <v>2026</v>
      </c>
      <c r="O182" s="7" t="str">
        <f>IF(B182="","","Q"&amp;ROUNDUP(MONTH(B182)/3,0))</f>
        <v>Q1</v>
      </c>
      <c r="P182" s="7" t="str">
        <f>IF(B182="","",TEXT(B182,"mmmm"))</f>
        <v>March</v>
      </c>
      <c r="Q182" s="7" t="str">
        <f>IF(B182="","",TEXT(B182,"yyyy-mm"))</f>
        <v>2026-03</v>
      </c>
      <c r="R182" s="8">
        <f>IFERROR(G182/F182,"")</f>
        <v>162</v>
      </c>
      <c r="S182" s="9">
        <f>IFERROR(I182/G182,"")</f>
        <v>0.29012345679012347</v>
      </c>
      <c r="T182" s="7" t="s">
        <v>459</v>
      </c>
      <c r="U182" s="7"/>
    </row>
    <row r="183" spans="1:21">
      <c r="A183" s="2" t="s">
        <v>353</v>
      </c>
      <c r="B183" s="3">
        <v>46087</v>
      </c>
      <c r="C183" s="2" t="s">
        <v>49</v>
      </c>
      <c r="D183" s="2" t="s">
        <v>16</v>
      </c>
      <c r="E183" s="2" t="s">
        <v>56</v>
      </c>
      <c r="F183" s="4">
        <v>1</v>
      </c>
      <c r="G183" s="5">
        <v>180</v>
      </c>
      <c r="H183" s="5">
        <v>115</v>
      </c>
      <c r="I183" s="5">
        <v>65</v>
      </c>
      <c r="J183" s="2" t="s">
        <v>22</v>
      </c>
      <c r="K183" s="2" t="s">
        <v>458</v>
      </c>
      <c r="L183" s="6">
        <v>36.1</v>
      </c>
      <c r="M183" s="2" t="s">
        <v>330</v>
      </c>
      <c r="N183" s="7">
        <f>IF(B183="","",YEAR(B183))</f>
        <v>2026</v>
      </c>
      <c r="O183" s="7" t="str">
        <f>IF(B183="","","Q"&amp;ROUNDUP(MONTH(B183)/3,0))</f>
        <v>Q1</v>
      </c>
      <c r="P183" s="7" t="str">
        <f>IF(B183="","",TEXT(B183,"mmmm"))</f>
        <v>March</v>
      </c>
      <c r="Q183" s="7" t="str">
        <f>IF(B183="","",TEXT(B183,"yyyy-mm"))</f>
        <v>2026-03</v>
      </c>
      <c r="R183" s="8">
        <f>IFERROR(G183/F183,"")</f>
        <v>180</v>
      </c>
      <c r="S183" s="9">
        <f>IFERROR(I183/G183,"")</f>
        <v>0.3611111111111111</v>
      </c>
      <c r="T183" s="7" t="s">
        <v>459</v>
      </c>
      <c r="U183" s="7"/>
    </row>
    <row r="184" spans="1:21">
      <c r="A184" s="2" t="s">
        <v>354</v>
      </c>
      <c r="B184" s="3">
        <v>46087</v>
      </c>
      <c r="C184" s="2" t="s">
        <v>49</v>
      </c>
      <c r="D184" s="2" t="s">
        <v>42</v>
      </c>
      <c r="E184" s="2" t="s">
        <v>17</v>
      </c>
      <c r="F184" s="4">
        <v>1</v>
      </c>
      <c r="G184" s="5">
        <v>90</v>
      </c>
      <c r="H184" s="5">
        <v>40</v>
      </c>
      <c r="I184" s="5">
        <v>50</v>
      </c>
      <c r="J184" s="2" t="s">
        <v>460</v>
      </c>
      <c r="K184" s="2" t="s">
        <v>458</v>
      </c>
      <c r="L184" s="6">
        <v>55.6</v>
      </c>
      <c r="M184" s="2" t="s">
        <v>330</v>
      </c>
      <c r="N184" s="7">
        <f>IF(B184="","",YEAR(B184))</f>
        <v>2026</v>
      </c>
      <c r="O184" s="7" t="str">
        <f>IF(B184="","","Q"&amp;ROUNDUP(MONTH(B184)/3,0))</f>
        <v>Q1</v>
      </c>
      <c r="P184" s="7" t="str">
        <f>IF(B184="","",TEXT(B184,"mmmm"))</f>
        <v>March</v>
      </c>
      <c r="Q184" s="7" t="str">
        <f>IF(B184="","",TEXT(B184,"yyyy-mm"))</f>
        <v>2026-03</v>
      </c>
      <c r="R184" s="8">
        <f>IFERROR(G184/F184,"")</f>
        <v>90</v>
      </c>
      <c r="S184" s="9">
        <f>IFERROR(I184/G184,"")</f>
        <v>0.55555555555555558</v>
      </c>
      <c r="T184" s="7" t="s">
        <v>459</v>
      </c>
      <c r="U184" s="7"/>
    </row>
    <row r="185" spans="1:21">
      <c r="A185" s="2" t="s">
        <v>355</v>
      </c>
      <c r="B185" s="3">
        <v>46087</v>
      </c>
      <c r="C185" s="2" t="s">
        <v>15</v>
      </c>
      <c r="D185" s="2" t="s">
        <v>16</v>
      </c>
      <c r="E185" s="2" t="s">
        <v>17</v>
      </c>
      <c r="F185" s="4">
        <v>2</v>
      </c>
      <c r="G185" s="5">
        <v>180</v>
      </c>
      <c r="H185" s="5">
        <v>80</v>
      </c>
      <c r="I185" s="5">
        <v>100</v>
      </c>
      <c r="J185" s="2" t="s">
        <v>62</v>
      </c>
      <c r="K185" s="2" t="s">
        <v>31</v>
      </c>
      <c r="L185" s="6">
        <v>55.6</v>
      </c>
      <c r="M185" s="2" t="s">
        <v>330</v>
      </c>
      <c r="N185" s="7">
        <f>IF(B185="","",YEAR(B185))</f>
        <v>2026</v>
      </c>
      <c r="O185" s="7" t="str">
        <f>IF(B185="","","Q"&amp;ROUNDUP(MONTH(B185)/3,0))</f>
        <v>Q1</v>
      </c>
      <c r="P185" s="7" t="str">
        <f>IF(B185="","",TEXT(B185,"mmmm"))</f>
        <v>March</v>
      </c>
      <c r="Q185" s="7" t="str">
        <f>IF(B185="","",TEXT(B185,"yyyy-mm"))</f>
        <v>2026-03</v>
      </c>
      <c r="R185" s="8">
        <f>IFERROR(G185/F185,"")</f>
        <v>90</v>
      </c>
      <c r="S185" s="9">
        <f>IFERROR(I185/G185,"")</f>
        <v>0.55555555555555558</v>
      </c>
      <c r="T185" s="7" t="s">
        <v>459</v>
      </c>
      <c r="U185" s="7"/>
    </row>
    <row r="186" spans="1:21">
      <c r="A186" s="2" t="s">
        <v>356</v>
      </c>
      <c r="B186" s="3">
        <v>46088</v>
      </c>
      <c r="C186" s="2" t="s">
        <v>49</v>
      </c>
      <c r="D186" s="2" t="s">
        <v>16</v>
      </c>
      <c r="E186" s="2" t="s">
        <v>17</v>
      </c>
      <c r="F186" s="4">
        <v>1</v>
      </c>
      <c r="G186" s="5">
        <v>81</v>
      </c>
      <c r="H186" s="5">
        <v>40</v>
      </c>
      <c r="I186" s="5">
        <v>41</v>
      </c>
      <c r="J186" s="2" t="s">
        <v>460</v>
      </c>
      <c r="K186" s="2" t="s">
        <v>458</v>
      </c>
      <c r="L186" s="6">
        <v>50.6</v>
      </c>
      <c r="M186" s="2" t="s">
        <v>330</v>
      </c>
      <c r="N186" s="7">
        <f>IF(B186="","",YEAR(B186))</f>
        <v>2026</v>
      </c>
      <c r="O186" s="7" t="str">
        <f>IF(B186="","","Q"&amp;ROUNDUP(MONTH(B186)/3,0))</f>
        <v>Q1</v>
      </c>
      <c r="P186" s="7" t="str">
        <f>IF(B186="","",TEXT(B186,"mmmm"))</f>
        <v>March</v>
      </c>
      <c r="Q186" s="7" t="str">
        <f>IF(B186="","",TEXT(B186,"yyyy-mm"))</f>
        <v>2026-03</v>
      </c>
      <c r="R186" s="8">
        <f>IFERROR(G186/F186,"")</f>
        <v>81</v>
      </c>
      <c r="S186" s="9">
        <f>IFERROR(I186/G186,"")</f>
        <v>0.50617283950617287</v>
      </c>
      <c r="T186" s="7" t="s">
        <v>459</v>
      </c>
      <c r="U186" s="7"/>
    </row>
    <row r="187" spans="1:21">
      <c r="A187" s="2" t="s">
        <v>358</v>
      </c>
      <c r="B187" s="3">
        <v>46088</v>
      </c>
      <c r="C187" s="2" t="s">
        <v>15</v>
      </c>
      <c r="D187" s="2" t="s">
        <v>16</v>
      </c>
      <c r="E187" s="2" t="s">
        <v>17</v>
      </c>
      <c r="F187" s="4">
        <v>1</v>
      </c>
      <c r="G187" s="5">
        <v>90</v>
      </c>
      <c r="H187" s="5">
        <v>40</v>
      </c>
      <c r="I187" s="5">
        <v>50</v>
      </c>
      <c r="J187" s="2" t="s">
        <v>460</v>
      </c>
      <c r="K187" s="2" t="s">
        <v>458</v>
      </c>
      <c r="L187" s="6">
        <v>55.6</v>
      </c>
      <c r="M187" s="2" t="s">
        <v>330</v>
      </c>
      <c r="N187" s="7">
        <f>IF(B187="","",YEAR(B187))</f>
        <v>2026</v>
      </c>
      <c r="O187" s="7" t="str">
        <f>IF(B187="","","Q"&amp;ROUNDUP(MONTH(B187)/3,0))</f>
        <v>Q1</v>
      </c>
      <c r="P187" s="7" t="str">
        <f>IF(B187="","",TEXT(B187,"mmmm"))</f>
        <v>March</v>
      </c>
      <c r="Q187" s="7" t="str">
        <f>IF(B187="","",TEXT(B187,"yyyy-mm"))</f>
        <v>2026-03</v>
      </c>
      <c r="R187" s="8">
        <f>IFERROR(G187/F187,"")</f>
        <v>90</v>
      </c>
      <c r="S187" s="9">
        <f>IFERROR(I187/G187,"")</f>
        <v>0.55555555555555558</v>
      </c>
      <c r="T187" s="7" t="s">
        <v>459</v>
      </c>
      <c r="U187" s="7"/>
    </row>
    <row r="188" spans="1:21">
      <c r="A188" s="2" t="s">
        <v>359</v>
      </c>
      <c r="B188" s="3">
        <v>46088</v>
      </c>
      <c r="C188" s="2" t="s">
        <v>34</v>
      </c>
      <c r="D188" s="2" t="s">
        <v>16</v>
      </c>
      <c r="E188" s="2" t="s">
        <v>17</v>
      </c>
      <c r="F188" s="4">
        <v>1</v>
      </c>
      <c r="G188" s="5">
        <v>99</v>
      </c>
      <c r="H188" s="5">
        <v>40</v>
      </c>
      <c r="I188" s="5">
        <v>59</v>
      </c>
      <c r="J188" s="2" t="s">
        <v>62</v>
      </c>
      <c r="K188" s="2" t="s">
        <v>31</v>
      </c>
      <c r="L188" s="6">
        <v>59.6</v>
      </c>
      <c r="M188" s="2" t="s">
        <v>330</v>
      </c>
      <c r="N188" s="7">
        <f>IF(B188="","",YEAR(B188))</f>
        <v>2026</v>
      </c>
      <c r="O188" s="7" t="str">
        <f>IF(B188="","","Q"&amp;ROUNDUP(MONTH(B188)/3,0))</f>
        <v>Q1</v>
      </c>
      <c r="P188" s="7" t="str">
        <f>IF(B188="","",TEXT(B188,"mmmm"))</f>
        <v>March</v>
      </c>
      <c r="Q188" s="7" t="str">
        <f>IF(B188="","",TEXT(B188,"yyyy-mm"))</f>
        <v>2026-03</v>
      </c>
      <c r="R188" s="8">
        <f>IFERROR(G188/F188,"")</f>
        <v>99</v>
      </c>
      <c r="S188" s="9">
        <f>IFERROR(I188/G188,"")</f>
        <v>0.59595959595959591</v>
      </c>
      <c r="T188" s="7" t="s">
        <v>459</v>
      </c>
      <c r="U188" s="7"/>
    </row>
    <row r="189" spans="1:21">
      <c r="A189" s="2" t="s">
        <v>360</v>
      </c>
      <c r="B189" s="3">
        <v>46088</v>
      </c>
      <c r="C189" s="2" t="s">
        <v>49</v>
      </c>
      <c r="D189" s="2" t="s">
        <v>16</v>
      </c>
      <c r="E189" s="2" t="s">
        <v>36</v>
      </c>
      <c r="F189" s="4">
        <v>1</v>
      </c>
      <c r="G189" s="5">
        <v>220</v>
      </c>
      <c r="H189" s="5">
        <v>180</v>
      </c>
      <c r="I189" s="5">
        <v>40</v>
      </c>
      <c r="J189" s="2" t="s">
        <v>460</v>
      </c>
      <c r="K189" s="2" t="s">
        <v>458</v>
      </c>
      <c r="L189" s="6">
        <v>18.2</v>
      </c>
      <c r="M189" s="2" t="s">
        <v>330</v>
      </c>
      <c r="N189" s="7">
        <f>IF(B189="","",YEAR(B189))</f>
        <v>2026</v>
      </c>
      <c r="O189" s="7" t="str">
        <f>IF(B189="","","Q"&amp;ROUNDUP(MONTH(B189)/3,0))</f>
        <v>Q1</v>
      </c>
      <c r="P189" s="7" t="str">
        <f>IF(B189="","",TEXT(B189,"mmmm"))</f>
        <v>March</v>
      </c>
      <c r="Q189" s="7" t="str">
        <f>IF(B189="","",TEXT(B189,"yyyy-mm"))</f>
        <v>2026-03</v>
      </c>
      <c r="R189" s="8">
        <f>IFERROR(G189/F189,"")</f>
        <v>220</v>
      </c>
      <c r="S189" s="9">
        <f>IFERROR(I189/G189,"")</f>
        <v>0.18181818181818182</v>
      </c>
      <c r="T189" s="7" t="s">
        <v>459</v>
      </c>
      <c r="U189" s="7"/>
    </row>
    <row r="190" spans="1:21">
      <c r="A190" s="2" t="s">
        <v>361</v>
      </c>
      <c r="B190" s="3">
        <v>46088</v>
      </c>
      <c r="C190" s="2" t="s">
        <v>49</v>
      </c>
      <c r="D190" s="2" t="s">
        <v>42</v>
      </c>
      <c r="E190" s="2" t="s">
        <v>56</v>
      </c>
      <c r="F190" s="4">
        <v>1</v>
      </c>
      <c r="G190" s="5">
        <v>162</v>
      </c>
      <c r="H190" s="5">
        <v>115</v>
      </c>
      <c r="I190" s="5">
        <v>47</v>
      </c>
      <c r="J190" s="2" t="s">
        <v>460</v>
      </c>
      <c r="K190" s="2" t="s">
        <v>458</v>
      </c>
      <c r="L190" s="6">
        <v>29</v>
      </c>
      <c r="M190" s="2" t="s">
        <v>330</v>
      </c>
      <c r="N190" s="7">
        <f>IF(B190="","",YEAR(B190))</f>
        <v>2026</v>
      </c>
      <c r="O190" s="7" t="str">
        <f>IF(B190="","","Q"&amp;ROUNDUP(MONTH(B190)/3,0))</f>
        <v>Q1</v>
      </c>
      <c r="P190" s="7" t="str">
        <f>IF(B190="","",TEXT(B190,"mmmm"))</f>
        <v>March</v>
      </c>
      <c r="Q190" s="7" t="str">
        <f>IF(B190="","",TEXT(B190,"yyyy-mm"))</f>
        <v>2026-03</v>
      </c>
      <c r="R190" s="8">
        <f>IFERROR(G190/F190,"")</f>
        <v>162</v>
      </c>
      <c r="S190" s="9">
        <f>IFERROR(I190/G190,"")</f>
        <v>0.29012345679012347</v>
      </c>
      <c r="T190" s="7" t="s">
        <v>459</v>
      </c>
      <c r="U190" s="7"/>
    </row>
    <row r="191" spans="1:21">
      <c r="A191" s="2" t="s">
        <v>362</v>
      </c>
      <c r="B191" s="3">
        <v>46089</v>
      </c>
      <c r="C191" s="2" t="s">
        <v>27</v>
      </c>
      <c r="D191" s="2" t="s">
        <v>16</v>
      </c>
      <c r="E191" s="2" t="s">
        <v>43</v>
      </c>
      <c r="F191" s="4">
        <v>1</v>
      </c>
      <c r="G191" s="5">
        <v>300</v>
      </c>
      <c r="H191" s="5">
        <v>250</v>
      </c>
      <c r="I191" s="5">
        <v>50</v>
      </c>
      <c r="J191" s="2" t="s">
        <v>460</v>
      </c>
      <c r="K191" s="2" t="s">
        <v>458</v>
      </c>
      <c r="L191" s="6">
        <v>16.7</v>
      </c>
      <c r="M191" s="2" t="s">
        <v>330</v>
      </c>
      <c r="N191" s="7">
        <f>IF(B191="","",YEAR(B191))</f>
        <v>2026</v>
      </c>
      <c r="O191" s="7" t="str">
        <f>IF(B191="","","Q"&amp;ROUNDUP(MONTH(B191)/3,0))</f>
        <v>Q1</v>
      </c>
      <c r="P191" s="7" t="str">
        <f>IF(B191="","",TEXT(B191,"mmmm"))</f>
        <v>March</v>
      </c>
      <c r="Q191" s="7" t="str">
        <f>IF(B191="","",TEXT(B191,"yyyy-mm"))</f>
        <v>2026-03</v>
      </c>
      <c r="R191" s="8">
        <f>IFERROR(G191/F191,"")</f>
        <v>300</v>
      </c>
      <c r="S191" s="9">
        <f>IFERROR(I191/G191,"")</f>
        <v>0.16666666666666666</v>
      </c>
      <c r="T191" s="7" t="s">
        <v>459</v>
      </c>
      <c r="U191" s="7"/>
    </row>
    <row r="192" spans="1:21">
      <c r="A192" s="2" t="s">
        <v>364</v>
      </c>
      <c r="B192" s="3">
        <v>46089</v>
      </c>
      <c r="C192" s="2" t="s">
        <v>15</v>
      </c>
      <c r="D192" s="2" t="s">
        <v>16</v>
      </c>
      <c r="E192" s="2" t="s">
        <v>43</v>
      </c>
      <c r="F192" s="4">
        <v>1</v>
      </c>
      <c r="G192" s="5">
        <v>330</v>
      </c>
      <c r="H192" s="5">
        <v>250</v>
      </c>
      <c r="I192" s="5">
        <v>80</v>
      </c>
      <c r="J192" s="2" t="s">
        <v>460</v>
      </c>
      <c r="K192" s="2" t="s">
        <v>31</v>
      </c>
      <c r="L192" s="6">
        <v>24.2</v>
      </c>
      <c r="M192" s="2" t="s">
        <v>330</v>
      </c>
      <c r="N192" s="7">
        <f>IF(B192="","",YEAR(B192))</f>
        <v>2026</v>
      </c>
      <c r="O192" s="7" t="str">
        <f>IF(B192="","","Q"&amp;ROUNDUP(MONTH(B192)/3,0))</f>
        <v>Q1</v>
      </c>
      <c r="P192" s="7" t="str">
        <f>IF(B192="","",TEXT(B192,"mmmm"))</f>
        <v>March</v>
      </c>
      <c r="Q192" s="7" t="str">
        <f>IF(B192="","",TEXT(B192,"yyyy-mm"))</f>
        <v>2026-03</v>
      </c>
      <c r="R192" s="8">
        <f>IFERROR(G192/F192,"")</f>
        <v>330</v>
      </c>
      <c r="S192" s="9">
        <f>IFERROR(I192/G192,"")</f>
        <v>0.24242424242424243</v>
      </c>
      <c r="T192" s="7" t="s">
        <v>459</v>
      </c>
      <c r="U192" s="7"/>
    </row>
    <row r="193" spans="1:21">
      <c r="A193" s="2" t="s">
        <v>365</v>
      </c>
      <c r="B193" s="3">
        <v>46089</v>
      </c>
      <c r="C193" s="2" t="s">
        <v>15</v>
      </c>
      <c r="D193" s="2" t="s">
        <v>16</v>
      </c>
      <c r="E193" s="2" t="s">
        <v>86</v>
      </c>
      <c r="F193" s="4">
        <v>1</v>
      </c>
      <c r="G193" s="5">
        <v>140</v>
      </c>
      <c r="H193" s="5">
        <v>80</v>
      </c>
      <c r="I193" s="5">
        <v>60</v>
      </c>
      <c r="J193" s="2" t="s">
        <v>460</v>
      </c>
      <c r="K193" s="2" t="s">
        <v>458</v>
      </c>
      <c r="L193" s="6">
        <v>42.9</v>
      </c>
      <c r="M193" s="2" t="s">
        <v>330</v>
      </c>
      <c r="N193" s="7">
        <f>IF(B193="","",YEAR(B193))</f>
        <v>2026</v>
      </c>
      <c r="O193" s="7" t="str">
        <f>IF(B193="","","Q"&amp;ROUNDUP(MONTH(B193)/3,0))</f>
        <v>Q1</v>
      </c>
      <c r="P193" s="7" t="str">
        <f>IF(B193="","",TEXT(B193,"mmmm"))</f>
        <v>March</v>
      </c>
      <c r="Q193" s="7" t="str">
        <f>IF(B193="","",TEXT(B193,"yyyy-mm"))</f>
        <v>2026-03</v>
      </c>
      <c r="R193" s="8">
        <f>IFERROR(G193/F193,"")</f>
        <v>140</v>
      </c>
      <c r="S193" s="9">
        <f>IFERROR(I193/G193,"")</f>
        <v>0.42857142857142855</v>
      </c>
      <c r="T193" s="7" t="s">
        <v>459</v>
      </c>
      <c r="U193" s="7"/>
    </row>
    <row r="194" spans="1:21">
      <c r="A194" s="2" t="s">
        <v>366</v>
      </c>
      <c r="B194" s="3">
        <v>46089</v>
      </c>
      <c r="C194" s="2" t="s">
        <v>27</v>
      </c>
      <c r="D194" s="2" t="s">
        <v>16</v>
      </c>
      <c r="E194" s="2" t="s">
        <v>56</v>
      </c>
      <c r="F194" s="4">
        <v>1</v>
      </c>
      <c r="G194" s="5">
        <v>180</v>
      </c>
      <c r="H194" s="5">
        <v>115</v>
      </c>
      <c r="I194" s="5">
        <v>65</v>
      </c>
      <c r="J194" s="2" t="s">
        <v>22</v>
      </c>
      <c r="K194" s="2" t="s">
        <v>31</v>
      </c>
      <c r="L194" s="6">
        <v>36.1</v>
      </c>
      <c r="M194" s="2" t="s">
        <v>330</v>
      </c>
      <c r="N194" s="7">
        <f>IF(B194="","",YEAR(B194))</f>
        <v>2026</v>
      </c>
      <c r="O194" s="7" t="str">
        <f>IF(B194="","","Q"&amp;ROUNDUP(MONTH(B194)/3,0))</f>
        <v>Q1</v>
      </c>
      <c r="P194" s="7" t="str">
        <f>IF(B194="","",TEXT(B194,"mmmm"))</f>
        <v>March</v>
      </c>
      <c r="Q194" s="7" t="str">
        <f>IF(B194="","",TEXT(B194,"yyyy-mm"))</f>
        <v>2026-03</v>
      </c>
      <c r="R194" s="8">
        <f>IFERROR(G194/F194,"")</f>
        <v>180</v>
      </c>
      <c r="S194" s="9">
        <f>IFERROR(I194/G194,"")</f>
        <v>0.3611111111111111</v>
      </c>
      <c r="T194" s="7" t="s">
        <v>459</v>
      </c>
      <c r="U194" s="7"/>
    </row>
    <row r="195" spans="1:21">
      <c r="A195" s="2" t="s">
        <v>367</v>
      </c>
      <c r="B195" s="3">
        <v>46090</v>
      </c>
      <c r="C195" s="2" t="s">
        <v>34</v>
      </c>
      <c r="D195" s="2" t="s">
        <v>42</v>
      </c>
      <c r="E195" s="2" t="s">
        <v>36</v>
      </c>
      <c r="F195" s="4">
        <v>1</v>
      </c>
      <c r="G195" s="5">
        <v>220</v>
      </c>
      <c r="H195" s="5">
        <v>180</v>
      </c>
      <c r="I195" s="5">
        <v>40</v>
      </c>
      <c r="J195" s="2" t="s">
        <v>62</v>
      </c>
      <c r="K195" s="2" t="s">
        <v>31</v>
      </c>
      <c r="L195" s="6">
        <v>18.2</v>
      </c>
      <c r="M195" s="2" t="s">
        <v>330</v>
      </c>
      <c r="N195" s="7">
        <f>IF(B195="","",YEAR(B195))</f>
        <v>2026</v>
      </c>
      <c r="O195" s="7" t="str">
        <f>IF(B195="","","Q"&amp;ROUNDUP(MONTH(B195)/3,0))</f>
        <v>Q1</v>
      </c>
      <c r="P195" s="7" t="str">
        <f>IF(B195="","",TEXT(B195,"mmmm"))</f>
        <v>March</v>
      </c>
      <c r="Q195" s="7" t="str">
        <f>IF(B195="","",TEXT(B195,"yyyy-mm"))</f>
        <v>2026-03</v>
      </c>
      <c r="R195" s="8">
        <f>IFERROR(G195/F195,"")</f>
        <v>220</v>
      </c>
      <c r="S195" s="9">
        <f>IFERROR(I195/G195,"")</f>
        <v>0.18181818181818182</v>
      </c>
      <c r="T195" s="7" t="s">
        <v>459</v>
      </c>
      <c r="U195" s="7"/>
    </row>
    <row r="196" spans="1:21">
      <c r="A196" s="2" t="s">
        <v>369</v>
      </c>
      <c r="B196" s="3">
        <v>46090</v>
      </c>
      <c r="C196" s="2" t="s">
        <v>27</v>
      </c>
      <c r="D196" s="2" t="s">
        <v>16</v>
      </c>
      <c r="E196" s="2" t="s">
        <v>86</v>
      </c>
      <c r="F196" s="4">
        <v>1</v>
      </c>
      <c r="G196" s="5">
        <v>126</v>
      </c>
      <c r="H196" s="5">
        <v>80</v>
      </c>
      <c r="I196" s="5">
        <v>46</v>
      </c>
      <c r="J196" s="2" t="s">
        <v>460</v>
      </c>
      <c r="K196" s="2" t="s">
        <v>31</v>
      </c>
      <c r="L196" s="6">
        <v>36.5</v>
      </c>
      <c r="M196" s="2" t="s">
        <v>330</v>
      </c>
      <c r="N196" s="7">
        <f>IF(B196="","",YEAR(B196))</f>
        <v>2026</v>
      </c>
      <c r="O196" s="7" t="str">
        <f>IF(B196="","","Q"&amp;ROUNDUP(MONTH(B196)/3,0))</f>
        <v>Q1</v>
      </c>
      <c r="P196" s="7" t="str">
        <f>IF(B196="","",TEXT(B196,"mmmm"))</f>
        <v>March</v>
      </c>
      <c r="Q196" s="7" t="str">
        <f>IF(B196="","",TEXT(B196,"yyyy-mm"))</f>
        <v>2026-03</v>
      </c>
      <c r="R196" s="8">
        <f>IFERROR(G196/F196,"")</f>
        <v>126</v>
      </c>
      <c r="S196" s="9">
        <f>IFERROR(I196/G196,"")</f>
        <v>0.36507936507936506</v>
      </c>
      <c r="T196" s="7" t="s">
        <v>459</v>
      </c>
      <c r="U196" s="7"/>
    </row>
    <row r="197" spans="1:21">
      <c r="A197" s="2" t="s">
        <v>370</v>
      </c>
      <c r="B197" s="3">
        <v>46090</v>
      </c>
      <c r="C197" s="2" t="s">
        <v>49</v>
      </c>
      <c r="D197" s="2" t="s">
        <v>53</v>
      </c>
      <c r="E197" s="2" t="s">
        <v>86</v>
      </c>
      <c r="F197" s="4">
        <v>1</v>
      </c>
      <c r="G197" s="5">
        <v>140</v>
      </c>
      <c r="H197" s="5">
        <v>80</v>
      </c>
      <c r="I197" s="5">
        <v>60</v>
      </c>
      <c r="J197" s="2" t="s">
        <v>22</v>
      </c>
      <c r="K197" s="2" t="s">
        <v>31</v>
      </c>
      <c r="L197" s="6">
        <v>42.9</v>
      </c>
      <c r="M197" s="2" t="s">
        <v>330</v>
      </c>
      <c r="N197" s="7">
        <f>IF(B197="","",YEAR(B197))</f>
        <v>2026</v>
      </c>
      <c r="O197" s="7" t="str">
        <f>IF(B197="","","Q"&amp;ROUNDUP(MONTH(B197)/3,0))</f>
        <v>Q1</v>
      </c>
      <c r="P197" s="7" t="str">
        <f>IF(B197="","",TEXT(B197,"mmmm"))</f>
        <v>March</v>
      </c>
      <c r="Q197" s="7" t="str">
        <f>IF(B197="","",TEXT(B197,"yyyy-mm"))</f>
        <v>2026-03</v>
      </c>
      <c r="R197" s="8">
        <f>IFERROR(G197/F197,"")</f>
        <v>140</v>
      </c>
      <c r="S197" s="9">
        <f>IFERROR(I197/G197,"")</f>
        <v>0.42857142857142855</v>
      </c>
      <c r="T197" s="7" t="s">
        <v>459</v>
      </c>
      <c r="U197" s="7"/>
    </row>
    <row r="198" spans="1:21">
      <c r="A198" s="2" t="s">
        <v>371</v>
      </c>
      <c r="B198" s="3">
        <v>46091</v>
      </c>
      <c r="C198" s="2" t="s">
        <v>34</v>
      </c>
      <c r="D198" s="2" t="s">
        <v>16</v>
      </c>
      <c r="E198" s="2" t="s">
        <v>43</v>
      </c>
      <c r="F198" s="4">
        <v>2</v>
      </c>
      <c r="G198" s="5">
        <v>660</v>
      </c>
      <c r="H198" s="5">
        <v>500</v>
      </c>
      <c r="I198" s="5">
        <v>160</v>
      </c>
      <c r="J198" s="2" t="s">
        <v>460</v>
      </c>
      <c r="K198" s="2" t="s">
        <v>458</v>
      </c>
      <c r="L198" s="6">
        <v>24.2</v>
      </c>
      <c r="M198" s="2" t="s">
        <v>330</v>
      </c>
      <c r="N198" s="7">
        <f>IF(B198="","",YEAR(B198))</f>
        <v>2026</v>
      </c>
      <c r="O198" s="7" t="str">
        <f>IF(B198="","","Q"&amp;ROUNDUP(MONTH(B198)/3,0))</f>
        <v>Q1</v>
      </c>
      <c r="P198" s="7" t="str">
        <f>IF(B198="","",TEXT(B198,"mmmm"))</f>
        <v>March</v>
      </c>
      <c r="Q198" s="7" t="str">
        <f>IF(B198="","",TEXT(B198,"yyyy-mm"))</f>
        <v>2026-03</v>
      </c>
      <c r="R198" s="8">
        <f>IFERROR(G198/F198,"")</f>
        <v>330</v>
      </c>
      <c r="S198" s="9">
        <f>IFERROR(I198/G198,"")</f>
        <v>0.24242424242424243</v>
      </c>
      <c r="T198" s="7" t="s">
        <v>459</v>
      </c>
      <c r="U198" s="7"/>
    </row>
    <row r="199" spans="1:21">
      <c r="A199" s="2" t="s">
        <v>373</v>
      </c>
      <c r="B199" s="3">
        <v>46091</v>
      </c>
      <c r="C199" s="2" t="s">
        <v>34</v>
      </c>
      <c r="D199" s="2" t="s">
        <v>16</v>
      </c>
      <c r="E199" s="2" t="s">
        <v>56</v>
      </c>
      <c r="F199" s="4">
        <v>3</v>
      </c>
      <c r="G199" s="5">
        <v>540</v>
      </c>
      <c r="H199" s="5">
        <v>345</v>
      </c>
      <c r="I199" s="5">
        <v>195</v>
      </c>
      <c r="J199" s="2" t="s">
        <v>62</v>
      </c>
      <c r="K199" s="2" t="s">
        <v>458</v>
      </c>
      <c r="L199" s="6">
        <v>36.1</v>
      </c>
      <c r="M199" s="2" t="s">
        <v>330</v>
      </c>
      <c r="N199" s="7">
        <f>IF(B199="","",YEAR(B199))</f>
        <v>2026</v>
      </c>
      <c r="O199" s="7" t="str">
        <f>IF(B199="","","Q"&amp;ROUNDUP(MONTH(B199)/3,0))</f>
        <v>Q1</v>
      </c>
      <c r="P199" s="7" t="str">
        <f>IF(B199="","",TEXT(B199,"mmmm"))</f>
        <v>March</v>
      </c>
      <c r="Q199" s="7" t="str">
        <f>IF(B199="","",TEXT(B199,"yyyy-mm"))</f>
        <v>2026-03</v>
      </c>
      <c r="R199" s="8">
        <f>IFERROR(G199/F199,"")</f>
        <v>180</v>
      </c>
      <c r="S199" s="9">
        <f>IFERROR(I199/G199,"")</f>
        <v>0.3611111111111111</v>
      </c>
      <c r="T199" s="7" t="s">
        <v>459</v>
      </c>
      <c r="U199" s="7"/>
    </row>
    <row r="200" spans="1:21">
      <c r="A200" s="2" t="s">
        <v>374</v>
      </c>
      <c r="B200" s="3">
        <v>46091</v>
      </c>
      <c r="C200" s="2" t="s">
        <v>27</v>
      </c>
      <c r="D200" s="2" t="s">
        <v>42</v>
      </c>
      <c r="E200" s="2" t="s">
        <v>86</v>
      </c>
      <c r="F200" s="4">
        <v>1</v>
      </c>
      <c r="G200" s="5">
        <v>140</v>
      </c>
      <c r="H200" s="5">
        <v>80</v>
      </c>
      <c r="I200" s="5">
        <v>60</v>
      </c>
      <c r="J200" s="2" t="s">
        <v>460</v>
      </c>
      <c r="K200" s="2" t="s">
        <v>31</v>
      </c>
      <c r="L200" s="6">
        <v>42.9</v>
      </c>
      <c r="M200" s="2" t="s">
        <v>330</v>
      </c>
      <c r="N200" s="7">
        <f>IF(B200="","",YEAR(B200))</f>
        <v>2026</v>
      </c>
      <c r="O200" s="7" t="str">
        <f>IF(B200="","","Q"&amp;ROUNDUP(MONTH(B200)/3,0))</f>
        <v>Q1</v>
      </c>
      <c r="P200" s="7" t="str">
        <f>IF(B200="","",TEXT(B200,"mmmm"))</f>
        <v>March</v>
      </c>
      <c r="Q200" s="7" t="str">
        <f>IF(B200="","",TEXT(B200,"yyyy-mm"))</f>
        <v>2026-03</v>
      </c>
      <c r="R200" s="8">
        <f>IFERROR(G200/F200,"")</f>
        <v>140</v>
      </c>
      <c r="S200" s="9">
        <f>IFERROR(I200/G200,"")</f>
        <v>0.42857142857142855</v>
      </c>
      <c r="T200" s="7" t="s">
        <v>459</v>
      </c>
      <c r="U200" s="7"/>
    </row>
    <row r="201" spans="1:21">
      <c r="A201" s="2" t="s">
        <v>375</v>
      </c>
      <c r="B201" s="3">
        <v>46092</v>
      </c>
      <c r="C201" s="2" t="s">
        <v>15</v>
      </c>
      <c r="D201" s="2" t="s">
        <v>53</v>
      </c>
      <c r="E201" s="2" t="s">
        <v>56</v>
      </c>
      <c r="F201" s="4">
        <v>1</v>
      </c>
      <c r="G201" s="5">
        <v>180</v>
      </c>
      <c r="H201" s="5">
        <v>115</v>
      </c>
      <c r="I201" s="5">
        <v>65</v>
      </c>
      <c r="J201" s="2" t="s">
        <v>460</v>
      </c>
      <c r="K201" s="2" t="s">
        <v>31</v>
      </c>
      <c r="L201" s="6">
        <v>36.1</v>
      </c>
      <c r="M201" s="2" t="s">
        <v>330</v>
      </c>
      <c r="N201" s="7">
        <f>IF(B201="","",YEAR(B201))</f>
        <v>2026</v>
      </c>
      <c r="O201" s="7" t="str">
        <f>IF(B201="","","Q"&amp;ROUNDUP(MONTH(B201)/3,0))</f>
        <v>Q1</v>
      </c>
      <c r="P201" s="7" t="str">
        <f>IF(B201="","",TEXT(B201,"mmmm"))</f>
        <v>March</v>
      </c>
      <c r="Q201" s="7" t="str">
        <f>IF(B201="","",TEXT(B201,"yyyy-mm"))</f>
        <v>2026-03</v>
      </c>
      <c r="R201" s="8">
        <f>IFERROR(G201/F201,"")</f>
        <v>180</v>
      </c>
      <c r="S201" s="9">
        <f>IFERROR(I201/G201,"")</f>
        <v>0.3611111111111111</v>
      </c>
      <c r="T201" s="7" t="s">
        <v>459</v>
      </c>
      <c r="U201" s="7"/>
    </row>
    <row r="202" spans="1:21">
      <c r="A202" s="2" t="s">
        <v>377</v>
      </c>
      <c r="B202" s="3">
        <v>46093</v>
      </c>
      <c r="C202" s="2" t="s">
        <v>34</v>
      </c>
      <c r="D202" s="2" t="s">
        <v>53</v>
      </c>
      <c r="E202" s="2" t="s">
        <v>86</v>
      </c>
      <c r="F202" s="4">
        <v>1</v>
      </c>
      <c r="G202" s="5">
        <v>126</v>
      </c>
      <c r="H202" s="5">
        <v>80</v>
      </c>
      <c r="I202" s="5">
        <v>46</v>
      </c>
      <c r="J202" s="2" t="s">
        <v>460</v>
      </c>
      <c r="K202" s="2" t="s">
        <v>458</v>
      </c>
      <c r="L202" s="6">
        <v>36.5</v>
      </c>
      <c r="M202" s="2" t="s">
        <v>330</v>
      </c>
      <c r="N202" s="7">
        <f>IF(B202="","",YEAR(B202))</f>
        <v>2026</v>
      </c>
      <c r="O202" s="7" t="str">
        <f>IF(B202="","","Q"&amp;ROUNDUP(MONTH(B202)/3,0))</f>
        <v>Q1</v>
      </c>
      <c r="P202" s="7" t="str">
        <f>IF(B202="","",TEXT(B202,"mmmm"))</f>
        <v>March</v>
      </c>
      <c r="Q202" s="7" t="str">
        <f>IF(B202="","",TEXT(B202,"yyyy-mm"))</f>
        <v>2026-03</v>
      </c>
      <c r="R202" s="8">
        <f>IFERROR(G202/F202,"")</f>
        <v>126</v>
      </c>
      <c r="S202" s="9">
        <f>IFERROR(I202/G202,"")</f>
        <v>0.36507936507936506</v>
      </c>
      <c r="T202" s="7" t="s">
        <v>459</v>
      </c>
      <c r="U202" s="7"/>
    </row>
    <row r="203" spans="1:21">
      <c r="A203" s="2" t="s">
        <v>379</v>
      </c>
      <c r="B203" s="3">
        <v>46094</v>
      </c>
      <c r="C203" s="2" t="s">
        <v>34</v>
      </c>
      <c r="D203" s="2" t="s">
        <v>42</v>
      </c>
      <c r="E203" s="2" t="s">
        <v>17</v>
      </c>
      <c r="F203" s="4">
        <v>1</v>
      </c>
      <c r="G203" s="5">
        <v>90</v>
      </c>
      <c r="H203" s="5">
        <v>40</v>
      </c>
      <c r="I203" s="5">
        <v>50</v>
      </c>
      <c r="J203" s="2" t="s">
        <v>22</v>
      </c>
      <c r="K203" s="2" t="s">
        <v>458</v>
      </c>
      <c r="L203" s="6">
        <v>55.6</v>
      </c>
      <c r="M203" s="2" t="s">
        <v>330</v>
      </c>
      <c r="N203" s="7">
        <f>IF(B203="","",YEAR(B203))</f>
        <v>2026</v>
      </c>
      <c r="O203" s="7" t="str">
        <f>IF(B203="","","Q"&amp;ROUNDUP(MONTH(B203)/3,0))</f>
        <v>Q1</v>
      </c>
      <c r="P203" s="7" t="str">
        <f>IF(B203="","",TEXT(B203,"mmmm"))</f>
        <v>March</v>
      </c>
      <c r="Q203" s="7" t="str">
        <f>IF(B203="","",TEXT(B203,"yyyy-mm"))</f>
        <v>2026-03</v>
      </c>
      <c r="R203" s="8">
        <f>IFERROR(G203/F203,"")</f>
        <v>90</v>
      </c>
      <c r="S203" s="9">
        <f>IFERROR(I203/G203,"")</f>
        <v>0.55555555555555558</v>
      </c>
      <c r="T203" s="7" t="s">
        <v>459</v>
      </c>
      <c r="U203" s="7"/>
    </row>
    <row r="204" spans="1:21">
      <c r="A204" s="2" t="s">
        <v>381</v>
      </c>
      <c r="B204" s="3">
        <v>46094</v>
      </c>
      <c r="C204" s="2" t="s">
        <v>49</v>
      </c>
      <c r="D204" s="2" t="s">
        <v>42</v>
      </c>
      <c r="E204" s="2" t="s">
        <v>56</v>
      </c>
      <c r="F204" s="4">
        <v>1</v>
      </c>
      <c r="G204" s="5">
        <v>180</v>
      </c>
      <c r="H204" s="5">
        <v>115</v>
      </c>
      <c r="I204" s="5">
        <v>65</v>
      </c>
      <c r="J204" s="2" t="s">
        <v>62</v>
      </c>
      <c r="K204" s="2" t="s">
        <v>458</v>
      </c>
      <c r="L204" s="6">
        <v>36.1</v>
      </c>
      <c r="M204" s="2" t="s">
        <v>330</v>
      </c>
      <c r="N204" s="7">
        <f>IF(B204="","",YEAR(B204))</f>
        <v>2026</v>
      </c>
      <c r="O204" s="7" t="str">
        <f>IF(B204="","","Q"&amp;ROUNDUP(MONTH(B204)/3,0))</f>
        <v>Q1</v>
      </c>
      <c r="P204" s="7" t="str">
        <f>IF(B204="","",TEXT(B204,"mmmm"))</f>
        <v>March</v>
      </c>
      <c r="Q204" s="7" t="str">
        <f>IF(B204="","",TEXT(B204,"yyyy-mm"))</f>
        <v>2026-03</v>
      </c>
      <c r="R204" s="8">
        <f>IFERROR(G204/F204,"")</f>
        <v>180</v>
      </c>
      <c r="S204" s="9">
        <f>IFERROR(I204/G204,"")</f>
        <v>0.3611111111111111</v>
      </c>
      <c r="T204" s="7" t="s">
        <v>459</v>
      </c>
      <c r="U204" s="7"/>
    </row>
    <row r="205" spans="1:21">
      <c r="A205" s="2" t="s">
        <v>382</v>
      </c>
      <c r="B205" s="3">
        <v>46094</v>
      </c>
      <c r="C205" s="2" t="s">
        <v>49</v>
      </c>
      <c r="D205" s="2" t="s">
        <v>16</v>
      </c>
      <c r="E205" s="2" t="s">
        <v>43</v>
      </c>
      <c r="F205" s="4">
        <v>3</v>
      </c>
      <c r="G205" s="5">
        <v>900</v>
      </c>
      <c r="H205" s="5">
        <v>750</v>
      </c>
      <c r="I205" s="5">
        <v>150</v>
      </c>
      <c r="J205" s="2" t="s">
        <v>460</v>
      </c>
      <c r="K205" s="2" t="s">
        <v>458</v>
      </c>
      <c r="L205" s="6">
        <v>16.7</v>
      </c>
      <c r="M205" s="2" t="s">
        <v>330</v>
      </c>
      <c r="N205" s="7">
        <f>IF(B205="","",YEAR(B205))</f>
        <v>2026</v>
      </c>
      <c r="O205" s="7" t="str">
        <f>IF(B205="","","Q"&amp;ROUNDUP(MONTH(B205)/3,0))</f>
        <v>Q1</v>
      </c>
      <c r="P205" s="7" t="str">
        <f>IF(B205="","",TEXT(B205,"mmmm"))</f>
        <v>March</v>
      </c>
      <c r="Q205" s="7" t="str">
        <f>IF(B205="","",TEXT(B205,"yyyy-mm"))</f>
        <v>2026-03</v>
      </c>
      <c r="R205" s="8">
        <f>IFERROR(G205/F205,"")</f>
        <v>300</v>
      </c>
      <c r="S205" s="9">
        <f>IFERROR(I205/G205,"")</f>
        <v>0.16666666666666666</v>
      </c>
      <c r="T205" s="7" t="s">
        <v>459</v>
      </c>
      <c r="U205" s="7"/>
    </row>
    <row r="206" spans="1:21">
      <c r="A206" s="2" t="s">
        <v>383</v>
      </c>
      <c r="B206" s="3">
        <v>46095</v>
      </c>
      <c r="C206" s="2" t="s">
        <v>15</v>
      </c>
      <c r="D206" s="2" t="s">
        <v>16</v>
      </c>
      <c r="E206" s="2" t="s">
        <v>36</v>
      </c>
      <c r="F206" s="4">
        <v>1</v>
      </c>
      <c r="G206" s="5">
        <v>220</v>
      </c>
      <c r="H206" s="5">
        <v>180</v>
      </c>
      <c r="I206" s="5">
        <v>40</v>
      </c>
      <c r="J206" s="2" t="s">
        <v>62</v>
      </c>
      <c r="K206" s="2" t="s">
        <v>31</v>
      </c>
      <c r="L206" s="6">
        <v>18.2</v>
      </c>
      <c r="M206" s="2" t="s">
        <v>330</v>
      </c>
      <c r="N206" s="7">
        <f>IF(B206="","",YEAR(B206))</f>
        <v>2026</v>
      </c>
      <c r="O206" s="7" t="str">
        <f>IF(B206="","","Q"&amp;ROUNDUP(MONTH(B206)/3,0))</f>
        <v>Q1</v>
      </c>
      <c r="P206" s="7" t="str">
        <f>IF(B206="","",TEXT(B206,"mmmm"))</f>
        <v>March</v>
      </c>
      <c r="Q206" s="7" t="str">
        <f>IF(B206="","",TEXT(B206,"yyyy-mm"))</f>
        <v>2026-03</v>
      </c>
      <c r="R206" s="8">
        <f>IFERROR(G206/F206,"")</f>
        <v>220</v>
      </c>
      <c r="S206" s="9">
        <f>IFERROR(I206/G206,"")</f>
        <v>0.18181818181818182</v>
      </c>
      <c r="T206" s="7" t="s">
        <v>459</v>
      </c>
      <c r="U206" s="7"/>
    </row>
    <row r="207" spans="1:21">
      <c r="A207" s="2" t="s">
        <v>385</v>
      </c>
      <c r="B207" s="3">
        <v>46095</v>
      </c>
      <c r="C207" s="2" t="s">
        <v>27</v>
      </c>
      <c r="D207" s="2" t="s">
        <v>16</v>
      </c>
      <c r="E207" s="2" t="s">
        <v>17</v>
      </c>
      <c r="F207" s="4">
        <v>1</v>
      </c>
      <c r="G207" s="5">
        <v>90</v>
      </c>
      <c r="H207" s="5">
        <v>40</v>
      </c>
      <c r="I207" s="5">
        <v>50</v>
      </c>
      <c r="J207" s="2" t="s">
        <v>22</v>
      </c>
      <c r="K207" s="2" t="s">
        <v>458</v>
      </c>
      <c r="L207" s="6">
        <v>55.6</v>
      </c>
      <c r="M207" s="2" t="s">
        <v>330</v>
      </c>
      <c r="N207" s="7">
        <f>IF(B207="","",YEAR(B207))</f>
        <v>2026</v>
      </c>
      <c r="O207" s="7" t="str">
        <f>IF(B207="","","Q"&amp;ROUNDUP(MONTH(B207)/3,0))</f>
        <v>Q1</v>
      </c>
      <c r="P207" s="7" t="str">
        <f>IF(B207="","",TEXT(B207,"mmmm"))</f>
        <v>March</v>
      </c>
      <c r="Q207" s="7" t="str">
        <f>IF(B207="","",TEXT(B207,"yyyy-mm"))</f>
        <v>2026-03</v>
      </c>
      <c r="R207" s="8">
        <f>IFERROR(G207/F207,"")</f>
        <v>90</v>
      </c>
      <c r="S207" s="9">
        <f>IFERROR(I207/G207,"")</f>
        <v>0.55555555555555558</v>
      </c>
      <c r="T207" s="7" t="s">
        <v>459</v>
      </c>
      <c r="U207" s="7"/>
    </row>
    <row r="208" spans="1:21">
      <c r="A208" s="2" t="s">
        <v>386</v>
      </c>
      <c r="B208" s="3">
        <v>46095</v>
      </c>
      <c r="C208" s="2" t="s">
        <v>15</v>
      </c>
      <c r="D208" s="2" t="s">
        <v>42</v>
      </c>
      <c r="E208" s="2" t="s">
        <v>86</v>
      </c>
      <c r="F208" s="4">
        <v>1</v>
      </c>
      <c r="G208" s="5">
        <v>140</v>
      </c>
      <c r="H208" s="5">
        <v>80</v>
      </c>
      <c r="I208" s="5">
        <v>60</v>
      </c>
      <c r="J208" s="2" t="s">
        <v>460</v>
      </c>
      <c r="K208" s="2" t="s">
        <v>458</v>
      </c>
      <c r="L208" s="6">
        <v>42.9</v>
      </c>
      <c r="M208" s="2" t="s">
        <v>330</v>
      </c>
      <c r="N208" s="7">
        <f>IF(B208="","",YEAR(B208))</f>
        <v>2026</v>
      </c>
      <c r="O208" s="7" t="str">
        <f>IF(B208="","","Q"&amp;ROUNDUP(MONTH(B208)/3,0))</f>
        <v>Q1</v>
      </c>
      <c r="P208" s="7" t="str">
        <f>IF(B208="","",TEXT(B208,"mmmm"))</f>
        <v>March</v>
      </c>
      <c r="Q208" s="7" t="str">
        <f>IF(B208="","",TEXT(B208,"yyyy-mm"))</f>
        <v>2026-03</v>
      </c>
      <c r="R208" s="8">
        <f>IFERROR(G208/F208,"")</f>
        <v>140</v>
      </c>
      <c r="S208" s="9">
        <f>IFERROR(I208/G208,"")</f>
        <v>0.42857142857142855</v>
      </c>
      <c r="T208" s="7" t="s">
        <v>459</v>
      </c>
      <c r="U208" s="7"/>
    </row>
    <row r="209" spans="1:21">
      <c r="A209" s="2" t="s">
        <v>387</v>
      </c>
      <c r="B209" s="3">
        <v>46095</v>
      </c>
      <c r="C209" s="2" t="s">
        <v>49</v>
      </c>
      <c r="D209" s="2" t="s">
        <v>16</v>
      </c>
      <c r="E209" s="2" t="s">
        <v>43</v>
      </c>
      <c r="F209" s="4">
        <v>1</v>
      </c>
      <c r="G209" s="5">
        <v>300</v>
      </c>
      <c r="H209" s="5">
        <v>250</v>
      </c>
      <c r="I209" s="5">
        <v>50</v>
      </c>
      <c r="J209" s="2" t="s">
        <v>460</v>
      </c>
      <c r="K209" s="2" t="s">
        <v>31</v>
      </c>
      <c r="L209" s="6">
        <v>16.7</v>
      </c>
      <c r="M209" s="2" t="s">
        <v>330</v>
      </c>
      <c r="N209" s="7">
        <f>IF(B209="","",YEAR(B209))</f>
        <v>2026</v>
      </c>
      <c r="O209" s="7" t="str">
        <f>IF(B209="","","Q"&amp;ROUNDUP(MONTH(B209)/3,0))</f>
        <v>Q1</v>
      </c>
      <c r="P209" s="7" t="str">
        <f>IF(B209="","",TEXT(B209,"mmmm"))</f>
        <v>March</v>
      </c>
      <c r="Q209" s="7" t="str">
        <f>IF(B209="","",TEXT(B209,"yyyy-mm"))</f>
        <v>2026-03</v>
      </c>
      <c r="R209" s="8">
        <f>IFERROR(G209/F209,"")</f>
        <v>300</v>
      </c>
      <c r="S209" s="9">
        <f>IFERROR(I209/G209,"")</f>
        <v>0.16666666666666666</v>
      </c>
      <c r="T209" s="7" t="s">
        <v>459</v>
      </c>
      <c r="U209" s="7"/>
    </row>
    <row r="210" spans="1:21">
      <c r="A210" s="2" t="s">
        <v>388</v>
      </c>
      <c r="B210" s="3">
        <v>46096</v>
      </c>
      <c r="C210" s="2" t="s">
        <v>27</v>
      </c>
      <c r="D210" s="2" t="s">
        <v>16</v>
      </c>
      <c r="E210" s="2" t="s">
        <v>36</v>
      </c>
      <c r="F210" s="4">
        <v>1</v>
      </c>
      <c r="G210" s="5">
        <v>220</v>
      </c>
      <c r="H210" s="5">
        <v>180</v>
      </c>
      <c r="I210" s="5">
        <v>40</v>
      </c>
      <c r="J210" s="2" t="s">
        <v>460</v>
      </c>
      <c r="K210" s="2" t="s">
        <v>31</v>
      </c>
      <c r="L210" s="6">
        <v>18.2</v>
      </c>
      <c r="M210" s="2" t="s">
        <v>330</v>
      </c>
      <c r="N210" s="7">
        <f>IF(B210="","",YEAR(B210))</f>
        <v>2026</v>
      </c>
      <c r="O210" s="7" t="str">
        <f>IF(B210="","","Q"&amp;ROUNDUP(MONTH(B210)/3,0))</f>
        <v>Q1</v>
      </c>
      <c r="P210" s="7" t="str">
        <f>IF(B210="","",TEXT(B210,"mmmm"))</f>
        <v>March</v>
      </c>
      <c r="Q210" s="7" t="str">
        <f>IF(B210="","",TEXT(B210,"yyyy-mm"))</f>
        <v>2026-03</v>
      </c>
      <c r="R210" s="8">
        <f>IFERROR(G210/F210,"")</f>
        <v>220</v>
      </c>
      <c r="S210" s="9">
        <f>IFERROR(I210/G210,"")</f>
        <v>0.18181818181818182</v>
      </c>
      <c r="T210" s="7" t="s">
        <v>459</v>
      </c>
      <c r="U210" s="7"/>
    </row>
    <row r="211" spans="1:21">
      <c r="A211" s="2" t="s">
        <v>390</v>
      </c>
      <c r="B211" s="3">
        <v>46096</v>
      </c>
      <c r="C211" s="2" t="s">
        <v>15</v>
      </c>
      <c r="D211" s="2" t="s">
        <v>16</v>
      </c>
      <c r="E211" s="2" t="s">
        <v>17</v>
      </c>
      <c r="F211" s="4">
        <v>2</v>
      </c>
      <c r="G211" s="5">
        <v>198</v>
      </c>
      <c r="H211" s="5">
        <v>80</v>
      </c>
      <c r="I211" s="5">
        <v>118</v>
      </c>
      <c r="J211" s="2" t="s">
        <v>460</v>
      </c>
      <c r="K211" s="2" t="s">
        <v>458</v>
      </c>
      <c r="L211" s="6">
        <v>59.6</v>
      </c>
      <c r="M211" s="2" t="s">
        <v>330</v>
      </c>
      <c r="N211" s="7">
        <f>IF(B211="","",YEAR(B211))</f>
        <v>2026</v>
      </c>
      <c r="O211" s="7" t="str">
        <f>IF(B211="","","Q"&amp;ROUNDUP(MONTH(B211)/3,0))</f>
        <v>Q1</v>
      </c>
      <c r="P211" s="7" t="str">
        <f>IF(B211="","",TEXT(B211,"mmmm"))</f>
        <v>March</v>
      </c>
      <c r="Q211" s="7" t="str">
        <f>IF(B211="","",TEXT(B211,"yyyy-mm"))</f>
        <v>2026-03</v>
      </c>
      <c r="R211" s="8">
        <f>IFERROR(G211/F211,"")</f>
        <v>99</v>
      </c>
      <c r="S211" s="9">
        <f>IFERROR(I211/G211,"")</f>
        <v>0.59595959595959591</v>
      </c>
      <c r="T211" s="7" t="s">
        <v>459</v>
      </c>
      <c r="U211" s="7"/>
    </row>
    <row r="212" spans="1:21">
      <c r="A212" s="2" t="s">
        <v>391</v>
      </c>
      <c r="B212" s="3">
        <v>46096</v>
      </c>
      <c r="C212" s="2" t="s">
        <v>34</v>
      </c>
      <c r="D212" s="2" t="s">
        <v>42</v>
      </c>
      <c r="E212" s="2" t="s">
        <v>36</v>
      </c>
      <c r="F212" s="4">
        <v>3</v>
      </c>
      <c r="G212" s="5">
        <v>660</v>
      </c>
      <c r="H212" s="5">
        <v>540</v>
      </c>
      <c r="I212" s="5">
        <v>120</v>
      </c>
      <c r="J212" s="2" t="s">
        <v>62</v>
      </c>
      <c r="K212" s="2" t="s">
        <v>458</v>
      </c>
      <c r="L212" s="6">
        <v>18.2</v>
      </c>
      <c r="M212" s="2" t="s">
        <v>330</v>
      </c>
      <c r="N212" s="7">
        <f>IF(B212="","",YEAR(B212))</f>
        <v>2026</v>
      </c>
      <c r="O212" s="7" t="str">
        <f>IF(B212="","","Q"&amp;ROUNDUP(MONTH(B212)/3,0))</f>
        <v>Q1</v>
      </c>
      <c r="P212" s="7" t="str">
        <f>IF(B212="","",TEXT(B212,"mmmm"))</f>
        <v>March</v>
      </c>
      <c r="Q212" s="7" t="str">
        <f>IF(B212="","",TEXT(B212,"yyyy-mm"))</f>
        <v>2026-03</v>
      </c>
      <c r="R212" s="8">
        <f>IFERROR(G212/F212,"")</f>
        <v>220</v>
      </c>
      <c r="S212" s="9">
        <f>IFERROR(I212/G212,"")</f>
        <v>0.18181818181818182</v>
      </c>
      <c r="T212" s="7" t="s">
        <v>459</v>
      </c>
      <c r="U212" s="7"/>
    </row>
    <row r="213" spans="1:21">
      <c r="A213" s="2" t="s">
        <v>392</v>
      </c>
      <c r="B213" s="3">
        <v>46097</v>
      </c>
      <c r="C213" s="2" t="s">
        <v>15</v>
      </c>
      <c r="D213" s="2" t="s">
        <v>53</v>
      </c>
      <c r="E213" s="2" t="s">
        <v>86</v>
      </c>
      <c r="F213" s="4">
        <v>2</v>
      </c>
      <c r="G213" s="5">
        <v>308</v>
      </c>
      <c r="H213" s="5">
        <v>160</v>
      </c>
      <c r="I213" s="5">
        <v>148</v>
      </c>
      <c r="J213" s="2" t="s">
        <v>22</v>
      </c>
      <c r="K213" s="2" t="s">
        <v>458</v>
      </c>
      <c r="L213" s="6">
        <v>48.1</v>
      </c>
      <c r="M213" s="2" t="s">
        <v>330</v>
      </c>
      <c r="N213" s="7">
        <f>IF(B213="","",YEAR(B213))</f>
        <v>2026</v>
      </c>
      <c r="O213" s="7" t="str">
        <f>IF(B213="","","Q"&amp;ROUNDUP(MONTH(B213)/3,0))</f>
        <v>Q1</v>
      </c>
      <c r="P213" s="7" t="str">
        <f>IF(B213="","",TEXT(B213,"mmmm"))</f>
        <v>March</v>
      </c>
      <c r="Q213" s="7" t="str">
        <f>IF(B213="","",TEXT(B213,"yyyy-mm"))</f>
        <v>2026-03</v>
      </c>
      <c r="R213" s="8">
        <f>IFERROR(G213/F213,"")</f>
        <v>154</v>
      </c>
      <c r="S213" s="9">
        <f>IFERROR(I213/G213,"")</f>
        <v>0.48051948051948051</v>
      </c>
      <c r="T213" s="7" t="s">
        <v>459</v>
      </c>
      <c r="U213" s="7"/>
    </row>
    <row r="214" spans="1:21">
      <c r="A214" s="2" t="s">
        <v>396</v>
      </c>
      <c r="B214" s="3">
        <v>46097</v>
      </c>
      <c r="C214" s="2" t="s">
        <v>15</v>
      </c>
      <c r="D214" s="2" t="s">
        <v>53</v>
      </c>
      <c r="E214" s="2" t="s">
        <v>36</v>
      </c>
      <c r="F214" s="4">
        <v>1</v>
      </c>
      <c r="G214" s="5">
        <v>220</v>
      </c>
      <c r="H214" s="5">
        <v>180</v>
      </c>
      <c r="I214" s="5">
        <v>40</v>
      </c>
      <c r="J214" s="2" t="s">
        <v>22</v>
      </c>
      <c r="K214" s="2" t="s">
        <v>31</v>
      </c>
      <c r="L214" s="6">
        <v>18.2</v>
      </c>
      <c r="M214" s="2" t="s">
        <v>330</v>
      </c>
      <c r="N214" s="7">
        <f>IF(B214="","",YEAR(B214))</f>
        <v>2026</v>
      </c>
      <c r="O214" s="7" t="str">
        <f>IF(B214="","","Q"&amp;ROUNDUP(MONTH(B214)/3,0))</f>
        <v>Q1</v>
      </c>
      <c r="P214" s="7" t="str">
        <f>IF(B214="","",TEXT(B214,"mmmm"))</f>
        <v>March</v>
      </c>
      <c r="Q214" s="7" t="str">
        <f>IF(B214="","",TEXT(B214,"yyyy-mm"))</f>
        <v>2026-03</v>
      </c>
      <c r="R214" s="8">
        <f>IFERROR(G214/F214,"")</f>
        <v>220</v>
      </c>
      <c r="S214" s="9">
        <f>IFERROR(I214/G214,"")</f>
        <v>0.18181818181818182</v>
      </c>
      <c r="T214" s="7" t="s">
        <v>459</v>
      </c>
      <c r="U214" s="7"/>
    </row>
    <row r="215" spans="1:21">
      <c r="A215" s="2" t="s">
        <v>397</v>
      </c>
      <c r="B215" s="3">
        <v>46098</v>
      </c>
      <c r="C215" s="2" t="s">
        <v>34</v>
      </c>
      <c r="D215" s="2" t="s">
        <v>16</v>
      </c>
      <c r="E215" s="2" t="s">
        <v>36</v>
      </c>
      <c r="F215" s="4">
        <v>1</v>
      </c>
      <c r="G215" s="5">
        <v>198</v>
      </c>
      <c r="H215" s="5">
        <v>180</v>
      </c>
      <c r="I215" s="5">
        <v>18</v>
      </c>
      <c r="J215" s="2" t="s">
        <v>460</v>
      </c>
      <c r="K215" s="2" t="s">
        <v>458</v>
      </c>
      <c r="L215" s="6">
        <v>9.1</v>
      </c>
      <c r="M215" s="2" t="s">
        <v>330</v>
      </c>
      <c r="N215" s="7">
        <f>IF(B215="","",YEAR(B215))</f>
        <v>2026</v>
      </c>
      <c r="O215" s="7" t="str">
        <f>IF(B215="","","Q"&amp;ROUNDUP(MONTH(B215)/3,0))</f>
        <v>Q1</v>
      </c>
      <c r="P215" s="7" t="str">
        <f>IF(B215="","",TEXT(B215,"mmmm"))</f>
        <v>March</v>
      </c>
      <c r="Q215" s="7" t="str">
        <f>IF(B215="","",TEXT(B215,"yyyy-mm"))</f>
        <v>2026-03</v>
      </c>
      <c r="R215" s="8">
        <f>IFERROR(G215/F215,"")</f>
        <v>198</v>
      </c>
      <c r="S215" s="9">
        <f>IFERROR(I215/G215,"")</f>
        <v>9.0909090909090912E-2</v>
      </c>
      <c r="T215" s="7" t="s">
        <v>459</v>
      </c>
      <c r="U215" s="7"/>
    </row>
    <row r="216" spans="1:21">
      <c r="A216" s="2" t="s">
        <v>399</v>
      </c>
      <c r="B216" s="3">
        <v>46098</v>
      </c>
      <c r="C216" s="2" t="s">
        <v>27</v>
      </c>
      <c r="D216" s="2" t="s">
        <v>42</v>
      </c>
      <c r="E216" s="2" t="s">
        <v>86</v>
      </c>
      <c r="F216" s="4">
        <v>1</v>
      </c>
      <c r="G216" s="5">
        <v>140</v>
      </c>
      <c r="H216" s="5">
        <v>80</v>
      </c>
      <c r="I216" s="5">
        <v>60</v>
      </c>
      <c r="J216" s="2" t="s">
        <v>460</v>
      </c>
      <c r="K216" s="2" t="s">
        <v>31</v>
      </c>
      <c r="L216" s="6">
        <v>42.9</v>
      </c>
      <c r="M216" s="2" t="s">
        <v>330</v>
      </c>
      <c r="N216" s="7">
        <f>IF(B216="","",YEAR(B216))</f>
        <v>2026</v>
      </c>
      <c r="O216" s="7" t="str">
        <f>IF(B216="","","Q"&amp;ROUNDUP(MONTH(B216)/3,0))</f>
        <v>Q1</v>
      </c>
      <c r="P216" s="7" t="str">
        <f>IF(B216="","",TEXT(B216,"mmmm"))</f>
        <v>March</v>
      </c>
      <c r="Q216" s="7" t="str">
        <f>IF(B216="","",TEXT(B216,"yyyy-mm"))</f>
        <v>2026-03</v>
      </c>
      <c r="R216" s="8">
        <f>IFERROR(G216/F216,"")</f>
        <v>140</v>
      </c>
      <c r="S216" s="9">
        <f>IFERROR(I216/G216,"")</f>
        <v>0.42857142857142855</v>
      </c>
      <c r="T216" s="7" t="s">
        <v>459</v>
      </c>
      <c r="U216" s="7"/>
    </row>
    <row r="217" spans="1:21">
      <c r="A217" s="2" t="s">
        <v>400</v>
      </c>
      <c r="B217" s="3">
        <v>46098</v>
      </c>
      <c r="C217" s="2" t="s">
        <v>34</v>
      </c>
      <c r="D217" s="2" t="s">
        <v>42</v>
      </c>
      <c r="E217" s="2" t="s">
        <v>86</v>
      </c>
      <c r="F217" s="4">
        <v>2</v>
      </c>
      <c r="G217" s="5">
        <v>280</v>
      </c>
      <c r="H217" s="5">
        <v>160</v>
      </c>
      <c r="I217" s="5">
        <v>120</v>
      </c>
      <c r="J217" s="2" t="s">
        <v>460</v>
      </c>
      <c r="K217" s="2" t="s">
        <v>458</v>
      </c>
      <c r="L217" s="6">
        <v>42.9</v>
      </c>
      <c r="M217" s="2" t="s">
        <v>330</v>
      </c>
      <c r="N217" s="7">
        <f>IF(B217="","",YEAR(B217))</f>
        <v>2026</v>
      </c>
      <c r="O217" s="7" t="str">
        <f>IF(B217="","","Q"&amp;ROUNDUP(MONTH(B217)/3,0))</f>
        <v>Q1</v>
      </c>
      <c r="P217" s="7" t="str">
        <f>IF(B217="","",TEXT(B217,"mmmm"))</f>
        <v>March</v>
      </c>
      <c r="Q217" s="7" t="str">
        <f>IF(B217="","",TEXT(B217,"yyyy-mm"))</f>
        <v>2026-03</v>
      </c>
      <c r="R217" s="8">
        <f>IFERROR(G217/F217,"")</f>
        <v>140</v>
      </c>
      <c r="S217" s="9">
        <f>IFERROR(I217/G217,"")</f>
        <v>0.42857142857142855</v>
      </c>
      <c r="T217" s="7" t="s">
        <v>459</v>
      </c>
      <c r="U217" s="7"/>
    </row>
    <row r="218" spans="1:21">
      <c r="A218" s="2" t="s">
        <v>401</v>
      </c>
      <c r="B218" s="3">
        <v>46099</v>
      </c>
      <c r="C218" s="2" t="s">
        <v>27</v>
      </c>
      <c r="D218" s="2" t="s">
        <v>16</v>
      </c>
      <c r="E218" s="2" t="s">
        <v>56</v>
      </c>
      <c r="F218" s="4">
        <v>1</v>
      </c>
      <c r="G218" s="5">
        <v>180</v>
      </c>
      <c r="H218" s="5">
        <v>115</v>
      </c>
      <c r="I218" s="5">
        <v>65</v>
      </c>
      <c r="J218" s="2" t="s">
        <v>460</v>
      </c>
      <c r="K218" s="2" t="s">
        <v>458</v>
      </c>
      <c r="L218" s="6">
        <v>36.1</v>
      </c>
      <c r="M218" s="2" t="s">
        <v>330</v>
      </c>
      <c r="N218" s="7">
        <f>IF(B218="","",YEAR(B218))</f>
        <v>2026</v>
      </c>
      <c r="O218" s="7" t="str">
        <f>IF(B218="","","Q"&amp;ROUNDUP(MONTH(B218)/3,0))</f>
        <v>Q1</v>
      </c>
      <c r="P218" s="7" t="str">
        <f>IF(B218="","",TEXT(B218,"mmmm"))</f>
        <v>March</v>
      </c>
      <c r="Q218" s="7" t="str">
        <f>IF(B218="","",TEXT(B218,"yyyy-mm"))</f>
        <v>2026-03</v>
      </c>
      <c r="R218" s="8">
        <f>IFERROR(G218/F218,"")</f>
        <v>180</v>
      </c>
      <c r="S218" s="9">
        <f>IFERROR(I218/G218,"")</f>
        <v>0.3611111111111111</v>
      </c>
      <c r="T218" s="7" t="s">
        <v>459</v>
      </c>
      <c r="U218" s="7"/>
    </row>
    <row r="219" spans="1:21">
      <c r="A219" s="2" t="s">
        <v>403</v>
      </c>
      <c r="B219" s="3">
        <v>46099</v>
      </c>
      <c r="C219" s="2" t="s">
        <v>27</v>
      </c>
      <c r="D219" s="2" t="s">
        <v>16</v>
      </c>
      <c r="E219" s="2" t="s">
        <v>36</v>
      </c>
      <c r="F219" s="4">
        <v>2</v>
      </c>
      <c r="G219" s="5">
        <v>440</v>
      </c>
      <c r="H219" s="5">
        <v>360</v>
      </c>
      <c r="I219" s="5">
        <v>80</v>
      </c>
      <c r="J219" s="2" t="s">
        <v>460</v>
      </c>
      <c r="K219" s="2" t="s">
        <v>458</v>
      </c>
      <c r="L219" s="6">
        <v>18.2</v>
      </c>
      <c r="M219" s="2" t="s">
        <v>330</v>
      </c>
      <c r="N219" s="7">
        <f>IF(B219="","",YEAR(B219))</f>
        <v>2026</v>
      </c>
      <c r="O219" s="7" t="str">
        <f>IF(B219="","","Q"&amp;ROUNDUP(MONTH(B219)/3,0))</f>
        <v>Q1</v>
      </c>
      <c r="P219" s="7" t="str">
        <f>IF(B219="","",TEXT(B219,"mmmm"))</f>
        <v>March</v>
      </c>
      <c r="Q219" s="7" t="str">
        <f>IF(B219="","",TEXT(B219,"yyyy-mm"))</f>
        <v>2026-03</v>
      </c>
      <c r="R219" s="8">
        <f>IFERROR(G219/F219,"")</f>
        <v>220</v>
      </c>
      <c r="S219" s="9">
        <f>IFERROR(I219/G219,"")</f>
        <v>0.18181818181818182</v>
      </c>
      <c r="T219" s="7" t="s">
        <v>459</v>
      </c>
      <c r="U219" s="7"/>
    </row>
    <row r="220" spans="1:21">
      <c r="A220" s="2" t="s">
        <v>404</v>
      </c>
      <c r="B220" s="3">
        <v>46101</v>
      </c>
      <c r="C220" s="2" t="s">
        <v>15</v>
      </c>
      <c r="D220" s="2" t="s">
        <v>42</v>
      </c>
      <c r="E220" s="2" t="s">
        <v>86</v>
      </c>
      <c r="F220" s="4">
        <v>1</v>
      </c>
      <c r="G220" s="5">
        <v>154</v>
      </c>
      <c r="H220" s="5">
        <v>80</v>
      </c>
      <c r="I220" s="5">
        <v>74</v>
      </c>
      <c r="J220" s="2" t="s">
        <v>460</v>
      </c>
      <c r="K220" s="2" t="s">
        <v>458</v>
      </c>
      <c r="L220" s="6">
        <v>48.1</v>
      </c>
      <c r="M220" s="2" t="s">
        <v>330</v>
      </c>
      <c r="N220" s="7">
        <f>IF(B220="","",YEAR(B220))</f>
        <v>2026</v>
      </c>
      <c r="O220" s="7" t="str">
        <f>IF(B220="","","Q"&amp;ROUNDUP(MONTH(B220)/3,0))</f>
        <v>Q1</v>
      </c>
      <c r="P220" s="7" t="str">
        <f>IF(B220="","",TEXT(B220,"mmmm"))</f>
        <v>March</v>
      </c>
      <c r="Q220" s="7" t="str">
        <f>IF(B220="","",TEXT(B220,"yyyy-mm"))</f>
        <v>2026-03</v>
      </c>
      <c r="R220" s="8">
        <f>IFERROR(G220/F220,"")</f>
        <v>154</v>
      </c>
      <c r="S220" s="9">
        <f>IFERROR(I220/G220,"")</f>
        <v>0.48051948051948051</v>
      </c>
      <c r="T220" s="7" t="s">
        <v>459</v>
      </c>
      <c r="U220" s="7"/>
    </row>
    <row r="221" spans="1:21">
      <c r="A221" s="2" t="s">
        <v>406</v>
      </c>
      <c r="B221" s="3">
        <v>46101</v>
      </c>
      <c r="C221" s="2" t="s">
        <v>49</v>
      </c>
      <c r="D221" s="2" t="s">
        <v>42</v>
      </c>
      <c r="E221" s="2" t="s">
        <v>17</v>
      </c>
      <c r="F221" s="4">
        <v>1</v>
      </c>
      <c r="G221" s="5">
        <v>90</v>
      </c>
      <c r="H221" s="5">
        <v>40</v>
      </c>
      <c r="I221" s="5">
        <v>50</v>
      </c>
      <c r="J221" s="2" t="s">
        <v>460</v>
      </c>
      <c r="K221" s="2" t="s">
        <v>458</v>
      </c>
      <c r="L221" s="6">
        <v>55.6</v>
      </c>
      <c r="M221" s="2" t="s">
        <v>330</v>
      </c>
      <c r="N221" s="7">
        <f>IF(B221="","",YEAR(B221))</f>
        <v>2026</v>
      </c>
      <c r="O221" s="7" t="str">
        <f>IF(B221="","","Q"&amp;ROUNDUP(MONTH(B221)/3,0))</f>
        <v>Q1</v>
      </c>
      <c r="P221" s="7" t="str">
        <f>IF(B221="","",TEXT(B221,"mmmm"))</f>
        <v>March</v>
      </c>
      <c r="Q221" s="7" t="str">
        <f>IF(B221="","",TEXT(B221,"yyyy-mm"))</f>
        <v>2026-03</v>
      </c>
      <c r="R221" s="8">
        <f>IFERROR(G221/F221,"")</f>
        <v>90</v>
      </c>
      <c r="S221" s="9">
        <f>IFERROR(I221/G221,"")</f>
        <v>0.55555555555555558</v>
      </c>
      <c r="T221" s="7" t="s">
        <v>459</v>
      </c>
      <c r="U221" s="7"/>
    </row>
    <row r="222" spans="1:21">
      <c r="A222" s="2" t="s">
        <v>407</v>
      </c>
      <c r="B222" s="3">
        <v>46101</v>
      </c>
      <c r="C222" s="2" t="s">
        <v>27</v>
      </c>
      <c r="D222" s="2" t="s">
        <v>16</v>
      </c>
      <c r="E222" s="2" t="s">
        <v>86</v>
      </c>
      <c r="F222" s="4">
        <v>1</v>
      </c>
      <c r="G222" s="5">
        <v>140</v>
      </c>
      <c r="H222" s="5">
        <v>80</v>
      </c>
      <c r="I222" s="5">
        <v>60</v>
      </c>
      <c r="J222" s="2" t="s">
        <v>460</v>
      </c>
      <c r="K222" s="2" t="s">
        <v>458</v>
      </c>
      <c r="L222" s="6">
        <v>42.9</v>
      </c>
      <c r="M222" s="2" t="s">
        <v>330</v>
      </c>
      <c r="N222" s="7">
        <f>IF(B222="","",YEAR(B222))</f>
        <v>2026</v>
      </c>
      <c r="O222" s="7" t="str">
        <f>IF(B222="","","Q"&amp;ROUNDUP(MONTH(B222)/3,0))</f>
        <v>Q1</v>
      </c>
      <c r="P222" s="7" t="str">
        <f>IF(B222="","",TEXT(B222,"mmmm"))</f>
        <v>March</v>
      </c>
      <c r="Q222" s="7" t="str">
        <f>IF(B222="","",TEXT(B222,"yyyy-mm"))</f>
        <v>2026-03</v>
      </c>
      <c r="R222" s="8">
        <f>IFERROR(G222/F222,"")</f>
        <v>140</v>
      </c>
      <c r="S222" s="9">
        <f>IFERROR(I222/G222,"")</f>
        <v>0.42857142857142855</v>
      </c>
      <c r="T222" s="7" t="s">
        <v>459</v>
      </c>
      <c r="U222" s="7"/>
    </row>
    <row r="223" spans="1:21">
      <c r="A223" s="2" t="s">
        <v>408</v>
      </c>
      <c r="B223" s="3">
        <v>46101</v>
      </c>
      <c r="C223" s="2" t="s">
        <v>27</v>
      </c>
      <c r="D223" s="2" t="s">
        <v>16</v>
      </c>
      <c r="E223" s="2" t="s">
        <v>86</v>
      </c>
      <c r="F223" s="4">
        <v>2</v>
      </c>
      <c r="G223" s="5">
        <v>252</v>
      </c>
      <c r="H223" s="5">
        <v>160</v>
      </c>
      <c r="I223" s="5">
        <v>92</v>
      </c>
      <c r="J223" s="2" t="s">
        <v>22</v>
      </c>
      <c r="K223" s="2" t="s">
        <v>31</v>
      </c>
      <c r="L223" s="6">
        <v>36.5</v>
      </c>
      <c r="M223" s="2" t="s">
        <v>330</v>
      </c>
      <c r="N223" s="7">
        <f>IF(B223="","",YEAR(B223))</f>
        <v>2026</v>
      </c>
      <c r="O223" s="7" t="str">
        <f>IF(B223="","","Q"&amp;ROUNDUP(MONTH(B223)/3,0))</f>
        <v>Q1</v>
      </c>
      <c r="P223" s="7" t="str">
        <f>IF(B223="","",TEXT(B223,"mmmm"))</f>
        <v>March</v>
      </c>
      <c r="Q223" s="7" t="str">
        <f>IF(B223="","",TEXT(B223,"yyyy-mm"))</f>
        <v>2026-03</v>
      </c>
      <c r="R223" s="8">
        <f>IFERROR(G223/F223,"")</f>
        <v>126</v>
      </c>
      <c r="S223" s="9">
        <f>IFERROR(I223/G223,"")</f>
        <v>0.36507936507936506</v>
      </c>
      <c r="T223" s="7" t="s">
        <v>459</v>
      </c>
      <c r="U223" s="7"/>
    </row>
    <row r="224" spans="1:21">
      <c r="A224" s="2" t="s">
        <v>409</v>
      </c>
      <c r="B224" s="3">
        <v>46101</v>
      </c>
      <c r="C224" s="2" t="s">
        <v>15</v>
      </c>
      <c r="D224" s="2" t="s">
        <v>16</v>
      </c>
      <c r="E224" s="2" t="s">
        <v>43</v>
      </c>
      <c r="F224" s="4">
        <v>1</v>
      </c>
      <c r="G224" s="5">
        <v>300</v>
      </c>
      <c r="H224" s="5">
        <v>250</v>
      </c>
      <c r="I224" s="5">
        <v>50</v>
      </c>
      <c r="J224" s="2" t="s">
        <v>62</v>
      </c>
      <c r="K224" s="2" t="s">
        <v>458</v>
      </c>
      <c r="L224" s="6">
        <v>16.7</v>
      </c>
      <c r="M224" s="2" t="s">
        <v>330</v>
      </c>
      <c r="N224" s="7">
        <f>IF(B224="","",YEAR(B224))</f>
        <v>2026</v>
      </c>
      <c r="O224" s="7" t="str">
        <f>IF(B224="","","Q"&amp;ROUNDUP(MONTH(B224)/3,0))</f>
        <v>Q1</v>
      </c>
      <c r="P224" s="7" t="str">
        <f>IF(B224="","",TEXT(B224,"mmmm"))</f>
        <v>March</v>
      </c>
      <c r="Q224" s="7" t="str">
        <f>IF(B224="","",TEXT(B224,"yyyy-mm"))</f>
        <v>2026-03</v>
      </c>
      <c r="R224" s="8">
        <f>IFERROR(G224/F224,"")</f>
        <v>300</v>
      </c>
      <c r="S224" s="9">
        <f>IFERROR(I224/G224,"")</f>
        <v>0.16666666666666666</v>
      </c>
      <c r="T224" s="7" t="s">
        <v>459</v>
      </c>
      <c r="U224" s="7"/>
    </row>
    <row r="225" spans="1:21">
      <c r="A225" s="2" t="s">
        <v>410</v>
      </c>
      <c r="B225" s="3">
        <v>46102</v>
      </c>
      <c r="C225" s="2" t="s">
        <v>34</v>
      </c>
      <c r="D225" s="2" t="s">
        <v>42</v>
      </c>
      <c r="E225" s="2" t="s">
        <v>86</v>
      </c>
      <c r="F225" s="4">
        <v>1</v>
      </c>
      <c r="G225" s="5">
        <v>140</v>
      </c>
      <c r="H225" s="5">
        <v>80</v>
      </c>
      <c r="I225" s="5">
        <v>60</v>
      </c>
      <c r="J225" s="2" t="s">
        <v>460</v>
      </c>
      <c r="K225" s="2" t="s">
        <v>31</v>
      </c>
      <c r="L225" s="6">
        <v>42.9</v>
      </c>
      <c r="M225" s="2" t="s">
        <v>330</v>
      </c>
      <c r="N225" s="7">
        <f>IF(B225="","",YEAR(B225))</f>
        <v>2026</v>
      </c>
      <c r="O225" s="7" t="str">
        <f>IF(B225="","","Q"&amp;ROUNDUP(MONTH(B225)/3,0))</f>
        <v>Q1</v>
      </c>
      <c r="P225" s="7" t="str">
        <f>IF(B225="","",TEXT(B225,"mmmm"))</f>
        <v>March</v>
      </c>
      <c r="Q225" s="7" t="str">
        <f>IF(B225="","",TEXT(B225,"yyyy-mm"))</f>
        <v>2026-03</v>
      </c>
      <c r="R225" s="8">
        <f>IFERROR(G225/F225,"")</f>
        <v>140</v>
      </c>
      <c r="S225" s="9">
        <f>IFERROR(I225/G225,"")</f>
        <v>0.42857142857142855</v>
      </c>
      <c r="T225" s="7" t="s">
        <v>459</v>
      </c>
      <c r="U225" s="7"/>
    </row>
    <row r="226" spans="1:21">
      <c r="A226" s="2" t="s">
        <v>412</v>
      </c>
      <c r="B226" s="3">
        <v>46102</v>
      </c>
      <c r="C226" s="2" t="s">
        <v>49</v>
      </c>
      <c r="D226" s="2" t="s">
        <v>53</v>
      </c>
      <c r="E226" s="2" t="s">
        <v>86</v>
      </c>
      <c r="F226" s="4">
        <v>1</v>
      </c>
      <c r="G226" s="5">
        <v>140</v>
      </c>
      <c r="H226" s="5">
        <v>80</v>
      </c>
      <c r="I226" s="5">
        <v>60</v>
      </c>
      <c r="J226" s="2" t="s">
        <v>460</v>
      </c>
      <c r="K226" s="2" t="s">
        <v>31</v>
      </c>
      <c r="L226" s="6">
        <v>42.9</v>
      </c>
      <c r="M226" s="2" t="s">
        <v>330</v>
      </c>
      <c r="N226" s="7">
        <f>IF(B226="","",YEAR(B226))</f>
        <v>2026</v>
      </c>
      <c r="O226" s="7" t="str">
        <f>IF(B226="","","Q"&amp;ROUNDUP(MONTH(B226)/3,0))</f>
        <v>Q1</v>
      </c>
      <c r="P226" s="7" t="str">
        <f>IF(B226="","",TEXT(B226,"mmmm"))</f>
        <v>March</v>
      </c>
      <c r="Q226" s="7" t="str">
        <f>IF(B226="","",TEXT(B226,"yyyy-mm"))</f>
        <v>2026-03</v>
      </c>
      <c r="R226" s="8">
        <f>IFERROR(G226/F226,"")</f>
        <v>140</v>
      </c>
      <c r="S226" s="9">
        <f>IFERROR(I226/G226,"")</f>
        <v>0.42857142857142855</v>
      </c>
      <c r="T226" s="7" t="s">
        <v>459</v>
      </c>
      <c r="U226" s="7"/>
    </row>
    <row r="227" spans="1:21">
      <c r="A227" s="2" t="s">
        <v>413</v>
      </c>
      <c r="B227" s="3">
        <v>46103</v>
      </c>
      <c r="C227" s="2" t="s">
        <v>15</v>
      </c>
      <c r="D227" s="2" t="s">
        <v>16</v>
      </c>
      <c r="E227" s="2" t="s">
        <v>43</v>
      </c>
      <c r="F227" s="4">
        <v>1</v>
      </c>
      <c r="G227" s="5">
        <v>330</v>
      </c>
      <c r="H227" s="5">
        <v>250</v>
      </c>
      <c r="I227" s="5">
        <v>80</v>
      </c>
      <c r="J227" s="2" t="s">
        <v>22</v>
      </c>
      <c r="K227" s="2" t="s">
        <v>31</v>
      </c>
      <c r="L227" s="6">
        <v>24.2</v>
      </c>
      <c r="M227" s="2" t="s">
        <v>330</v>
      </c>
      <c r="N227" s="7">
        <f>IF(B227="","",YEAR(B227))</f>
        <v>2026</v>
      </c>
      <c r="O227" s="7" t="str">
        <f>IF(B227="","","Q"&amp;ROUNDUP(MONTH(B227)/3,0))</f>
        <v>Q1</v>
      </c>
      <c r="P227" s="7" t="str">
        <f>IF(B227="","",TEXT(B227,"mmmm"))</f>
        <v>March</v>
      </c>
      <c r="Q227" s="7" t="str">
        <f>IF(B227="","",TEXT(B227,"yyyy-mm"))</f>
        <v>2026-03</v>
      </c>
      <c r="R227" s="8">
        <f>IFERROR(G227/F227,"")</f>
        <v>330</v>
      </c>
      <c r="S227" s="9">
        <f>IFERROR(I227/G227,"")</f>
        <v>0.24242424242424243</v>
      </c>
      <c r="T227" s="7" t="s">
        <v>459</v>
      </c>
      <c r="U227" s="7"/>
    </row>
    <row r="228" spans="1:21">
      <c r="A228" s="2" t="s">
        <v>415</v>
      </c>
      <c r="B228" s="3">
        <v>46103</v>
      </c>
      <c r="C228" s="2" t="s">
        <v>27</v>
      </c>
      <c r="D228" s="2" t="s">
        <v>16</v>
      </c>
      <c r="E228" s="2" t="s">
        <v>56</v>
      </c>
      <c r="F228" s="4">
        <v>1</v>
      </c>
      <c r="G228" s="5">
        <v>180</v>
      </c>
      <c r="H228" s="5">
        <v>115</v>
      </c>
      <c r="I228" s="5">
        <v>65</v>
      </c>
      <c r="J228" s="2" t="s">
        <v>22</v>
      </c>
      <c r="K228" s="2" t="s">
        <v>31</v>
      </c>
      <c r="L228" s="6">
        <v>36.1</v>
      </c>
      <c r="M228" s="2" t="s">
        <v>330</v>
      </c>
      <c r="N228" s="7">
        <f>IF(B228="","",YEAR(B228))</f>
        <v>2026</v>
      </c>
      <c r="O228" s="7" t="str">
        <f>IF(B228="","","Q"&amp;ROUNDUP(MONTH(B228)/3,0))</f>
        <v>Q1</v>
      </c>
      <c r="P228" s="7" t="str">
        <f>IF(B228="","",TEXT(B228,"mmmm"))</f>
        <v>March</v>
      </c>
      <c r="Q228" s="7" t="str">
        <f>IF(B228="","",TEXT(B228,"yyyy-mm"))</f>
        <v>2026-03</v>
      </c>
      <c r="R228" s="8">
        <f>IFERROR(G228/F228,"")</f>
        <v>180</v>
      </c>
      <c r="S228" s="9">
        <f>IFERROR(I228/G228,"")</f>
        <v>0.3611111111111111</v>
      </c>
      <c r="T228" s="7" t="s">
        <v>459</v>
      </c>
      <c r="U228" s="7"/>
    </row>
    <row r="229" spans="1:21">
      <c r="A229" s="2" t="s">
        <v>416</v>
      </c>
      <c r="B229" s="3">
        <v>46103</v>
      </c>
      <c r="C229" s="2" t="s">
        <v>15</v>
      </c>
      <c r="D229" s="2" t="s">
        <v>42</v>
      </c>
      <c r="E229" s="2" t="s">
        <v>17</v>
      </c>
      <c r="F229" s="4">
        <v>1</v>
      </c>
      <c r="G229" s="5">
        <v>90</v>
      </c>
      <c r="H229" s="5">
        <v>40</v>
      </c>
      <c r="I229" s="5">
        <v>50</v>
      </c>
      <c r="J229" s="2" t="s">
        <v>460</v>
      </c>
      <c r="K229" s="2" t="s">
        <v>458</v>
      </c>
      <c r="L229" s="6">
        <v>55.6</v>
      </c>
      <c r="M229" s="2" t="s">
        <v>330</v>
      </c>
      <c r="N229" s="7">
        <f>IF(B229="","",YEAR(B229))</f>
        <v>2026</v>
      </c>
      <c r="O229" s="7" t="str">
        <f>IF(B229="","","Q"&amp;ROUNDUP(MONTH(B229)/3,0))</f>
        <v>Q1</v>
      </c>
      <c r="P229" s="7" t="str">
        <f>IF(B229="","",TEXT(B229,"mmmm"))</f>
        <v>March</v>
      </c>
      <c r="Q229" s="7" t="str">
        <f>IF(B229="","",TEXT(B229,"yyyy-mm"))</f>
        <v>2026-03</v>
      </c>
      <c r="R229" s="8">
        <f>IFERROR(G229/F229,"")</f>
        <v>90</v>
      </c>
      <c r="S229" s="9">
        <f>IFERROR(I229/G229,"")</f>
        <v>0.55555555555555558</v>
      </c>
      <c r="T229" s="7" t="s">
        <v>459</v>
      </c>
      <c r="U229" s="7"/>
    </row>
    <row r="230" spans="1:21">
      <c r="A230" s="2" t="s">
        <v>417</v>
      </c>
      <c r="B230" s="3">
        <v>46104</v>
      </c>
      <c r="C230" s="2" t="s">
        <v>49</v>
      </c>
      <c r="D230" s="2" t="s">
        <v>42</v>
      </c>
      <c r="E230" s="2" t="s">
        <v>36</v>
      </c>
      <c r="F230" s="4">
        <v>1</v>
      </c>
      <c r="G230" s="5">
        <v>220</v>
      </c>
      <c r="H230" s="5">
        <v>180</v>
      </c>
      <c r="I230" s="5">
        <v>40</v>
      </c>
      <c r="J230" s="2" t="s">
        <v>460</v>
      </c>
      <c r="K230" s="2" t="s">
        <v>31</v>
      </c>
      <c r="L230" s="6">
        <v>18.2</v>
      </c>
      <c r="M230" s="2" t="s">
        <v>330</v>
      </c>
      <c r="N230" s="7">
        <f>IF(B230="","",YEAR(B230))</f>
        <v>2026</v>
      </c>
      <c r="O230" s="7" t="str">
        <f>IF(B230="","","Q"&amp;ROUNDUP(MONTH(B230)/3,0))</f>
        <v>Q1</v>
      </c>
      <c r="P230" s="7" t="str">
        <f>IF(B230="","",TEXT(B230,"mmmm"))</f>
        <v>March</v>
      </c>
      <c r="Q230" s="7" t="str">
        <f>IF(B230="","",TEXT(B230,"yyyy-mm"))</f>
        <v>2026-03</v>
      </c>
      <c r="R230" s="8">
        <f>IFERROR(G230/F230,"")</f>
        <v>220</v>
      </c>
      <c r="S230" s="9">
        <f>IFERROR(I230/G230,"")</f>
        <v>0.18181818181818182</v>
      </c>
      <c r="T230" s="7" t="s">
        <v>459</v>
      </c>
      <c r="U230" s="7"/>
    </row>
    <row r="231" spans="1:21">
      <c r="A231" s="2" t="s">
        <v>419</v>
      </c>
      <c r="B231" s="3">
        <v>46105</v>
      </c>
      <c r="C231" s="2" t="s">
        <v>34</v>
      </c>
      <c r="D231" s="2" t="s">
        <v>16</v>
      </c>
      <c r="E231" s="2" t="s">
        <v>36</v>
      </c>
      <c r="F231" s="4">
        <v>1</v>
      </c>
      <c r="G231" s="5">
        <v>198</v>
      </c>
      <c r="H231" s="5">
        <v>180</v>
      </c>
      <c r="I231" s="5">
        <v>18</v>
      </c>
      <c r="J231" s="2" t="s">
        <v>22</v>
      </c>
      <c r="K231" s="2" t="s">
        <v>458</v>
      </c>
      <c r="L231" s="6">
        <v>9.1</v>
      </c>
      <c r="M231" s="2" t="s">
        <v>330</v>
      </c>
      <c r="N231" s="7">
        <f>IF(B231="","",YEAR(B231))</f>
        <v>2026</v>
      </c>
      <c r="O231" s="7" t="str">
        <f>IF(B231="","","Q"&amp;ROUNDUP(MONTH(B231)/3,0))</f>
        <v>Q1</v>
      </c>
      <c r="P231" s="7" t="str">
        <f>IF(B231="","",TEXT(B231,"mmmm"))</f>
        <v>March</v>
      </c>
      <c r="Q231" s="7" t="str">
        <f>IF(B231="","",TEXT(B231,"yyyy-mm"))</f>
        <v>2026-03</v>
      </c>
      <c r="R231" s="8">
        <f>IFERROR(G231/F231,"")</f>
        <v>198</v>
      </c>
      <c r="S231" s="9">
        <f>IFERROR(I231/G231,"")</f>
        <v>9.0909090909090912E-2</v>
      </c>
      <c r="T231" s="7" t="s">
        <v>459</v>
      </c>
      <c r="U231" s="7"/>
    </row>
    <row r="232" spans="1:21">
      <c r="A232" s="2" t="s">
        <v>421</v>
      </c>
      <c r="B232" s="3">
        <v>46105</v>
      </c>
      <c r="C232" s="2" t="s">
        <v>49</v>
      </c>
      <c r="D232" s="2" t="s">
        <v>53</v>
      </c>
      <c r="E232" s="2" t="s">
        <v>43</v>
      </c>
      <c r="F232" s="4">
        <v>1</v>
      </c>
      <c r="G232" s="5">
        <v>300</v>
      </c>
      <c r="H232" s="5">
        <v>250</v>
      </c>
      <c r="I232" s="5">
        <v>50</v>
      </c>
      <c r="J232" s="2" t="s">
        <v>62</v>
      </c>
      <c r="K232" s="2" t="s">
        <v>458</v>
      </c>
      <c r="L232" s="6">
        <v>16.7</v>
      </c>
      <c r="M232" s="2" t="s">
        <v>330</v>
      </c>
      <c r="N232" s="7">
        <f>IF(B232="","",YEAR(B232))</f>
        <v>2026</v>
      </c>
      <c r="O232" s="7" t="str">
        <f>IF(B232="","","Q"&amp;ROUNDUP(MONTH(B232)/3,0))</f>
        <v>Q1</v>
      </c>
      <c r="P232" s="7" t="str">
        <f>IF(B232="","",TEXT(B232,"mmmm"))</f>
        <v>March</v>
      </c>
      <c r="Q232" s="7" t="str">
        <f>IF(B232="","",TEXT(B232,"yyyy-mm"))</f>
        <v>2026-03</v>
      </c>
      <c r="R232" s="8">
        <f>IFERROR(G232/F232,"")</f>
        <v>300</v>
      </c>
      <c r="S232" s="9">
        <f>IFERROR(I232/G232,"")</f>
        <v>0.16666666666666666</v>
      </c>
      <c r="T232" s="7" t="s">
        <v>459</v>
      </c>
      <c r="U232" s="7"/>
    </row>
    <row r="233" spans="1:21">
      <c r="A233" s="2" t="s">
        <v>422</v>
      </c>
      <c r="B233" s="3">
        <v>46105</v>
      </c>
      <c r="C233" s="2" t="s">
        <v>27</v>
      </c>
      <c r="D233" s="2" t="s">
        <v>16</v>
      </c>
      <c r="E233" s="2" t="s">
        <v>17</v>
      </c>
      <c r="F233" s="4">
        <v>3</v>
      </c>
      <c r="G233" s="5">
        <v>270</v>
      </c>
      <c r="H233" s="5">
        <v>120</v>
      </c>
      <c r="I233" s="5">
        <v>150</v>
      </c>
      <c r="J233" s="2" t="s">
        <v>460</v>
      </c>
      <c r="K233" s="2" t="s">
        <v>458</v>
      </c>
      <c r="L233" s="6">
        <v>55.6</v>
      </c>
      <c r="M233" s="2" t="s">
        <v>330</v>
      </c>
      <c r="N233" s="7">
        <f>IF(B233="","",YEAR(B233))</f>
        <v>2026</v>
      </c>
      <c r="O233" s="7" t="str">
        <f>IF(B233="","","Q"&amp;ROUNDUP(MONTH(B233)/3,0))</f>
        <v>Q1</v>
      </c>
      <c r="P233" s="7" t="str">
        <f>IF(B233="","",TEXT(B233,"mmmm"))</f>
        <v>March</v>
      </c>
      <c r="Q233" s="7" t="str">
        <f>IF(B233="","",TEXT(B233,"yyyy-mm"))</f>
        <v>2026-03</v>
      </c>
      <c r="R233" s="8">
        <f>IFERROR(G233/F233,"")</f>
        <v>90</v>
      </c>
      <c r="S233" s="9">
        <f>IFERROR(I233/G233,"")</f>
        <v>0.55555555555555558</v>
      </c>
      <c r="T233" s="7" t="s">
        <v>459</v>
      </c>
      <c r="U233" s="7"/>
    </row>
    <row r="234" spans="1:21">
      <c r="A234" s="2" t="s">
        <v>423</v>
      </c>
      <c r="B234" s="3">
        <v>46105</v>
      </c>
      <c r="C234" s="2" t="s">
        <v>27</v>
      </c>
      <c r="D234" s="2" t="s">
        <v>16</v>
      </c>
      <c r="E234" s="2" t="s">
        <v>56</v>
      </c>
      <c r="F234" s="4">
        <v>1</v>
      </c>
      <c r="G234" s="5">
        <v>180</v>
      </c>
      <c r="H234" s="5">
        <v>115</v>
      </c>
      <c r="I234" s="5">
        <v>65</v>
      </c>
      <c r="J234" s="2" t="s">
        <v>62</v>
      </c>
      <c r="K234" s="2" t="s">
        <v>458</v>
      </c>
      <c r="L234" s="6">
        <v>36.1</v>
      </c>
      <c r="M234" s="2" t="s">
        <v>330</v>
      </c>
      <c r="N234" s="7">
        <f>IF(B234="","",YEAR(B234))</f>
        <v>2026</v>
      </c>
      <c r="O234" s="7" t="str">
        <f>IF(B234="","","Q"&amp;ROUNDUP(MONTH(B234)/3,0))</f>
        <v>Q1</v>
      </c>
      <c r="P234" s="7" t="str">
        <f>IF(B234="","",TEXT(B234,"mmmm"))</f>
        <v>March</v>
      </c>
      <c r="Q234" s="7" t="str">
        <f>IF(B234="","",TEXT(B234,"yyyy-mm"))</f>
        <v>2026-03</v>
      </c>
      <c r="R234" s="8">
        <f>IFERROR(G234/F234,"")</f>
        <v>180</v>
      </c>
      <c r="S234" s="9">
        <f>IFERROR(I234/G234,"")</f>
        <v>0.3611111111111111</v>
      </c>
      <c r="T234" s="7" t="s">
        <v>459</v>
      </c>
      <c r="U234" s="7"/>
    </row>
    <row r="235" spans="1:21">
      <c r="A235" s="2" t="s">
        <v>424</v>
      </c>
      <c r="B235" s="3">
        <v>46105</v>
      </c>
      <c r="C235" s="2" t="s">
        <v>15</v>
      </c>
      <c r="D235" s="2" t="s">
        <v>42</v>
      </c>
      <c r="E235" s="2" t="s">
        <v>56</v>
      </c>
      <c r="F235" s="4">
        <v>1</v>
      </c>
      <c r="G235" s="5">
        <v>180</v>
      </c>
      <c r="H235" s="5">
        <v>115</v>
      </c>
      <c r="I235" s="5">
        <v>65</v>
      </c>
      <c r="J235" s="2" t="s">
        <v>22</v>
      </c>
      <c r="K235" s="2" t="s">
        <v>458</v>
      </c>
      <c r="L235" s="6">
        <v>36.1</v>
      </c>
      <c r="M235" s="2" t="s">
        <v>330</v>
      </c>
      <c r="N235" s="7">
        <f>IF(B235="","",YEAR(B235))</f>
        <v>2026</v>
      </c>
      <c r="O235" s="7" t="str">
        <f>IF(B235="","","Q"&amp;ROUNDUP(MONTH(B235)/3,0))</f>
        <v>Q1</v>
      </c>
      <c r="P235" s="7" t="str">
        <f>IF(B235="","",TEXT(B235,"mmmm"))</f>
        <v>March</v>
      </c>
      <c r="Q235" s="7" t="str">
        <f>IF(B235="","",TEXT(B235,"yyyy-mm"))</f>
        <v>2026-03</v>
      </c>
      <c r="R235" s="8">
        <f>IFERROR(G235/F235,"")</f>
        <v>180</v>
      </c>
      <c r="S235" s="9">
        <f>IFERROR(I235/G235,"")</f>
        <v>0.3611111111111111</v>
      </c>
      <c r="T235" s="7" t="s">
        <v>459</v>
      </c>
      <c r="U235" s="7"/>
    </row>
    <row r="236" spans="1:21">
      <c r="A236" s="2" t="s">
        <v>425</v>
      </c>
      <c r="B236" s="3">
        <v>46106</v>
      </c>
      <c r="C236" s="2" t="s">
        <v>27</v>
      </c>
      <c r="D236" s="2" t="s">
        <v>16</v>
      </c>
      <c r="E236" s="2" t="s">
        <v>56</v>
      </c>
      <c r="F236" s="4">
        <v>2</v>
      </c>
      <c r="G236" s="5">
        <v>360</v>
      </c>
      <c r="H236" s="5">
        <v>230</v>
      </c>
      <c r="I236" s="5">
        <v>130</v>
      </c>
      <c r="J236" s="2" t="s">
        <v>460</v>
      </c>
      <c r="K236" s="2" t="s">
        <v>458</v>
      </c>
      <c r="L236" s="6">
        <v>36.1</v>
      </c>
      <c r="M236" s="2" t="s">
        <v>330</v>
      </c>
      <c r="N236" s="7">
        <f>IF(B236="","",YEAR(B236))</f>
        <v>2026</v>
      </c>
      <c r="O236" s="7" t="str">
        <f>IF(B236="","","Q"&amp;ROUNDUP(MONTH(B236)/3,0))</f>
        <v>Q1</v>
      </c>
      <c r="P236" s="7" t="str">
        <f>IF(B236="","",TEXT(B236,"mmmm"))</f>
        <v>March</v>
      </c>
      <c r="Q236" s="7" t="str">
        <f>IF(B236="","",TEXT(B236,"yyyy-mm"))</f>
        <v>2026-03</v>
      </c>
      <c r="R236" s="8">
        <f>IFERROR(G236/F236,"")</f>
        <v>180</v>
      </c>
      <c r="S236" s="9">
        <f>IFERROR(I236/G236,"")</f>
        <v>0.3611111111111111</v>
      </c>
      <c r="T236" s="7" t="s">
        <v>459</v>
      </c>
      <c r="U236" s="7"/>
    </row>
    <row r="237" spans="1:21">
      <c r="A237" s="2" t="s">
        <v>427</v>
      </c>
      <c r="B237" s="3">
        <v>46106</v>
      </c>
      <c r="C237" s="2" t="s">
        <v>34</v>
      </c>
      <c r="D237" s="2" t="s">
        <v>42</v>
      </c>
      <c r="E237" s="2" t="s">
        <v>56</v>
      </c>
      <c r="F237" s="4">
        <v>1</v>
      </c>
      <c r="G237" s="5">
        <v>180</v>
      </c>
      <c r="H237" s="5">
        <v>115</v>
      </c>
      <c r="I237" s="5">
        <v>65</v>
      </c>
      <c r="J237" s="2" t="s">
        <v>460</v>
      </c>
      <c r="K237" s="2" t="s">
        <v>31</v>
      </c>
      <c r="L237" s="6">
        <v>36.1</v>
      </c>
      <c r="M237" s="2" t="s">
        <v>330</v>
      </c>
      <c r="N237" s="7">
        <f>IF(B237="","",YEAR(B237))</f>
        <v>2026</v>
      </c>
      <c r="O237" s="7" t="str">
        <f>IF(B237="","","Q"&amp;ROUNDUP(MONTH(B237)/3,0))</f>
        <v>Q1</v>
      </c>
      <c r="P237" s="7" t="str">
        <f>IF(B237="","",TEXT(B237,"mmmm"))</f>
        <v>March</v>
      </c>
      <c r="Q237" s="7" t="str">
        <f>IF(B237="","",TEXT(B237,"yyyy-mm"))</f>
        <v>2026-03</v>
      </c>
      <c r="R237" s="8">
        <f>IFERROR(G237/F237,"")</f>
        <v>180</v>
      </c>
      <c r="S237" s="9">
        <f>IFERROR(I237/G237,"")</f>
        <v>0.3611111111111111</v>
      </c>
      <c r="T237" s="7" t="s">
        <v>459</v>
      </c>
      <c r="U237" s="7"/>
    </row>
    <row r="238" spans="1:21">
      <c r="A238" s="2" t="s">
        <v>428</v>
      </c>
      <c r="B238" s="3">
        <v>46107</v>
      </c>
      <c r="C238" s="2" t="s">
        <v>15</v>
      </c>
      <c r="D238" s="2" t="s">
        <v>53</v>
      </c>
      <c r="E238" s="2" t="s">
        <v>17</v>
      </c>
      <c r="F238" s="4">
        <v>1</v>
      </c>
      <c r="G238" s="5">
        <v>81</v>
      </c>
      <c r="H238" s="5">
        <v>40</v>
      </c>
      <c r="I238" s="5">
        <v>41</v>
      </c>
      <c r="J238" s="2" t="s">
        <v>62</v>
      </c>
      <c r="K238" s="2" t="s">
        <v>31</v>
      </c>
      <c r="L238" s="6">
        <v>50.6</v>
      </c>
      <c r="M238" s="2" t="s">
        <v>330</v>
      </c>
      <c r="N238" s="7">
        <f>IF(B238="","",YEAR(B238))</f>
        <v>2026</v>
      </c>
      <c r="O238" s="7" t="str">
        <f>IF(B238="","","Q"&amp;ROUNDUP(MONTH(B238)/3,0))</f>
        <v>Q1</v>
      </c>
      <c r="P238" s="7" t="str">
        <f>IF(B238="","",TEXT(B238,"mmmm"))</f>
        <v>March</v>
      </c>
      <c r="Q238" s="7" t="str">
        <f>IF(B238="","",TEXT(B238,"yyyy-mm"))</f>
        <v>2026-03</v>
      </c>
      <c r="R238" s="8">
        <f>IFERROR(G238/F238,"")</f>
        <v>81</v>
      </c>
      <c r="S238" s="9">
        <f>IFERROR(I238/G238,"")</f>
        <v>0.50617283950617287</v>
      </c>
      <c r="T238" s="7" t="s">
        <v>459</v>
      </c>
      <c r="U238" s="7"/>
    </row>
    <row r="239" spans="1:21">
      <c r="A239" s="2" t="s">
        <v>430</v>
      </c>
      <c r="B239" s="3">
        <v>46108</v>
      </c>
      <c r="C239" s="2" t="s">
        <v>27</v>
      </c>
      <c r="D239" s="2" t="s">
        <v>53</v>
      </c>
      <c r="E239" s="2" t="s">
        <v>43</v>
      </c>
      <c r="F239" s="4">
        <v>3</v>
      </c>
      <c r="G239" s="5">
        <v>810</v>
      </c>
      <c r="H239" s="5">
        <v>750</v>
      </c>
      <c r="I239" s="5">
        <v>60</v>
      </c>
      <c r="J239" s="2" t="s">
        <v>460</v>
      </c>
      <c r="K239" s="2" t="s">
        <v>31</v>
      </c>
      <c r="L239" s="6">
        <v>7.4</v>
      </c>
      <c r="M239" s="2" t="s">
        <v>330</v>
      </c>
      <c r="N239" s="7">
        <f>IF(B239="","",YEAR(B239))</f>
        <v>2026</v>
      </c>
      <c r="O239" s="7" t="str">
        <f>IF(B239="","","Q"&amp;ROUNDUP(MONTH(B239)/3,0))</f>
        <v>Q1</v>
      </c>
      <c r="P239" s="7" t="str">
        <f>IF(B239="","",TEXT(B239,"mmmm"))</f>
        <v>March</v>
      </c>
      <c r="Q239" s="7" t="str">
        <f>IF(B239="","",TEXT(B239,"yyyy-mm"))</f>
        <v>2026-03</v>
      </c>
      <c r="R239" s="8">
        <f>IFERROR(G239/F239,"")</f>
        <v>270</v>
      </c>
      <c r="S239" s="9">
        <f>IFERROR(I239/G239,"")</f>
        <v>7.407407407407407E-2</v>
      </c>
      <c r="T239" s="7" t="s">
        <v>459</v>
      </c>
      <c r="U239" s="7"/>
    </row>
    <row r="240" spans="1:21">
      <c r="A240" s="2" t="s">
        <v>433</v>
      </c>
      <c r="B240" s="3">
        <v>46108</v>
      </c>
      <c r="C240" s="2" t="s">
        <v>34</v>
      </c>
      <c r="D240" s="2" t="s">
        <v>53</v>
      </c>
      <c r="E240" s="2" t="s">
        <v>43</v>
      </c>
      <c r="F240" s="4">
        <v>1</v>
      </c>
      <c r="G240" s="5">
        <v>300</v>
      </c>
      <c r="H240" s="5">
        <v>250</v>
      </c>
      <c r="I240" s="5">
        <v>50</v>
      </c>
      <c r="J240" s="2" t="s">
        <v>460</v>
      </c>
      <c r="K240" s="2" t="s">
        <v>458</v>
      </c>
      <c r="L240" s="6">
        <v>16.7</v>
      </c>
      <c r="M240" s="2" t="s">
        <v>330</v>
      </c>
      <c r="N240" s="7">
        <f>IF(B240="","",YEAR(B240))</f>
        <v>2026</v>
      </c>
      <c r="O240" s="7" t="str">
        <f>IF(B240="","","Q"&amp;ROUNDUP(MONTH(B240)/3,0))</f>
        <v>Q1</v>
      </c>
      <c r="P240" s="7" t="str">
        <f>IF(B240="","",TEXT(B240,"mmmm"))</f>
        <v>March</v>
      </c>
      <c r="Q240" s="7" t="str">
        <f>IF(B240="","",TEXT(B240,"yyyy-mm"))</f>
        <v>2026-03</v>
      </c>
      <c r="R240" s="8">
        <f>IFERROR(G240/F240,"")</f>
        <v>300</v>
      </c>
      <c r="S240" s="9">
        <f>IFERROR(I240/G240,"")</f>
        <v>0.16666666666666666</v>
      </c>
      <c r="T240" s="7" t="s">
        <v>459</v>
      </c>
      <c r="U240" s="7"/>
    </row>
    <row r="241" spans="1:21">
      <c r="A241" s="2" t="s">
        <v>434</v>
      </c>
      <c r="B241" s="3">
        <v>46108</v>
      </c>
      <c r="C241" s="2" t="s">
        <v>15</v>
      </c>
      <c r="D241" s="2" t="s">
        <v>42</v>
      </c>
      <c r="E241" s="2" t="s">
        <v>86</v>
      </c>
      <c r="F241" s="4">
        <v>1</v>
      </c>
      <c r="G241" s="5">
        <v>140</v>
      </c>
      <c r="H241" s="5">
        <v>80</v>
      </c>
      <c r="I241" s="5">
        <v>60</v>
      </c>
      <c r="J241" s="2" t="s">
        <v>22</v>
      </c>
      <c r="K241" s="2" t="s">
        <v>458</v>
      </c>
      <c r="L241" s="6">
        <v>42.9</v>
      </c>
      <c r="M241" s="2" t="s">
        <v>330</v>
      </c>
      <c r="N241" s="7">
        <f>IF(B241="","",YEAR(B241))</f>
        <v>2026</v>
      </c>
      <c r="O241" s="7" t="str">
        <f>IF(B241="","","Q"&amp;ROUNDUP(MONTH(B241)/3,0))</f>
        <v>Q1</v>
      </c>
      <c r="P241" s="7" t="str">
        <f>IF(B241="","",TEXT(B241,"mmmm"))</f>
        <v>March</v>
      </c>
      <c r="Q241" s="7" t="str">
        <f>IF(B241="","",TEXT(B241,"yyyy-mm"))</f>
        <v>2026-03</v>
      </c>
      <c r="R241" s="8">
        <f>IFERROR(G241/F241,"")</f>
        <v>140</v>
      </c>
      <c r="S241" s="9">
        <f>IFERROR(I241/G241,"")</f>
        <v>0.42857142857142855</v>
      </c>
      <c r="T241" s="7" t="s">
        <v>459</v>
      </c>
      <c r="U241" s="7"/>
    </row>
    <row r="242" spans="1:21">
      <c r="A242" s="2" t="s">
        <v>435</v>
      </c>
      <c r="B242" s="3">
        <v>46108</v>
      </c>
      <c r="C242" s="2" t="s">
        <v>34</v>
      </c>
      <c r="D242" s="2" t="s">
        <v>42</v>
      </c>
      <c r="E242" s="2" t="s">
        <v>36</v>
      </c>
      <c r="F242" s="4">
        <v>1</v>
      </c>
      <c r="G242" s="5">
        <v>220</v>
      </c>
      <c r="H242" s="5">
        <v>180</v>
      </c>
      <c r="I242" s="5">
        <v>40</v>
      </c>
      <c r="J242" s="2" t="s">
        <v>460</v>
      </c>
      <c r="K242" s="2" t="s">
        <v>31</v>
      </c>
      <c r="L242" s="6">
        <v>18.2</v>
      </c>
      <c r="M242" s="2" t="s">
        <v>330</v>
      </c>
      <c r="N242" s="7">
        <f>IF(B242="","",YEAR(B242))</f>
        <v>2026</v>
      </c>
      <c r="O242" s="7" t="str">
        <f>IF(B242="","","Q"&amp;ROUNDUP(MONTH(B242)/3,0))</f>
        <v>Q1</v>
      </c>
      <c r="P242" s="7" t="str">
        <f>IF(B242="","",TEXT(B242,"mmmm"))</f>
        <v>March</v>
      </c>
      <c r="Q242" s="7" t="str">
        <f>IF(B242="","",TEXT(B242,"yyyy-mm"))</f>
        <v>2026-03</v>
      </c>
      <c r="R242" s="8">
        <f>IFERROR(G242/F242,"")</f>
        <v>220</v>
      </c>
      <c r="S242" s="9">
        <f>IFERROR(I242/G242,"")</f>
        <v>0.18181818181818182</v>
      </c>
      <c r="T242" s="7" t="s">
        <v>459</v>
      </c>
      <c r="U242" s="7"/>
    </row>
    <row r="243" spans="1:21">
      <c r="A243" s="2" t="s">
        <v>436</v>
      </c>
      <c r="B243" s="3">
        <v>46108</v>
      </c>
      <c r="C243" s="2" t="s">
        <v>27</v>
      </c>
      <c r="D243" s="2" t="s">
        <v>16</v>
      </c>
      <c r="E243" s="2" t="s">
        <v>43</v>
      </c>
      <c r="F243" s="4">
        <v>2</v>
      </c>
      <c r="G243" s="5">
        <v>540</v>
      </c>
      <c r="H243" s="5">
        <v>500</v>
      </c>
      <c r="I243" s="5">
        <v>40</v>
      </c>
      <c r="J243" s="2" t="s">
        <v>62</v>
      </c>
      <c r="K243" s="2" t="s">
        <v>31</v>
      </c>
      <c r="L243" s="6">
        <v>7.4</v>
      </c>
      <c r="M243" s="2" t="s">
        <v>330</v>
      </c>
      <c r="N243" s="7">
        <f>IF(B243="","",YEAR(B243))</f>
        <v>2026</v>
      </c>
      <c r="O243" s="7" t="str">
        <f>IF(B243="","","Q"&amp;ROUNDUP(MONTH(B243)/3,0))</f>
        <v>Q1</v>
      </c>
      <c r="P243" s="7" t="str">
        <f>IF(B243="","",TEXT(B243,"mmmm"))</f>
        <v>March</v>
      </c>
      <c r="Q243" s="7" t="str">
        <f>IF(B243="","",TEXT(B243,"yyyy-mm"))</f>
        <v>2026-03</v>
      </c>
      <c r="R243" s="8">
        <f>IFERROR(G243/F243,"")</f>
        <v>270</v>
      </c>
      <c r="S243" s="9">
        <f>IFERROR(I243/G243,"")</f>
        <v>7.407407407407407E-2</v>
      </c>
      <c r="T243" s="7" t="s">
        <v>459</v>
      </c>
      <c r="U243" s="7"/>
    </row>
    <row r="244" spans="1:21">
      <c r="A244" s="2" t="s">
        <v>437</v>
      </c>
      <c r="B244" s="3">
        <v>46109</v>
      </c>
      <c r="C244" s="2" t="s">
        <v>15</v>
      </c>
      <c r="D244" s="2" t="s">
        <v>53</v>
      </c>
      <c r="E244" s="2" t="s">
        <v>17</v>
      </c>
      <c r="F244" s="4">
        <v>2</v>
      </c>
      <c r="G244" s="5">
        <v>162</v>
      </c>
      <c r="H244" s="5">
        <v>80</v>
      </c>
      <c r="I244" s="5">
        <v>82</v>
      </c>
      <c r="J244" s="2" t="s">
        <v>460</v>
      </c>
      <c r="K244" s="2" t="s">
        <v>458</v>
      </c>
      <c r="L244" s="6">
        <v>50.6</v>
      </c>
      <c r="M244" s="2" t="s">
        <v>330</v>
      </c>
      <c r="N244" s="7">
        <f>IF(B244="","",YEAR(B244))</f>
        <v>2026</v>
      </c>
      <c r="O244" s="7" t="str">
        <f>IF(B244="","","Q"&amp;ROUNDUP(MONTH(B244)/3,0))</f>
        <v>Q1</v>
      </c>
      <c r="P244" s="7" t="str">
        <f>IF(B244="","",TEXT(B244,"mmmm"))</f>
        <v>March</v>
      </c>
      <c r="Q244" s="7" t="str">
        <f>IF(B244="","",TEXT(B244,"yyyy-mm"))</f>
        <v>2026-03</v>
      </c>
      <c r="R244" s="8">
        <f>IFERROR(G244/F244,"")</f>
        <v>81</v>
      </c>
      <c r="S244" s="9">
        <f>IFERROR(I244/G244,"")</f>
        <v>0.50617283950617287</v>
      </c>
      <c r="T244" s="7" t="s">
        <v>459</v>
      </c>
      <c r="U244" s="7"/>
    </row>
    <row r="245" spans="1:21">
      <c r="A245" s="2" t="s">
        <v>440</v>
      </c>
      <c r="B245" s="3">
        <v>46109</v>
      </c>
      <c r="C245" s="2" t="s">
        <v>34</v>
      </c>
      <c r="D245" s="2" t="s">
        <v>16</v>
      </c>
      <c r="E245" s="2" t="s">
        <v>36</v>
      </c>
      <c r="F245" s="4">
        <v>1</v>
      </c>
      <c r="G245" s="5">
        <v>220</v>
      </c>
      <c r="H245" s="5">
        <v>180</v>
      </c>
      <c r="I245" s="5">
        <v>40</v>
      </c>
      <c r="J245" s="2" t="s">
        <v>62</v>
      </c>
      <c r="K245" s="2" t="s">
        <v>458</v>
      </c>
      <c r="L245" s="6">
        <v>18.2</v>
      </c>
      <c r="M245" s="2" t="s">
        <v>330</v>
      </c>
      <c r="N245" s="7">
        <f>IF(B245="","",YEAR(B245))</f>
        <v>2026</v>
      </c>
      <c r="O245" s="7" t="str">
        <f>IF(B245="","","Q"&amp;ROUNDUP(MONTH(B245)/3,0))</f>
        <v>Q1</v>
      </c>
      <c r="P245" s="7" t="str">
        <f>IF(B245="","",TEXT(B245,"mmmm"))</f>
        <v>March</v>
      </c>
      <c r="Q245" s="7" t="str">
        <f>IF(B245="","",TEXT(B245,"yyyy-mm"))</f>
        <v>2026-03</v>
      </c>
      <c r="R245" s="8">
        <f>IFERROR(G245/F245,"")</f>
        <v>220</v>
      </c>
      <c r="S245" s="9">
        <f>IFERROR(I245/G245,"")</f>
        <v>0.18181818181818182</v>
      </c>
      <c r="T245" s="7" t="s">
        <v>459</v>
      </c>
      <c r="U245" s="7"/>
    </row>
    <row r="246" spans="1:21">
      <c r="A246" s="2" t="s">
        <v>441</v>
      </c>
      <c r="B246" s="3">
        <v>46110</v>
      </c>
      <c r="C246" s="2" t="s">
        <v>49</v>
      </c>
      <c r="D246" s="2" t="s">
        <v>53</v>
      </c>
      <c r="E246" s="2" t="s">
        <v>86</v>
      </c>
      <c r="F246" s="4">
        <v>1</v>
      </c>
      <c r="G246" s="5">
        <v>140</v>
      </c>
      <c r="H246" s="5">
        <v>80</v>
      </c>
      <c r="I246" s="5">
        <v>60</v>
      </c>
      <c r="J246" s="2" t="s">
        <v>22</v>
      </c>
      <c r="K246" s="2" t="s">
        <v>458</v>
      </c>
      <c r="L246" s="6">
        <v>42.9</v>
      </c>
      <c r="M246" s="2" t="s">
        <v>330</v>
      </c>
      <c r="N246" s="7">
        <f>IF(B246="","",YEAR(B246))</f>
        <v>2026</v>
      </c>
      <c r="O246" s="7" t="str">
        <f>IF(B246="","","Q"&amp;ROUNDUP(MONTH(B246)/3,0))</f>
        <v>Q1</v>
      </c>
      <c r="P246" s="7" t="str">
        <f>IF(B246="","",TEXT(B246,"mmmm"))</f>
        <v>March</v>
      </c>
      <c r="Q246" s="7" t="str">
        <f>IF(B246="","",TEXT(B246,"yyyy-mm"))</f>
        <v>2026-03</v>
      </c>
      <c r="R246" s="8">
        <f>IFERROR(G246/F246,"")</f>
        <v>140</v>
      </c>
      <c r="S246" s="9">
        <f>IFERROR(I246/G246,"")</f>
        <v>0.42857142857142855</v>
      </c>
      <c r="T246" s="7" t="s">
        <v>459</v>
      </c>
      <c r="U246" s="7"/>
    </row>
    <row r="247" spans="1:21">
      <c r="A247" s="2" t="s">
        <v>443</v>
      </c>
      <c r="B247" s="3">
        <v>46110</v>
      </c>
      <c r="C247" s="2" t="s">
        <v>15</v>
      </c>
      <c r="D247" s="2" t="s">
        <v>53</v>
      </c>
      <c r="E247" s="2" t="s">
        <v>17</v>
      </c>
      <c r="F247" s="4">
        <v>2</v>
      </c>
      <c r="G247" s="5">
        <v>162</v>
      </c>
      <c r="H247" s="5">
        <v>80</v>
      </c>
      <c r="I247" s="5">
        <v>82</v>
      </c>
      <c r="J247" s="2" t="s">
        <v>62</v>
      </c>
      <c r="K247" s="2" t="s">
        <v>31</v>
      </c>
      <c r="L247" s="6">
        <v>50.6</v>
      </c>
      <c r="M247" s="2" t="s">
        <v>330</v>
      </c>
      <c r="N247" s="7">
        <f>IF(B247="","",YEAR(B247))</f>
        <v>2026</v>
      </c>
      <c r="O247" s="7" t="str">
        <f>IF(B247="","","Q"&amp;ROUNDUP(MONTH(B247)/3,0))</f>
        <v>Q1</v>
      </c>
      <c r="P247" s="7" t="str">
        <f>IF(B247="","",TEXT(B247,"mmmm"))</f>
        <v>March</v>
      </c>
      <c r="Q247" s="7" t="str">
        <f>IF(B247="","",TEXT(B247,"yyyy-mm"))</f>
        <v>2026-03</v>
      </c>
      <c r="R247" s="8">
        <f>IFERROR(G247/F247,"")</f>
        <v>81</v>
      </c>
      <c r="S247" s="9">
        <f>IFERROR(I247/G247,"")</f>
        <v>0.50617283950617287</v>
      </c>
      <c r="T247" s="7" t="s">
        <v>459</v>
      </c>
      <c r="U247" s="7"/>
    </row>
    <row r="248" spans="1:21">
      <c r="A248" s="2" t="s">
        <v>444</v>
      </c>
      <c r="B248" s="3">
        <v>46111</v>
      </c>
      <c r="C248" s="2" t="s">
        <v>15</v>
      </c>
      <c r="D248" s="2" t="s">
        <v>16</v>
      </c>
      <c r="E248" s="2" t="s">
        <v>43</v>
      </c>
      <c r="F248" s="4">
        <v>2</v>
      </c>
      <c r="G248" s="5">
        <v>600</v>
      </c>
      <c r="H248" s="5">
        <v>500</v>
      </c>
      <c r="I248" s="5">
        <v>100</v>
      </c>
      <c r="J248" s="2" t="s">
        <v>460</v>
      </c>
      <c r="K248" s="2" t="s">
        <v>458</v>
      </c>
      <c r="L248" s="6">
        <v>16.7</v>
      </c>
      <c r="M248" s="2" t="s">
        <v>330</v>
      </c>
      <c r="N248" s="7">
        <f>IF(B248="","",YEAR(B248))</f>
        <v>2026</v>
      </c>
      <c r="O248" s="7" t="str">
        <f>IF(B248="","","Q"&amp;ROUNDUP(MONTH(B248)/3,0))</f>
        <v>Q1</v>
      </c>
      <c r="P248" s="7" t="str">
        <f>IF(B248="","",TEXT(B248,"mmmm"))</f>
        <v>March</v>
      </c>
      <c r="Q248" s="7" t="str">
        <f>IF(B248="","",TEXT(B248,"yyyy-mm"))</f>
        <v>2026-03</v>
      </c>
      <c r="R248" s="8">
        <f>IFERROR(G248/F248,"")</f>
        <v>300</v>
      </c>
      <c r="S248" s="9">
        <f>IFERROR(I248/G248,"")</f>
        <v>0.16666666666666666</v>
      </c>
      <c r="T248" s="7" t="s">
        <v>459</v>
      </c>
      <c r="U248" s="7"/>
    </row>
    <row r="249" spans="1:21">
      <c r="A249" s="2" t="s">
        <v>446</v>
      </c>
      <c r="B249" s="3">
        <v>46111</v>
      </c>
      <c r="C249" s="2" t="s">
        <v>27</v>
      </c>
      <c r="D249" s="2" t="s">
        <v>42</v>
      </c>
      <c r="E249" s="2" t="s">
        <v>86</v>
      </c>
      <c r="F249" s="4">
        <v>2</v>
      </c>
      <c r="G249" s="5">
        <v>280</v>
      </c>
      <c r="H249" s="5">
        <v>160</v>
      </c>
      <c r="I249" s="5">
        <v>120</v>
      </c>
      <c r="J249" s="2" t="s">
        <v>460</v>
      </c>
      <c r="K249" s="2" t="s">
        <v>458</v>
      </c>
      <c r="L249" s="6">
        <v>42.9</v>
      </c>
      <c r="M249" s="2" t="s">
        <v>330</v>
      </c>
      <c r="N249" s="7">
        <f>IF(B249="","",YEAR(B249))</f>
        <v>2026</v>
      </c>
      <c r="O249" s="7" t="str">
        <f>IF(B249="","","Q"&amp;ROUNDUP(MONTH(B249)/3,0))</f>
        <v>Q1</v>
      </c>
      <c r="P249" s="7" t="str">
        <f>IF(B249="","",TEXT(B249,"mmmm"))</f>
        <v>March</v>
      </c>
      <c r="Q249" s="7" t="str">
        <f>IF(B249="","",TEXT(B249,"yyyy-mm"))</f>
        <v>2026-03</v>
      </c>
      <c r="R249" s="8">
        <f>IFERROR(G249/F249,"")</f>
        <v>140</v>
      </c>
      <c r="S249" s="9">
        <f>IFERROR(I249/G249,"")</f>
        <v>0.42857142857142855</v>
      </c>
      <c r="T249" s="7" t="s">
        <v>459</v>
      </c>
      <c r="U249" s="7"/>
    </row>
    <row r="250" spans="1:21">
      <c r="A250" s="2" t="s">
        <v>447</v>
      </c>
      <c r="B250" s="3">
        <v>46111</v>
      </c>
      <c r="C250" s="2" t="s">
        <v>34</v>
      </c>
      <c r="D250" s="2" t="s">
        <v>53</v>
      </c>
      <c r="E250" s="2" t="s">
        <v>36</v>
      </c>
      <c r="F250" s="4">
        <v>1</v>
      </c>
      <c r="G250" s="5">
        <v>220</v>
      </c>
      <c r="H250" s="5">
        <v>180</v>
      </c>
      <c r="I250" s="5">
        <v>40</v>
      </c>
      <c r="J250" s="2" t="s">
        <v>460</v>
      </c>
      <c r="K250" s="2" t="s">
        <v>458</v>
      </c>
      <c r="L250" s="6">
        <v>18.2</v>
      </c>
      <c r="M250" s="2" t="s">
        <v>330</v>
      </c>
      <c r="N250" s="7">
        <f>IF(B250="","",YEAR(B250))</f>
        <v>2026</v>
      </c>
      <c r="O250" s="7" t="str">
        <f>IF(B250="","","Q"&amp;ROUNDUP(MONTH(B250)/3,0))</f>
        <v>Q1</v>
      </c>
      <c r="P250" s="7" t="str">
        <f>IF(B250="","",TEXT(B250,"mmmm"))</f>
        <v>March</v>
      </c>
      <c r="Q250" s="7" t="str">
        <f>IF(B250="","",TEXT(B250,"yyyy-mm"))</f>
        <v>2026-03</v>
      </c>
      <c r="R250" s="8">
        <f>IFERROR(G250/F250,"")</f>
        <v>220</v>
      </c>
      <c r="S250" s="9">
        <f>IFERROR(I250/G250,"")</f>
        <v>0.18181818181818182</v>
      </c>
      <c r="T250" s="7" t="s">
        <v>459</v>
      </c>
      <c r="U250" s="7"/>
    </row>
    <row r="251" spans="1:21">
      <c r="A251" s="2" t="s">
        <v>448</v>
      </c>
      <c r="B251" s="3">
        <v>46112</v>
      </c>
      <c r="C251" s="2" t="s">
        <v>49</v>
      </c>
      <c r="D251" s="2" t="s">
        <v>16</v>
      </c>
      <c r="E251" s="2" t="s">
        <v>86</v>
      </c>
      <c r="F251" s="4">
        <v>1</v>
      </c>
      <c r="G251" s="5">
        <v>154</v>
      </c>
      <c r="H251" s="5">
        <v>80</v>
      </c>
      <c r="I251" s="5">
        <v>74</v>
      </c>
      <c r="J251" s="2" t="s">
        <v>22</v>
      </c>
      <c r="K251" s="2" t="s">
        <v>458</v>
      </c>
      <c r="L251" s="6">
        <v>48.1</v>
      </c>
      <c r="M251" s="2" t="s">
        <v>330</v>
      </c>
      <c r="N251" s="7">
        <f>IF(B251="","",YEAR(B251))</f>
        <v>2026</v>
      </c>
      <c r="O251" s="7" t="str">
        <f>IF(B251="","","Q"&amp;ROUNDUP(MONTH(B251)/3,0))</f>
        <v>Q1</v>
      </c>
      <c r="P251" s="7" t="str">
        <f>IF(B251="","",TEXT(B251,"mmmm"))</f>
        <v>March</v>
      </c>
      <c r="Q251" s="7" t="str">
        <f>IF(B251="","",TEXT(B251,"yyyy-mm"))</f>
        <v>2026-03</v>
      </c>
      <c r="R251" s="8">
        <f>IFERROR(G251/F251,"")</f>
        <v>154</v>
      </c>
      <c r="S251" s="9">
        <f>IFERROR(I251/G251,"")</f>
        <v>0.48051948051948051</v>
      </c>
      <c r="T251" s="7" t="s">
        <v>459</v>
      </c>
      <c r="U251" s="7"/>
    </row>
  </sheetData>
  <conditionalFormatting sqref="A2:U251">
    <cfRule type="expression" dxfId="0" priority="1">
      <formula>$T2="Review"</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6"/>
  <sheetViews>
    <sheetView showGridLines="0" workbookViewId="0">
      <pane ySplit="4" topLeftCell="A5" activePane="bottomLeft" state="frozen"/>
      <selection pane="bottomLeft"/>
    </sheetView>
  </sheetViews>
  <sheetFormatPr defaultRowHeight="15"/>
  <cols>
    <col min="1" max="2" width="42" customWidth="1"/>
    <col min="3" max="3" width="31" customWidth="1"/>
    <col min="4" max="4" width="22" customWidth="1"/>
    <col min="5" max="5" width="42" customWidth="1"/>
    <col min="6" max="8" width="10" customWidth="1"/>
  </cols>
  <sheetData>
    <row r="1" spans="1:8">
      <c r="A1" s="21" t="s">
        <v>461</v>
      </c>
      <c r="B1" s="22"/>
      <c r="C1" s="22"/>
      <c r="D1" s="22"/>
      <c r="E1" s="22"/>
      <c r="F1" s="22"/>
      <c r="G1" s="22"/>
      <c r="H1" s="22"/>
    </row>
    <row r="2" spans="1:8">
      <c r="A2" s="14" t="s">
        <v>462</v>
      </c>
      <c r="B2" s="22"/>
      <c r="C2" s="22"/>
      <c r="D2" s="22"/>
      <c r="E2" s="22"/>
      <c r="F2" s="22"/>
      <c r="G2" s="22"/>
      <c r="H2" s="22"/>
    </row>
    <row r="4" spans="1:8">
      <c r="A4" s="1" t="s">
        <v>463</v>
      </c>
      <c r="B4" s="1" t="s">
        <v>464</v>
      </c>
      <c r="C4" s="1" t="s">
        <v>465</v>
      </c>
      <c r="D4" s="1" t="s">
        <v>466</v>
      </c>
      <c r="E4" s="1" t="s">
        <v>467</v>
      </c>
    </row>
    <row r="5" spans="1:8">
      <c r="A5" t="s">
        <v>468</v>
      </c>
      <c r="B5" s="10">
        <f>SUM(Clean_Data!G2:G251)</f>
        <v>61336</v>
      </c>
      <c r="C5" t="s">
        <v>469</v>
      </c>
      <c r="D5" t="s">
        <v>6</v>
      </c>
      <c r="E5" t="s">
        <v>470</v>
      </c>
    </row>
    <row r="6" spans="1:8">
      <c r="A6" t="s">
        <v>471</v>
      </c>
      <c r="B6">
        <f>SUM(Clean_Data!F2:F251)</f>
        <v>331</v>
      </c>
      <c r="C6" t="s">
        <v>472</v>
      </c>
      <c r="D6" t="s">
        <v>5</v>
      </c>
      <c r="E6" t="s">
        <v>473</v>
      </c>
    </row>
    <row r="7" spans="1:8">
      <c r="A7" t="s">
        <v>474</v>
      </c>
      <c r="B7">
        <f>COUNTA(Clean_Data!A2:A251)</f>
        <v>250</v>
      </c>
      <c r="C7" t="s">
        <v>475</v>
      </c>
      <c r="D7" t="s">
        <v>0</v>
      </c>
      <c r="E7" t="s">
        <v>476</v>
      </c>
    </row>
    <row r="8" spans="1:8">
      <c r="A8" t="s">
        <v>477</v>
      </c>
      <c r="B8" s="10">
        <f>IFERROR(B5/B7,0)</f>
        <v>245.34399999999999</v>
      </c>
      <c r="C8" t="s">
        <v>478</v>
      </c>
      <c r="D8" t="s">
        <v>479</v>
      </c>
      <c r="E8" t="s">
        <v>480</v>
      </c>
    </row>
    <row r="9" spans="1:8">
      <c r="A9" t="s">
        <v>481</v>
      </c>
      <c r="B9" s="10">
        <f>SUM(Clean_Data!H2:H251)</f>
        <v>44125</v>
      </c>
      <c r="C9" t="s">
        <v>482</v>
      </c>
      <c r="D9" t="s">
        <v>7</v>
      </c>
      <c r="E9" t="s">
        <v>483</v>
      </c>
    </row>
    <row r="10" spans="1:8">
      <c r="A10" t="s">
        <v>484</v>
      </c>
      <c r="B10" s="10">
        <f>SUM(Clean_Data!I2:I251)</f>
        <v>17211</v>
      </c>
      <c r="C10" t="s">
        <v>485</v>
      </c>
      <c r="D10" t="s">
        <v>8</v>
      </c>
      <c r="E10" t="s">
        <v>486</v>
      </c>
    </row>
    <row r="11" spans="1:8">
      <c r="A11" t="s">
        <v>487</v>
      </c>
      <c r="B11" s="11">
        <f>IFERROR(B10/B5,0)</f>
        <v>0.28060193035085429</v>
      </c>
      <c r="C11" t="s">
        <v>488</v>
      </c>
      <c r="D11" t="s">
        <v>489</v>
      </c>
      <c r="E11" t="s">
        <v>490</v>
      </c>
    </row>
    <row r="12" spans="1:8">
      <c r="A12" t="s">
        <v>491</v>
      </c>
      <c r="B12" s="10">
        <f>IFERROR(B5/B6,0)</f>
        <v>185.30513595166164</v>
      </c>
      <c r="C12" t="s">
        <v>492</v>
      </c>
      <c r="D12" t="s">
        <v>493</v>
      </c>
      <c r="E12" t="s">
        <v>494</v>
      </c>
    </row>
    <row r="13" spans="1:8">
      <c r="A13" t="s">
        <v>495</v>
      </c>
      <c r="B13">
        <v>250</v>
      </c>
      <c r="C13" t="s">
        <v>496</v>
      </c>
      <c r="D13" t="s">
        <v>497</v>
      </c>
      <c r="E13" t="s">
        <v>498</v>
      </c>
    </row>
    <row r="14" spans="1:8">
      <c r="A14" t="s">
        <v>499</v>
      </c>
      <c r="B14">
        <v>250</v>
      </c>
      <c r="C14" t="s">
        <v>500</v>
      </c>
      <c r="D14" t="s">
        <v>501</v>
      </c>
      <c r="E14" t="s">
        <v>502</v>
      </c>
    </row>
    <row r="15" spans="1:8">
      <c r="A15" t="s">
        <v>503</v>
      </c>
      <c r="B15">
        <v>0</v>
      </c>
      <c r="C15" t="s">
        <v>504</v>
      </c>
      <c r="D15" t="s">
        <v>505</v>
      </c>
      <c r="E15" t="s">
        <v>506</v>
      </c>
    </row>
    <row r="16" spans="1:8">
      <c r="A16" t="s">
        <v>507</v>
      </c>
      <c r="B16">
        <v>0</v>
      </c>
      <c r="C16" t="s">
        <v>508</v>
      </c>
      <c r="D16" t="s">
        <v>456</v>
      </c>
      <c r="E16" t="s">
        <v>509</v>
      </c>
    </row>
    <row r="20" spans="1:2">
      <c r="A20" s="12" t="s">
        <v>510</v>
      </c>
    </row>
    <row r="21" spans="1:2">
      <c r="A21" s="1" t="s">
        <v>453</v>
      </c>
      <c r="B21" s="1" t="s">
        <v>6</v>
      </c>
    </row>
    <row r="22" spans="1:2">
      <c r="A22" t="s">
        <v>511</v>
      </c>
      <c r="B22" s="10">
        <f>SUMIF(Clean_Data!$Q$2:$Q$251,A22,Clean_Data!$G$2:$G$251)</f>
        <v>22646</v>
      </c>
    </row>
    <row r="23" spans="1:2">
      <c r="A23" t="s">
        <v>512</v>
      </c>
      <c r="B23" s="10">
        <f>SUMIF(Clean_Data!$Q$2:$Q$251,A23,Clean_Data!$G$2:$G$251)</f>
        <v>16767</v>
      </c>
    </row>
    <row r="24" spans="1:2">
      <c r="A24" t="s">
        <v>513</v>
      </c>
      <c r="B24" s="10">
        <f>SUMIF(Clean_Data!$Q$2:$Q$251,A24,Clean_Data!$G$2:$G$251)</f>
        <v>21923</v>
      </c>
    </row>
    <row r="28" spans="1:2">
      <c r="A28" s="12" t="s">
        <v>514</v>
      </c>
    </row>
    <row r="29" spans="1:2">
      <c r="A29" s="1" t="s">
        <v>4</v>
      </c>
      <c r="B29" s="1" t="s">
        <v>6</v>
      </c>
    </row>
    <row r="30" spans="1:2">
      <c r="A30" t="s">
        <v>56</v>
      </c>
      <c r="B30" s="10">
        <f>SUMIF(Clean_Data!$E$2:$E$251,A30,Clean_Data!$G$2:$G$251)</f>
        <v>13626</v>
      </c>
    </row>
    <row r="31" spans="1:2">
      <c r="A31" t="s">
        <v>17</v>
      </c>
      <c r="B31" s="10">
        <f>SUMIF(Clean_Data!$E$2:$E$251,A31,Clean_Data!$G$2:$G$251)</f>
        <v>5778</v>
      </c>
    </row>
    <row r="32" spans="1:2">
      <c r="A32" t="s">
        <v>36</v>
      </c>
      <c r="B32" s="10">
        <f>SUMIF(Clean_Data!$E$2:$E$251,A32,Clean_Data!$G$2:$G$251)</f>
        <v>13948</v>
      </c>
    </row>
    <row r="33" spans="1:2">
      <c r="A33" t="s">
        <v>43</v>
      </c>
      <c r="B33" s="10">
        <f>SUMIF(Clean_Data!$E$2:$E$251,A33,Clean_Data!$G$2:$G$251)</f>
        <v>19500</v>
      </c>
    </row>
    <row r="34" spans="1:2">
      <c r="A34" t="s">
        <v>86</v>
      </c>
      <c r="B34" s="10">
        <f>SUMIF(Clean_Data!$E$2:$E$251,A34,Clean_Data!$G$2:$G$251)</f>
        <v>8484</v>
      </c>
    </row>
    <row r="38" spans="1:2">
      <c r="A38" s="12" t="s">
        <v>515</v>
      </c>
    </row>
    <row r="39" spans="1:2">
      <c r="A39" s="1" t="s">
        <v>3</v>
      </c>
      <c r="B39" s="1" t="s">
        <v>6</v>
      </c>
    </row>
    <row r="40" spans="1:2">
      <c r="A40" t="s">
        <v>42</v>
      </c>
      <c r="B40" s="10">
        <f>SUMIF(Clean_Data!$D$2:$D$251,A40,Clean_Data!$G$2:$G$251)</f>
        <v>20623</v>
      </c>
    </row>
    <row r="41" spans="1:2">
      <c r="A41" t="s">
        <v>53</v>
      </c>
      <c r="B41" s="10">
        <f>SUMIF(Clean_Data!$D$2:$D$251,A41,Clean_Data!$G$2:$G$251)</f>
        <v>11755</v>
      </c>
    </row>
    <row r="42" spans="1:2">
      <c r="A42" t="s">
        <v>16</v>
      </c>
      <c r="B42" s="10">
        <f>SUMIF(Clean_Data!$D$2:$D$251,A42,Clean_Data!$G$2:$G$251)</f>
        <v>28958</v>
      </c>
    </row>
    <row r="46" spans="1:2">
      <c r="A46" s="12" t="s">
        <v>516</v>
      </c>
    </row>
    <row r="47" spans="1:2">
      <c r="A47" s="1" t="s">
        <v>4</v>
      </c>
      <c r="B47" s="1" t="s">
        <v>6</v>
      </c>
    </row>
    <row r="48" spans="1:2">
      <c r="A48" t="s">
        <v>56</v>
      </c>
      <c r="B48" s="10">
        <f>SUMIF(Clean_Data!$E$2:$E$251,A48,Clean_Data!$G$2:$G$251)</f>
        <v>13626</v>
      </c>
    </row>
    <row r="49" spans="1:2">
      <c r="A49" t="s">
        <v>17</v>
      </c>
      <c r="B49" s="10">
        <f>SUMIF(Clean_Data!$E$2:$E$251,A49,Clean_Data!$G$2:$G$251)</f>
        <v>5778</v>
      </c>
    </row>
    <row r="50" spans="1:2">
      <c r="A50" t="s">
        <v>36</v>
      </c>
      <c r="B50" s="10">
        <f>SUMIF(Clean_Data!$E$2:$E$251,A50,Clean_Data!$G$2:$G$251)</f>
        <v>13948</v>
      </c>
    </row>
    <row r="51" spans="1:2">
      <c r="A51" t="s">
        <v>43</v>
      </c>
      <c r="B51" s="10">
        <f>SUMIF(Clean_Data!$E$2:$E$251,A51,Clean_Data!$G$2:$G$251)</f>
        <v>19500</v>
      </c>
    </row>
    <row r="52" spans="1:2">
      <c r="A52" t="s">
        <v>86</v>
      </c>
      <c r="B52" s="10">
        <f>SUMIF(Clean_Data!$E$2:$E$251,A52,Clean_Data!$G$2:$G$251)</f>
        <v>8484</v>
      </c>
    </row>
    <row r="56" spans="1:2">
      <c r="A56" s="12" t="s">
        <v>517</v>
      </c>
    </row>
    <row r="57" spans="1:2">
      <c r="A57" s="1" t="s">
        <v>2</v>
      </c>
      <c r="B57" s="1" t="s">
        <v>6</v>
      </c>
    </row>
    <row r="58" spans="1:2">
      <c r="A58" t="s">
        <v>27</v>
      </c>
      <c r="B58" s="10">
        <f>SUMIF(Clean_Data!$C$2:$C$251,A58,Clean_Data!$G$2:$G$251)</f>
        <v>16811</v>
      </c>
    </row>
    <row r="59" spans="1:2">
      <c r="A59" t="s">
        <v>34</v>
      </c>
      <c r="B59" s="10">
        <f>SUMIF(Clean_Data!$C$2:$C$251,A59,Clean_Data!$G$2:$G$251)</f>
        <v>16957</v>
      </c>
    </row>
    <row r="60" spans="1:2">
      <c r="A60" t="s">
        <v>49</v>
      </c>
      <c r="B60" s="10">
        <f>SUMIF(Clean_Data!$C$2:$C$251,A60,Clean_Data!$G$2:$G$251)</f>
        <v>13587</v>
      </c>
    </row>
    <row r="61" spans="1:2">
      <c r="A61" t="s">
        <v>15</v>
      </c>
      <c r="B61" s="10">
        <f>SUMIF(Clean_Data!$C$2:$C$251,A61,Clean_Data!$G$2:$G$251)</f>
        <v>13981</v>
      </c>
    </row>
    <row r="65" spans="1:2">
      <c r="A65" s="12" t="s">
        <v>518</v>
      </c>
    </row>
    <row r="66" spans="1:2">
      <c r="A66" s="1" t="s">
        <v>9</v>
      </c>
      <c r="B66" s="1" t="s">
        <v>6</v>
      </c>
    </row>
    <row r="67" spans="1:2">
      <c r="A67" t="s">
        <v>22</v>
      </c>
      <c r="B67" s="10">
        <f>SUMIF(Clean_Data!$J$2:$J$251,A67,Clean_Data!$G$2:$G$251)</f>
        <v>17258</v>
      </c>
    </row>
    <row r="68" spans="1:2">
      <c r="A68" t="s">
        <v>62</v>
      </c>
      <c r="B68" s="10">
        <f>SUMIF(Clean_Data!$J$2:$J$251,A68,Clean_Data!$G$2:$G$251)</f>
        <v>10925</v>
      </c>
    </row>
    <row r="69" spans="1:2">
      <c r="A69" t="s">
        <v>460</v>
      </c>
      <c r="B69" s="10">
        <f>SUMIF(Clean_Data!$J$2:$J$251,A69,Clean_Data!$G$2:$G$251)</f>
        <v>33153</v>
      </c>
    </row>
    <row r="73" spans="1:2">
      <c r="A73" s="12" t="s">
        <v>519</v>
      </c>
    </row>
    <row r="74" spans="1:2">
      <c r="A74" s="1" t="s">
        <v>10</v>
      </c>
      <c r="B74" s="1" t="s">
        <v>6</v>
      </c>
    </row>
    <row r="75" spans="1:2">
      <c r="A75" t="s">
        <v>31</v>
      </c>
      <c r="B75" s="10">
        <f>SUMIF(Clean_Data!$K$2:$K$251,A75,Clean_Data!$G$2:$G$251)</f>
        <v>23860</v>
      </c>
    </row>
    <row r="76" spans="1:2">
      <c r="A76" t="s">
        <v>458</v>
      </c>
      <c r="B76" s="10">
        <f>SUMIF(Clean_Data!$K$2:$K$251,A76,Clean_Data!$G$2:$G$251)</f>
        <v>37476</v>
      </c>
    </row>
    <row r="80" spans="1:2">
      <c r="A80" s="12" t="s">
        <v>520</v>
      </c>
    </row>
    <row r="81" spans="1:2">
      <c r="A81" s="1" t="s">
        <v>4</v>
      </c>
      <c r="B81" s="1" t="s">
        <v>8</v>
      </c>
    </row>
    <row r="82" spans="1:2">
      <c r="A82" t="s">
        <v>56</v>
      </c>
      <c r="B82" s="10">
        <f>SUMIF(Clean_Data!$E$2:$E$251,A82,Clean_Data!$I$2:$I$251)</f>
        <v>5001</v>
      </c>
    </row>
    <row r="83" spans="1:2">
      <c r="A83" t="s">
        <v>17</v>
      </c>
      <c r="B83" s="10">
        <f>SUMIF(Clean_Data!$E$2:$E$251,A83,Clean_Data!$I$2:$I$251)</f>
        <v>3178</v>
      </c>
    </row>
    <row r="84" spans="1:2">
      <c r="A84" t="s">
        <v>36</v>
      </c>
      <c r="B84" s="10">
        <f>SUMIF(Clean_Data!$E$2:$E$251,A84,Clean_Data!$I$2:$I$251)</f>
        <v>2428</v>
      </c>
    </row>
    <row r="85" spans="1:2">
      <c r="A85" t="s">
        <v>43</v>
      </c>
      <c r="B85" s="10">
        <f>SUMIF(Clean_Data!$E$2:$E$251,A85,Clean_Data!$I$2:$I$251)</f>
        <v>3000</v>
      </c>
    </row>
    <row r="86" spans="1:2">
      <c r="A86" t="s">
        <v>86</v>
      </c>
      <c r="B86" s="10">
        <f>SUMIF(Clean_Data!$E$2:$E$251,A86,Clean_Data!$I$2:$I$251)</f>
        <v>3604</v>
      </c>
    </row>
  </sheetData>
  <mergeCells count="2">
    <mergeCell ref="A2:H2"/>
    <mergeCell ref="A1:H1"/>
  </mergeCells>
  <pageMargins left="0.75" right="0.75" top="1" bottom="1" header="0.5" footer="0.5"/>
  <tableParts count="9">
    <tablePart r:id="rId1"/>
    <tablePart r:id="rId2"/>
    <tablePart r:id="rId3"/>
    <tablePart r:id="rId4"/>
    <tablePart r:id="rId5"/>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7"/>
  <sheetViews>
    <sheetView showGridLines="0" workbookViewId="0"/>
  </sheetViews>
  <sheetFormatPr defaultRowHeight="15"/>
  <cols>
    <col min="1" max="15" width="14" customWidth="1"/>
  </cols>
  <sheetData>
    <row r="1" spans="1:15">
      <c r="A1" s="21" t="s">
        <v>521</v>
      </c>
      <c r="B1" s="22"/>
      <c r="C1" s="22"/>
      <c r="D1" s="22"/>
      <c r="E1" s="22"/>
      <c r="F1" s="22"/>
      <c r="G1" s="22"/>
      <c r="H1" s="22"/>
    </row>
    <row r="2" spans="1:15">
      <c r="A2" s="14" t="s">
        <v>522</v>
      </c>
      <c r="B2" s="22"/>
      <c r="C2" s="22"/>
      <c r="D2" s="22"/>
      <c r="E2" s="22"/>
      <c r="F2" s="22"/>
      <c r="G2" s="22"/>
      <c r="H2" s="22"/>
    </row>
    <row r="4" spans="1:15">
      <c r="A4" s="16" t="s">
        <v>468</v>
      </c>
      <c r="B4" s="22"/>
      <c r="C4" s="22"/>
      <c r="D4" s="22"/>
      <c r="F4" s="16" t="s">
        <v>484</v>
      </c>
      <c r="G4" s="22"/>
      <c r="H4" s="22"/>
      <c r="I4" s="22"/>
      <c r="K4" s="16" t="s">
        <v>523</v>
      </c>
      <c r="L4" s="22"/>
      <c r="M4" s="22"/>
      <c r="N4" s="22"/>
    </row>
    <row r="5" spans="1:15">
      <c r="A5" s="18">
        <f>KPI_Analysis!B5</f>
        <v>61336</v>
      </c>
      <c r="B5" s="22"/>
      <c r="C5" s="22"/>
      <c r="D5" s="22"/>
      <c r="F5" s="18">
        <f>KPI_Analysis!B10</f>
        <v>17211</v>
      </c>
      <c r="G5" s="22"/>
      <c r="H5" s="22"/>
      <c r="I5" s="22"/>
      <c r="K5" s="15">
        <f>KPI_Analysis!B11</f>
        <v>0.28060193035085429</v>
      </c>
      <c r="L5" s="22"/>
      <c r="M5" s="22"/>
      <c r="N5" s="22"/>
    </row>
    <row r="6" spans="1:15">
      <c r="A6" s="22"/>
      <c r="B6" s="22"/>
      <c r="C6" s="22"/>
      <c r="D6" s="22"/>
      <c r="F6" s="22"/>
      <c r="G6" s="22"/>
      <c r="H6" s="22"/>
      <c r="I6" s="22"/>
      <c r="K6" s="22"/>
      <c r="L6" s="22"/>
      <c r="M6" s="22"/>
      <c r="N6" s="22"/>
    </row>
    <row r="8" spans="1:15">
      <c r="A8" s="16" t="s">
        <v>471</v>
      </c>
      <c r="B8" s="22"/>
      <c r="C8" s="22"/>
      <c r="D8" s="22"/>
      <c r="F8" s="16" t="s">
        <v>474</v>
      </c>
      <c r="G8" s="22"/>
      <c r="H8" s="22"/>
      <c r="I8" s="22"/>
      <c r="K8" s="16" t="s">
        <v>524</v>
      </c>
      <c r="L8" s="22"/>
      <c r="M8" s="22"/>
      <c r="N8" s="22"/>
    </row>
    <row r="9" spans="1:15">
      <c r="A9" s="19">
        <f>KPI_Analysis!B6</f>
        <v>331</v>
      </c>
      <c r="B9" s="22"/>
      <c r="C9" s="22"/>
      <c r="D9" s="22"/>
      <c r="F9" s="19">
        <f>KPI_Analysis!B7</f>
        <v>250</v>
      </c>
      <c r="G9" s="22"/>
      <c r="H9" s="22"/>
      <c r="I9" s="22"/>
      <c r="K9" s="18">
        <f>KPI_Analysis!B8</f>
        <v>245.34399999999999</v>
      </c>
      <c r="L9" s="22"/>
      <c r="M9" s="22"/>
      <c r="N9" s="22"/>
    </row>
    <row r="10" spans="1:15">
      <c r="A10" s="22"/>
      <c r="B10" s="22"/>
      <c r="C10" s="22"/>
      <c r="D10" s="22"/>
      <c r="F10" s="22"/>
      <c r="G10" s="22"/>
      <c r="H10" s="22"/>
      <c r="I10" s="22"/>
      <c r="K10" s="22"/>
      <c r="L10" s="22"/>
      <c r="M10" s="22"/>
      <c r="N10" s="22"/>
    </row>
    <row r="12" spans="1:15">
      <c r="A12" s="23" t="s">
        <v>525</v>
      </c>
      <c r="B12" s="22"/>
      <c r="C12" s="22"/>
      <c r="D12" s="22"/>
      <c r="E12" s="22"/>
      <c r="F12" s="22"/>
      <c r="G12" s="22"/>
      <c r="H12" s="22"/>
      <c r="I12" s="20" t="s">
        <v>526</v>
      </c>
      <c r="J12" s="22"/>
      <c r="K12" s="22"/>
      <c r="L12" s="22"/>
      <c r="M12" s="22"/>
      <c r="N12" s="22"/>
      <c r="O12" s="22"/>
    </row>
    <row r="13" spans="1:15">
      <c r="A13" s="17" t="s">
        <v>527</v>
      </c>
      <c r="B13" s="22"/>
      <c r="C13" s="22"/>
      <c r="D13" s="22"/>
      <c r="E13" s="22"/>
      <c r="F13" s="22"/>
      <c r="G13" s="22"/>
      <c r="H13" s="22"/>
      <c r="I13" s="22"/>
      <c r="J13" s="22"/>
      <c r="K13" s="22"/>
      <c r="L13" s="22"/>
      <c r="M13" s="22"/>
      <c r="N13" s="22"/>
      <c r="O13" s="22"/>
    </row>
    <row r="14" spans="1:15">
      <c r="A14" s="17" t="s">
        <v>528</v>
      </c>
      <c r="B14" s="22"/>
      <c r="C14" s="22"/>
      <c r="D14" s="22"/>
      <c r="E14" s="22"/>
      <c r="F14" s="22"/>
      <c r="G14" s="22"/>
      <c r="H14" s="22"/>
      <c r="I14" s="22"/>
      <c r="J14" s="22"/>
      <c r="K14" s="22"/>
      <c r="L14" s="22"/>
      <c r="M14" s="22"/>
      <c r="N14" s="22"/>
      <c r="O14" s="22"/>
    </row>
    <row r="15" spans="1:15">
      <c r="A15" s="17" t="s">
        <v>529</v>
      </c>
      <c r="B15" s="22"/>
      <c r="C15" s="22"/>
      <c r="D15" s="22"/>
      <c r="E15" s="22"/>
      <c r="F15" s="22"/>
      <c r="G15" s="22"/>
      <c r="H15" s="22"/>
      <c r="I15" s="22"/>
      <c r="J15" s="22"/>
      <c r="K15" s="22"/>
      <c r="L15" s="22"/>
      <c r="M15" s="22"/>
      <c r="N15" s="22"/>
      <c r="O15" s="22"/>
    </row>
    <row r="16" spans="1:15">
      <c r="A16" s="17" t="s">
        <v>530</v>
      </c>
      <c r="B16" s="22"/>
      <c r="C16" s="22"/>
      <c r="D16" s="22"/>
      <c r="E16" s="22"/>
      <c r="F16" s="22"/>
      <c r="G16" s="22"/>
      <c r="H16" s="22"/>
      <c r="I16" s="22"/>
      <c r="J16" s="22"/>
      <c r="K16" s="22"/>
      <c r="L16" s="22"/>
      <c r="M16" s="22"/>
      <c r="N16" s="22"/>
      <c r="O16" s="22"/>
    </row>
    <row r="17" spans="1:8">
      <c r="A17" s="17" t="s">
        <v>531</v>
      </c>
      <c r="B17" s="22"/>
      <c r="C17" s="22"/>
      <c r="D17" s="22"/>
      <c r="E17" s="22"/>
      <c r="F17" s="22"/>
      <c r="G17" s="22"/>
      <c r="H17" s="22"/>
    </row>
  </sheetData>
  <mergeCells count="21">
    <mergeCell ref="A17:H17"/>
    <mergeCell ref="A9:D10"/>
    <mergeCell ref="F8:I8"/>
    <mergeCell ref="K9:N10"/>
    <mergeCell ref="A13:H13"/>
    <mergeCell ref="K8:N8"/>
    <mergeCell ref="I12:O16"/>
    <mergeCell ref="A16:H16"/>
    <mergeCell ref="A12:H12"/>
    <mergeCell ref="A5:D6"/>
    <mergeCell ref="F9:I10"/>
    <mergeCell ref="A2:H2"/>
    <mergeCell ref="A14:H14"/>
    <mergeCell ref="K5:N6"/>
    <mergeCell ref="A8:D8"/>
    <mergeCell ref="A15:H15"/>
    <mergeCell ref="A4:D4"/>
    <mergeCell ref="A1:H1"/>
    <mergeCell ref="F5:I6"/>
    <mergeCell ref="K4:N4"/>
    <mergeCell ref="F4:I4"/>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showGridLines="0" workbookViewId="0">
      <pane ySplit="12" topLeftCell="A13" activePane="bottomLeft" state="frozen"/>
      <selection pane="bottomLeft"/>
    </sheetView>
  </sheetViews>
  <sheetFormatPr defaultRowHeight="15"/>
  <cols>
    <col min="1" max="3" width="42" customWidth="1"/>
    <col min="4" max="4" width="21" customWidth="1"/>
    <col min="5" max="5" width="42" customWidth="1"/>
    <col min="6" max="8" width="10" customWidth="1"/>
  </cols>
  <sheetData>
    <row r="1" spans="1:8">
      <c r="A1" s="21" t="s">
        <v>532</v>
      </c>
      <c r="B1" s="22"/>
      <c r="C1" s="22"/>
      <c r="D1" s="22"/>
      <c r="E1" s="22"/>
      <c r="F1" s="22"/>
      <c r="G1" s="22"/>
      <c r="H1" s="22"/>
    </row>
    <row r="2" spans="1:8">
      <c r="A2" s="14" t="s">
        <v>533</v>
      </c>
      <c r="B2" s="22"/>
      <c r="C2" s="22"/>
      <c r="D2" s="22"/>
      <c r="E2" s="22"/>
      <c r="F2" s="22"/>
      <c r="G2" s="22"/>
      <c r="H2" s="22"/>
    </row>
    <row r="4" spans="1:8">
      <c r="A4" s="1" t="s">
        <v>534</v>
      </c>
      <c r="B4" s="1" t="s">
        <v>535</v>
      </c>
      <c r="C4" s="1" t="s">
        <v>467</v>
      </c>
    </row>
    <row r="5" spans="1:8">
      <c r="A5" t="s">
        <v>495</v>
      </c>
      <c r="B5">
        <v>250</v>
      </c>
      <c r="C5" t="s">
        <v>536</v>
      </c>
    </row>
    <row r="6" spans="1:8">
      <c r="A6" t="s">
        <v>499</v>
      </c>
      <c r="B6">
        <v>250</v>
      </c>
      <c r="C6" t="s">
        <v>537</v>
      </c>
    </row>
    <row r="7" spans="1:8">
      <c r="A7" t="s">
        <v>503</v>
      </c>
      <c r="B7">
        <v>0</v>
      </c>
      <c r="C7" t="s">
        <v>538</v>
      </c>
    </row>
    <row r="8" spans="1:8">
      <c r="A8" t="s">
        <v>507</v>
      </c>
      <c r="B8">
        <v>0</v>
      </c>
      <c r="C8" t="s">
        <v>539</v>
      </c>
    </row>
    <row r="9" spans="1:8">
      <c r="A9" t="s">
        <v>540</v>
      </c>
      <c r="B9" t="s">
        <v>541</v>
      </c>
      <c r="C9" t="s">
        <v>542</v>
      </c>
    </row>
    <row r="12" spans="1:8">
      <c r="A12" s="1" t="s">
        <v>543</v>
      </c>
      <c r="B12" s="1" t="s">
        <v>544</v>
      </c>
      <c r="C12" s="1" t="s">
        <v>545</v>
      </c>
      <c r="D12" s="1" t="s">
        <v>546</v>
      </c>
      <c r="E12" s="1" t="s">
        <v>467</v>
      </c>
    </row>
    <row r="13" spans="1:8">
      <c r="A13" t="s">
        <v>547</v>
      </c>
      <c r="B13" t="s">
        <v>548</v>
      </c>
      <c r="C13" t="s">
        <v>549</v>
      </c>
      <c r="D13">
        <v>13</v>
      </c>
      <c r="E13" t="s">
        <v>550</v>
      </c>
    </row>
    <row r="14" spans="1:8">
      <c r="A14" t="s">
        <v>551</v>
      </c>
      <c r="B14" t="s">
        <v>552</v>
      </c>
      <c r="C14" t="s">
        <v>553</v>
      </c>
      <c r="D14">
        <v>250</v>
      </c>
      <c r="E14" t="s">
        <v>554</v>
      </c>
    </row>
    <row r="15" spans="1:8">
      <c r="A15" t="s">
        <v>555</v>
      </c>
      <c r="B15" t="s">
        <v>1</v>
      </c>
      <c r="C15" t="s">
        <v>556</v>
      </c>
      <c r="D15">
        <v>250</v>
      </c>
      <c r="E15" t="s">
        <v>557</v>
      </c>
    </row>
    <row r="16" spans="1:8">
      <c r="A16" t="s">
        <v>558</v>
      </c>
      <c r="B16" t="s">
        <v>559</v>
      </c>
      <c r="C16" t="s">
        <v>560</v>
      </c>
      <c r="D16">
        <v>250</v>
      </c>
      <c r="E16" t="s">
        <v>561</v>
      </c>
    </row>
    <row r="17" spans="1:5">
      <c r="A17" t="s">
        <v>562</v>
      </c>
      <c r="B17" t="s">
        <v>563</v>
      </c>
      <c r="C17" t="s">
        <v>564</v>
      </c>
      <c r="D17">
        <v>0</v>
      </c>
      <c r="E17" t="s">
        <v>565</v>
      </c>
    </row>
    <row r="18" spans="1:5">
      <c r="A18" t="s">
        <v>566</v>
      </c>
      <c r="B18" t="s">
        <v>567</v>
      </c>
      <c r="C18" t="s">
        <v>568</v>
      </c>
      <c r="D18">
        <v>250</v>
      </c>
      <c r="E18" t="s">
        <v>569</v>
      </c>
    </row>
    <row r="19" spans="1:5">
      <c r="A19" t="s">
        <v>570</v>
      </c>
      <c r="B19" t="s">
        <v>571</v>
      </c>
      <c r="C19" t="s">
        <v>572</v>
      </c>
      <c r="D19">
        <v>0</v>
      </c>
      <c r="E19" t="s">
        <v>573</v>
      </c>
    </row>
    <row r="20" spans="1:5">
      <c r="A20" t="s">
        <v>574</v>
      </c>
      <c r="B20" t="s">
        <v>575</v>
      </c>
      <c r="C20" t="s">
        <v>576</v>
      </c>
      <c r="D20">
        <v>0</v>
      </c>
      <c r="E20" t="s">
        <v>577</v>
      </c>
    </row>
  </sheetData>
  <mergeCells count="2">
    <mergeCell ref="A2:H2"/>
    <mergeCell ref="A1:H1"/>
  </mergeCells>
  <pageMargins left="0.75" right="0.75" top="1" bottom="1" header="0.5" footer="0.5"/>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showGridLines="0" workbookViewId="0">
      <pane ySplit="4" topLeftCell="A5" activePane="bottomLeft" state="frozen"/>
      <selection pane="bottomLeft"/>
    </sheetView>
  </sheetViews>
  <sheetFormatPr defaultRowHeight="15"/>
  <cols>
    <col min="1" max="1" width="42" customWidth="1"/>
    <col min="2" max="2" width="17" customWidth="1"/>
    <col min="3" max="3" width="11" customWidth="1"/>
    <col min="4" max="4" width="42" customWidth="1"/>
    <col min="5" max="5" width="21" customWidth="1"/>
    <col min="6" max="6" width="42" customWidth="1"/>
    <col min="7" max="7" width="17" customWidth="1"/>
    <col min="8" max="8" width="42" customWidth="1"/>
  </cols>
  <sheetData>
    <row r="1" spans="1:8">
      <c r="A1" s="21" t="s">
        <v>578</v>
      </c>
      <c r="B1" s="22"/>
      <c r="C1" s="22"/>
      <c r="D1" s="22"/>
      <c r="E1" s="22"/>
      <c r="F1" s="22"/>
      <c r="G1" s="22"/>
      <c r="H1" s="22"/>
    </row>
    <row r="2" spans="1:8">
      <c r="A2" s="14" t="s">
        <v>579</v>
      </c>
      <c r="B2" s="22"/>
      <c r="C2" s="22"/>
      <c r="D2" s="22"/>
      <c r="E2" s="22"/>
      <c r="F2" s="22"/>
      <c r="G2" s="22"/>
      <c r="H2" s="22"/>
    </row>
    <row r="4" spans="1:8">
      <c r="A4" s="1" t="s">
        <v>580</v>
      </c>
      <c r="B4" s="1" t="s">
        <v>581</v>
      </c>
      <c r="C4" s="1" t="s">
        <v>582</v>
      </c>
      <c r="D4" s="1" t="s">
        <v>583</v>
      </c>
      <c r="E4" s="1" t="s">
        <v>584</v>
      </c>
      <c r="F4" s="1" t="s">
        <v>585</v>
      </c>
      <c r="G4" s="1" t="s">
        <v>586</v>
      </c>
      <c r="H4" s="1" t="s">
        <v>467</v>
      </c>
    </row>
    <row r="5" spans="1:8">
      <c r="A5" t="s">
        <v>0</v>
      </c>
      <c r="B5" t="s">
        <v>0</v>
      </c>
      <c r="C5" t="s">
        <v>587</v>
      </c>
      <c r="D5" t="s">
        <v>588</v>
      </c>
      <c r="E5" t="s">
        <v>13</v>
      </c>
      <c r="F5" t="s">
        <v>589</v>
      </c>
      <c r="G5" t="s">
        <v>590</v>
      </c>
      <c r="H5" t="s">
        <v>591</v>
      </c>
    </row>
    <row r="6" spans="1:8">
      <c r="A6" t="s">
        <v>1</v>
      </c>
      <c r="B6" t="s">
        <v>1</v>
      </c>
      <c r="C6" t="s">
        <v>592</v>
      </c>
      <c r="D6" t="s">
        <v>593</v>
      </c>
      <c r="E6" s="13">
        <v>46023</v>
      </c>
      <c r="F6" t="s">
        <v>589</v>
      </c>
      <c r="G6" t="s">
        <v>590</v>
      </c>
      <c r="H6" t="s">
        <v>591</v>
      </c>
    </row>
    <row r="7" spans="1:8">
      <c r="A7" t="s">
        <v>2</v>
      </c>
      <c r="B7" t="s">
        <v>2</v>
      </c>
      <c r="C7" t="s">
        <v>587</v>
      </c>
      <c r="D7" t="s">
        <v>594</v>
      </c>
      <c r="E7" t="s">
        <v>15</v>
      </c>
      <c r="F7" t="s">
        <v>589</v>
      </c>
      <c r="G7" t="s">
        <v>590</v>
      </c>
      <c r="H7" t="s">
        <v>591</v>
      </c>
    </row>
    <row r="8" spans="1:8">
      <c r="A8" t="s">
        <v>3</v>
      </c>
      <c r="B8" t="s">
        <v>3</v>
      </c>
      <c r="C8" t="s">
        <v>587</v>
      </c>
      <c r="D8" t="s">
        <v>595</v>
      </c>
      <c r="E8" t="s">
        <v>16</v>
      </c>
      <c r="F8" t="s">
        <v>589</v>
      </c>
      <c r="G8" t="s">
        <v>590</v>
      </c>
      <c r="H8" t="s">
        <v>591</v>
      </c>
    </row>
    <row r="9" spans="1:8">
      <c r="A9" t="s">
        <v>4</v>
      </c>
      <c r="B9" t="s">
        <v>4</v>
      </c>
      <c r="C9" t="s">
        <v>587</v>
      </c>
      <c r="D9" t="s">
        <v>596</v>
      </c>
      <c r="E9" t="s">
        <v>17</v>
      </c>
      <c r="F9" t="s">
        <v>589</v>
      </c>
      <c r="G9" t="s">
        <v>590</v>
      </c>
      <c r="H9" t="s">
        <v>591</v>
      </c>
    </row>
    <row r="10" spans="1:8">
      <c r="A10" t="s">
        <v>5</v>
      </c>
      <c r="B10" t="s">
        <v>5</v>
      </c>
      <c r="C10" t="s">
        <v>597</v>
      </c>
      <c r="D10" t="s">
        <v>598</v>
      </c>
      <c r="E10">
        <v>1</v>
      </c>
      <c r="F10" t="s">
        <v>589</v>
      </c>
      <c r="G10" t="s">
        <v>590</v>
      </c>
      <c r="H10" t="s">
        <v>591</v>
      </c>
    </row>
    <row r="11" spans="1:8">
      <c r="A11" t="s">
        <v>6</v>
      </c>
      <c r="B11" t="s">
        <v>6</v>
      </c>
      <c r="C11" t="s">
        <v>597</v>
      </c>
      <c r="D11" t="s">
        <v>599</v>
      </c>
      <c r="E11">
        <v>81</v>
      </c>
      <c r="F11" t="s">
        <v>589</v>
      </c>
      <c r="G11" t="s">
        <v>590</v>
      </c>
      <c r="H11" t="s">
        <v>591</v>
      </c>
    </row>
    <row r="12" spans="1:8">
      <c r="A12" t="s">
        <v>7</v>
      </c>
      <c r="B12" t="s">
        <v>7</v>
      </c>
      <c r="C12" t="s">
        <v>597</v>
      </c>
      <c r="D12" t="s">
        <v>600</v>
      </c>
      <c r="E12">
        <v>40</v>
      </c>
      <c r="F12" t="s">
        <v>589</v>
      </c>
      <c r="G12" t="s">
        <v>590</v>
      </c>
      <c r="H12" t="s">
        <v>591</v>
      </c>
    </row>
    <row r="13" spans="1:8">
      <c r="A13" t="s">
        <v>8</v>
      </c>
      <c r="B13" t="s">
        <v>8</v>
      </c>
      <c r="C13" t="s">
        <v>597</v>
      </c>
      <c r="D13" t="s">
        <v>601</v>
      </c>
      <c r="E13">
        <v>41</v>
      </c>
      <c r="F13" t="s">
        <v>589</v>
      </c>
      <c r="G13" t="s">
        <v>590</v>
      </c>
      <c r="H13" t="s">
        <v>591</v>
      </c>
    </row>
    <row r="14" spans="1:8">
      <c r="A14" t="s">
        <v>9</v>
      </c>
      <c r="B14" t="s">
        <v>9</v>
      </c>
      <c r="C14" t="s">
        <v>587</v>
      </c>
      <c r="D14" t="s">
        <v>602</v>
      </c>
      <c r="E14" t="s">
        <v>22</v>
      </c>
      <c r="F14" t="s">
        <v>589</v>
      </c>
      <c r="G14" t="s">
        <v>590</v>
      </c>
      <c r="H14" t="s">
        <v>591</v>
      </c>
    </row>
    <row r="15" spans="1:8">
      <c r="A15" t="s">
        <v>10</v>
      </c>
      <c r="B15" t="s">
        <v>10</v>
      </c>
      <c r="C15" t="s">
        <v>587</v>
      </c>
      <c r="D15" t="s">
        <v>603</v>
      </c>
      <c r="E15" t="s">
        <v>458</v>
      </c>
      <c r="F15" t="s">
        <v>589</v>
      </c>
      <c r="G15" t="s">
        <v>590</v>
      </c>
      <c r="H15" t="s">
        <v>591</v>
      </c>
    </row>
    <row r="16" spans="1:8">
      <c r="A16" t="s">
        <v>11</v>
      </c>
      <c r="B16" t="s">
        <v>11</v>
      </c>
      <c r="C16" t="s">
        <v>597</v>
      </c>
      <c r="D16" t="s">
        <v>604</v>
      </c>
      <c r="E16">
        <v>50.6</v>
      </c>
      <c r="F16" t="s">
        <v>589</v>
      </c>
      <c r="G16" t="s">
        <v>590</v>
      </c>
      <c r="H16" t="s">
        <v>591</v>
      </c>
    </row>
    <row r="17" spans="1:8">
      <c r="A17" t="s">
        <v>12</v>
      </c>
      <c r="B17" t="s">
        <v>12</v>
      </c>
      <c r="C17" t="s">
        <v>587</v>
      </c>
      <c r="D17" t="s">
        <v>605</v>
      </c>
      <c r="E17" t="s">
        <v>25</v>
      </c>
      <c r="F17" t="s">
        <v>589</v>
      </c>
      <c r="G17" t="s">
        <v>606</v>
      </c>
      <c r="H17" t="s">
        <v>591</v>
      </c>
    </row>
    <row r="18" spans="1:8">
      <c r="A18" t="s">
        <v>450</v>
      </c>
      <c r="B18" t="s">
        <v>607</v>
      </c>
      <c r="C18" t="s">
        <v>597</v>
      </c>
      <c r="D18" t="s">
        <v>608</v>
      </c>
      <c r="E18" t="s">
        <v>609</v>
      </c>
      <c r="F18" t="s">
        <v>610</v>
      </c>
      <c r="G18" t="s">
        <v>606</v>
      </c>
      <c r="H18" t="s">
        <v>611</v>
      </c>
    </row>
    <row r="19" spans="1:8">
      <c r="A19" t="s">
        <v>451</v>
      </c>
      <c r="B19" t="s">
        <v>607</v>
      </c>
      <c r="C19" t="s">
        <v>587</v>
      </c>
      <c r="D19" t="s">
        <v>612</v>
      </c>
      <c r="E19" t="s">
        <v>609</v>
      </c>
      <c r="F19" t="s">
        <v>610</v>
      </c>
      <c r="G19" t="s">
        <v>606</v>
      </c>
      <c r="H19" t="s">
        <v>611</v>
      </c>
    </row>
    <row r="20" spans="1:8">
      <c r="A20" t="s">
        <v>452</v>
      </c>
      <c r="B20" t="s">
        <v>607</v>
      </c>
      <c r="C20" t="s">
        <v>587</v>
      </c>
      <c r="D20" t="s">
        <v>613</v>
      </c>
      <c r="E20" t="s">
        <v>609</v>
      </c>
      <c r="F20" t="s">
        <v>610</v>
      </c>
      <c r="G20" t="s">
        <v>606</v>
      </c>
      <c r="H20" t="s">
        <v>611</v>
      </c>
    </row>
    <row r="21" spans="1:8">
      <c r="A21" t="s">
        <v>453</v>
      </c>
      <c r="B21" t="s">
        <v>607</v>
      </c>
      <c r="C21" t="s">
        <v>587</v>
      </c>
      <c r="D21" t="s">
        <v>614</v>
      </c>
      <c r="E21" t="s">
        <v>609</v>
      </c>
      <c r="F21" t="s">
        <v>610</v>
      </c>
      <c r="G21" t="s">
        <v>590</v>
      </c>
      <c r="H21" t="s">
        <v>611</v>
      </c>
    </row>
    <row r="22" spans="1:8">
      <c r="A22" t="s">
        <v>454</v>
      </c>
      <c r="B22" t="s">
        <v>607</v>
      </c>
      <c r="C22" t="s">
        <v>597</v>
      </c>
      <c r="D22" t="s">
        <v>615</v>
      </c>
      <c r="E22" t="s">
        <v>609</v>
      </c>
      <c r="F22" t="s">
        <v>610</v>
      </c>
      <c r="G22" t="s">
        <v>590</v>
      </c>
      <c r="H22" t="s">
        <v>611</v>
      </c>
    </row>
    <row r="23" spans="1:8">
      <c r="A23" t="s">
        <v>455</v>
      </c>
      <c r="B23" t="s">
        <v>607</v>
      </c>
      <c r="C23" t="s">
        <v>597</v>
      </c>
      <c r="D23" t="s">
        <v>616</v>
      </c>
      <c r="E23" t="s">
        <v>609</v>
      </c>
      <c r="F23" t="s">
        <v>610</v>
      </c>
      <c r="G23" t="s">
        <v>590</v>
      </c>
      <c r="H23" t="s">
        <v>611</v>
      </c>
    </row>
    <row r="24" spans="1:8">
      <c r="A24" t="s">
        <v>456</v>
      </c>
      <c r="B24" t="s">
        <v>607</v>
      </c>
      <c r="C24" t="s">
        <v>587</v>
      </c>
      <c r="D24" t="s">
        <v>617</v>
      </c>
      <c r="E24" t="s">
        <v>609</v>
      </c>
      <c r="F24" t="s">
        <v>610</v>
      </c>
      <c r="G24" t="s">
        <v>618</v>
      </c>
      <c r="H24" t="s">
        <v>611</v>
      </c>
    </row>
    <row r="25" spans="1:8">
      <c r="A25" t="s">
        <v>457</v>
      </c>
      <c r="B25" t="s">
        <v>607</v>
      </c>
      <c r="C25" t="s">
        <v>587</v>
      </c>
      <c r="D25" t="s">
        <v>619</v>
      </c>
      <c r="E25" t="s">
        <v>609</v>
      </c>
      <c r="F25" t="s">
        <v>610</v>
      </c>
      <c r="G25" t="s">
        <v>618</v>
      </c>
      <c r="H25" t="s">
        <v>611</v>
      </c>
    </row>
  </sheetData>
  <mergeCells count="2">
    <mergeCell ref="A2:H2"/>
    <mergeCell ref="A1:H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Sales Analytics Management Workbook</dc:title>
  <dc:subject/>
  <dc:creator>Dhaval Gandhi</dc:creator>
  <cp:keywords/>
  <dc:description/>
  <cp:lastModifiedBy/>
  <cp:revision/>
  <dcterms:created xsi:type="dcterms:W3CDTF">2026-08-21T12:36:45Z</dcterms:created>
  <dcterms:modified xsi:type="dcterms:W3CDTF">2026-08-21T12:42:33Z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iteId">
    <vt:lpwstr>258ac4e4-146a-411e-9dc8-79a9e12fd6da</vt:lpwstr>
  </property>
  <property fmtid="{D5CDD505-2E9C-101B-9397-08002B2CF9AE}" pid="4" name="MSIP_Label_a8c544ca-bb84-4280-906e-934547e1d30c_SetDate">
    <vt:lpwstr>2026-08-21T12:37:25Z</vt:lpwstr>
  </property>
  <property fmtid="{D5CDD505-2E9C-101B-9397-08002B2CF9AE}" pid="5" name="MSIP_Label_a8c544ca-bb84-4280-906e-934547e1d30c_Name">
    <vt:lpwstr>Internal - General Use</vt:lpwstr>
  </property>
  <property fmtid="{D5CDD505-2E9C-101B-9397-08002B2CF9AE}" pid="6" name="MSIP_Label_a8c544ca-bb84-4280-906e-934547e1d30c_ActionId">
    <vt:lpwstr>06d601dc-d297-41e2-8761-b1e74eb70783</vt:lpwstr>
  </property>
  <property fmtid="{D5CDD505-2E9C-101B-9397-08002B2CF9AE}" pid="7" name="MSIP_Label_a8c544ca-bb84-4280-906e-934547e1d30c_Removed">
    <vt:lpwstr>False</vt:lpwstr>
  </property>
  <property fmtid="{D5CDD505-2E9C-101B-9397-08002B2CF9AE}" pid="8" name="MSIP_Label_a8c544ca-bb84-4280-906e-934547e1d30c_Extended_MSFT_Method">
    <vt:lpwstr>Standard</vt:lpwstr>
  </property>
  <property fmtid="{D5CDD505-2E9C-101B-9397-08002B2CF9AE}" pid="9" name="Sensitivity">
    <vt:lpwstr>Internal - General Use</vt:lpwstr>
  </property>
</Properties>
</file>