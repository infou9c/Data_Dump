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ignment 1" sheetId="2" state="visible" r:id="rId2"/>
    <sheet xmlns:r="http://schemas.openxmlformats.org/officeDocument/2006/relationships" name="Assignment 2" sheetId="3" state="visible" r:id="rId3"/>
    <sheet xmlns:r="http://schemas.openxmlformats.org/officeDocument/2006/relationships" name="Assignment 3" sheetId="4" state="visible" r:id="rId4"/>
    <sheet xmlns:r="http://schemas.openxmlformats.org/officeDocument/2006/relationships" name="Assignment 4" sheetId="5" state="visible" r:id="rId5"/>
    <sheet xmlns:r="http://schemas.openxmlformats.org/officeDocument/2006/relationships" name="Assignment 5" sheetId="6" state="visible" r:id="rId6"/>
    <sheet xmlns:r="http://schemas.openxmlformats.org/officeDocument/2006/relationships" name="Answer Key 1" sheetId="7" state="visible" r:id="rId7"/>
    <sheet xmlns:r="http://schemas.openxmlformats.org/officeDocument/2006/relationships" name="Answer Key 2" sheetId="8" state="visible" r:id="rId8"/>
    <sheet xmlns:r="http://schemas.openxmlformats.org/officeDocument/2006/relationships" name="Answer Key 3" sheetId="9" state="visible" r:id="rId9"/>
    <sheet xmlns:r="http://schemas.openxmlformats.org/officeDocument/2006/relationships" name="Answer Key 4" sheetId="10" state="visible" r:id="rId10"/>
    <sheet xmlns:r="http://schemas.openxmlformats.org/officeDocument/2006/relationships" name="Answer Key 5" sheetId="11" state="visible" r:id="rId11"/>
    <sheet xmlns:r="http://schemas.openxmlformats.org/officeDocument/2006/relationships" name="Dataset 1" sheetId="12" state="visible" r:id="rId12"/>
    <sheet xmlns:r="http://schemas.openxmlformats.org/officeDocument/2006/relationships" name="Dataset 2" sheetId="13" state="visible" r:id="rId13"/>
    <sheet xmlns:r="http://schemas.openxmlformats.org/officeDocument/2006/relationships" name="Dataset 3" sheetId="14" state="visible" r:id="rId14"/>
    <sheet xmlns:r="http://schemas.openxmlformats.org/officeDocument/2006/relationships" name="Dataset 4" sheetId="15" state="visible" r:id="rId15"/>
    <sheet xmlns:r="http://schemas.openxmlformats.org/officeDocument/2006/relationships" name="Dataset 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595959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808080"/>
      <sz val="9"/>
    </font>
    <font>
      <name val="Arial"/>
      <i val="1"/>
      <sz val="10"/>
    </font>
    <font>
      <name val="Arial"/>
      <b val="1"/>
      <color rgb="00375623"/>
      <sz val="10"/>
    </font>
    <font>
      <name val="Arial"/>
      <color rgb="00000000"/>
      <sz val="9"/>
    </font>
    <font>
      <name val="Arial"/>
      <b val="1"/>
      <color rgb="00808080"/>
      <sz val="9"/>
    </font>
    <font>
      <name val="Arial"/>
      <color rgb="00808080"/>
      <sz val="9"/>
    </font>
    <font>
      <name val="Arial"/>
      <b val="1"/>
      <color rgb="00FFFFFF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833C00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horizontal="left" vertical="center"/>
    </xf>
    <xf numFmtId="0" fontId="8" fillId="0" borderId="0" pivotButton="0" quotePrefix="0" xfId="0"/>
    <xf numFmtId="0" fontId="4" fillId="7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vertical="top" wrapText="1"/>
    </xf>
    <xf numFmtId="0" fontId="6" fillId="8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/>
    </xf>
    <xf numFmtId="0" fontId="0" fillId="10" borderId="0" pivotButton="0" quotePrefix="0" xfId="0"/>
    <xf numFmtId="0" fontId="0" fillId="4" borderId="0" pivotButton="0" quotePrefix="0" xfId="0"/>
    <xf numFmtId="0" fontId="15" fillId="0" borderId="0" pivotButton="0" quotePrefix="0" xfId="0"/>
    <xf numFmtId="0" fontId="14" fillId="5" borderId="0" applyAlignment="1" pivotButton="0" quotePrefix="0" xfId="0">
      <alignment horizontal="center" wrapText="1"/>
    </xf>
    <xf numFmtId="0" fontId="0" fillId="6" borderId="0" pivotButton="0" quotePrefix="0" xfId="0"/>
    <xf numFmtId="0" fontId="14" fillId="7" borderId="0" applyAlignment="1" pivotButton="0" quotePrefix="0" xfId="0">
      <alignment horizontal="center"/>
    </xf>
    <xf numFmtId="0" fontId="0" fillId="8" borderId="0" pivotButton="0" quotePrefix="0" xfId="0"/>
    <xf numFmtId="0" fontId="14" fillId="11" borderId="0" applyAlignment="1" pivotButton="0" quotePrefix="0" xfId="0">
      <alignment horizontal="center" wrapText="1"/>
    </xf>
    <xf numFmtId="164" fontId="0" fillId="10" borderId="0" pivotButton="0" quotePrefix="0" xfId="0"/>
    <xf numFmtId="0" fontId="0" fillId="12" borderId="0" pivotButton="0" quotePrefix="0" xfId="0"/>
    <xf numFmtId="164" fontId="0" fillId="12" borderId="0" pivotButton="0" quotePrefix="0" xfId="0"/>
    <xf numFmtId="0" fontId="14" fillId="5" borderId="0" applyAlignment="1" pivotButton="0" quotePrefix="0" xfId="0">
      <alignment horizontal="center"/>
    </xf>
    <xf numFmtId="0" fontId="7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 ht="32" customHeight="1">
      <c r="A1" s="1" t="inlineStr">
        <is>
          <t>Excel Assignments – Complete Package (5 Assignments)</t>
        </is>
      </c>
    </row>
    <row r="2" ht="22" customHeight="1">
      <c r="A2" s="2" t="inlineStr">
        <is>
          <t>Includes: Assignments | Answer Keys | Datasets  ·  Total Marks per Assignment: 200</t>
        </is>
      </c>
    </row>
    <row r="4" ht="180" customHeight="1">
      <c r="A4" s="3" t="inlineStr">
        <is>
          <t>Contents of this Workbook:
• Assignment 1 – Excel Basics &amp; Data Entry (with Dataset 1)
• Assignment 2 – Formulas &amp; Functions (with Dataset 2)
• Assignment 3 – Charts, Visualisation &amp; Pivot Tables (with Dataset 3)
• Assignment 4 – Data Management &amp; Analysis (with Dataset 4)
• Assignment 5 – Advanced Excel: Macros, VBA &amp; Financial Modelling (with Dataset 5)
Each assignment has:
  Section A – 25 MCQs worth 100 marks (4 marks each)
  Section B – 5 Short Answer Questions worth 50 marks (10 marks each)
  Section C – Case Study Questions worth 50 marks
  ─────────────────────────────────────────────────────
  TOTAL: 200 Marks per Assignment</t>
        </is>
      </c>
    </row>
    <row r="5"/>
    <row r="6"/>
    <row r="7"/>
    <row r="8"/>
  </sheetData>
  <mergeCells count="3">
    <mergeCell ref="A1:J1"/>
    <mergeCell ref="A4:J8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2" customHeight="1">
      <c r="A1" s="1" t="inlineStr">
        <is>
          <t>ASSIGNMENT 1 – Excel Basics &amp; Data Entry</t>
        </is>
      </c>
    </row>
    <row r="2" ht="22" customHeight="1">
      <c r="A2" s="2" t="inlineStr">
        <is>
          <t>Total Marks: 200  |  Section A: MCQ (100)  |  Section B: Short Answer (50)  |  Section C: Case Study (50)</t>
        </is>
      </c>
    </row>
    <row r="4" ht="20" customHeight="1">
      <c r="A4" s="4" t="inlineStr">
        <is>
          <t>SECTION A – Multiple Choice Questions (100 Marks | 4 Marks Each | 25 Questions)</t>
        </is>
      </c>
    </row>
    <row r="5">
      <c r="A5" s="5" t="inlineStr">
        <is>
          <t>Instructions: Circle / highlight the correct option for each question.</t>
        </is>
      </c>
    </row>
    <row r="7" ht="26" customHeight="1">
      <c r="A7" s="6" t="inlineStr">
        <is>
          <t>Q1</t>
        </is>
      </c>
      <c r="B7" s="7" t="inlineStr">
        <is>
          <t>Which of the following is the correct file extension for an Excel workbook?</t>
        </is>
      </c>
      <c r="C7" s="8" t="inlineStr">
        <is>
          <t>A) .doc</t>
        </is>
      </c>
      <c r="D7" s="8" t="inlineStr">
        <is>
          <t>B) .xlsx</t>
        </is>
      </c>
      <c r="E7" s="8" t="inlineStr">
        <is>
          <t>C) .ppt</t>
        </is>
      </c>
      <c r="F7" s="8" t="inlineStr">
        <is>
          <t>D) .csv</t>
        </is>
      </c>
    </row>
    <row r="8" ht="26" customHeight="1">
      <c r="A8" s="6" t="inlineStr">
        <is>
          <t>Q2</t>
        </is>
      </c>
      <c r="B8" s="7" t="inlineStr">
        <is>
          <t>What is the keyboard shortcut to save a file in Excel?</t>
        </is>
      </c>
      <c r="C8" s="8" t="inlineStr">
        <is>
          <t>A) Ctrl+P</t>
        </is>
      </c>
      <c r="D8" s="8" t="inlineStr">
        <is>
          <t>B) Ctrl+Z</t>
        </is>
      </c>
      <c r="E8" s="8" t="inlineStr">
        <is>
          <t>C) Ctrl+S</t>
        </is>
      </c>
      <c r="F8" s="8" t="inlineStr">
        <is>
          <t>D) Ctrl+X</t>
        </is>
      </c>
    </row>
    <row r="9" ht="26" customHeight="1">
      <c r="A9" s="6" t="inlineStr">
        <is>
          <t>Q3</t>
        </is>
      </c>
      <c r="B9" s="7" t="inlineStr">
        <is>
          <t>The intersection of a row and column in Excel is called a:</t>
        </is>
      </c>
      <c r="C9" s="8" t="inlineStr">
        <is>
          <t>A) Range</t>
        </is>
      </c>
      <c r="D9" s="8" t="inlineStr">
        <is>
          <t>B) Sheet</t>
        </is>
      </c>
      <c r="E9" s="8" t="inlineStr">
        <is>
          <t>C) Cell</t>
        </is>
      </c>
      <c r="F9" s="8" t="inlineStr">
        <is>
          <t>D) Formula</t>
        </is>
      </c>
    </row>
    <row r="10" ht="26" customHeight="1">
      <c r="A10" s="6" t="inlineStr">
        <is>
          <t>Q4</t>
        </is>
      </c>
      <c r="B10" s="7" t="inlineStr">
        <is>
          <t>Which function returns the number of cells containing numbers?</t>
        </is>
      </c>
      <c r="C10" s="8" t="inlineStr">
        <is>
          <t>A) COUNT</t>
        </is>
      </c>
      <c r="D10" s="8" t="inlineStr">
        <is>
          <t>B) SUM</t>
        </is>
      </c>
      <c r="E10" s="8" t="inlineStr">
        <is>
          <t>C) AVERAGE</t>
        </is>
      </c>
      <c r="F10" s="8" t="inlineStr">
        <is>
          <t>D) MAX</t>
        </is>
      </c>
    </row>
    <row r="11" ht="26" customHeight="1">
      <c r="A11" s="6" t="inlineStr">
        <is>
          <t>Q5</t>
        </is>
      </c>
      <c r="B11" s="7" t="inlineStr">
        <is>
          <t>A cell reference that does not change when copied is called:</t>
        </is>
      </c>
      <c r="C11" s="8" t="inlineStr">
        <is>
          <t>A) Relative reference</t>
        </is>
      </c>
      <c r="D11" s="8" t="inlineStr">
        <is>
          <t>B) Mixed reference</t>
        </is>
      </c>
      <c r="E11" s="8" t="inlineStr">
        <is>
          <t>C) Absolute reference</t>
        </is>
      </c>
      <c r="F11" s="8" t="inlineStr">
        <is>
          <t>D) Dynamic reference</t>
        </is>
      </c>
    </row>
    <row r="12" ht="26" customHeight="1">
      <c r="A12" s="6" t="inlineStr">
        <is>
          <t>Q6</t>
        </is>
      </c>
      <c r="B12" s="7" t="inlineStr">
        <is>
          <t>Which symbol is used to start a formula in Excel?</t>
        </is>
      </c>
      <c r="C12" s="8" t="inlineStr">
        <is>
          <t>A) #</t>
        </is>
      </c>
      <c r="D12" s="8" t="inlineStr">
        <is>
          <t>B) @</t>
        </is>
      </c>
      <c r="E12" s="8" t="inlineStr">
        <is>
          <t>C) =</t>
        </is>
      </c>
      <c r="F12" s="8" t="inlineStr">
        <is>
          <t>D) $</t>
        </is>
      </c>
    </row>
    <row r="13" ht="26" customHeight="1">
      <c r="A13" s="6" t="inlineStr">
        <is>
          <t>Q7</t>
        </is>
      </c>
      <c r="B13" s="7" t="inlineStr">
        <is>
          <t>Which of the following is NOT a valid data type in Excel?</t>
        </is>
      </c>
      <c r="C13" s="8" t="inlineStr">
        <is>
          <t>A) Text</t>
        </is>
      </c>
      <c r="D13" s="8" t="inlineStr">
        <is>
          <t>B) Number</t>
        </is>
      </c>
      <c r="E13" s="8" t="inlineStr">
        <is>
          <t>C) Boolean</t>
        </is>
      </c>
      <c r="F13" s="8" t="inlineStr">
        <is>
          <t>D) Hyperlink</t>
        </is>
      </c>
    </row>
    <row r="14" ht="26" customHeight="1">
      <c r="A14" s="6" t="inlineStr">
        <is>
          <t>Q8</t>
        </is>
      </c>
      <c r="B14" s="7" t="inlineStr">
        <is>
          <t>What does the SUM function do?</t>
        </is>
      </c>
      <c r="C14" s="8" t="inlineStr">
        <is>
          <t>A) Counts cells</t>
        </is>
      </c>
      <c r="D14" s="8" t="inlineStr">
        <is>
          <t>B) Adds numeric values</t>
        </is>
      </c>
      <c r="E14" s="8" t="inlineStr">
        <is>
          <t>C) Averages values</t>
        </is>
      </c>
      <c r="F14" s="8" t="inlineStr">
        <is>
          <t>D) Finds minimum</t>
        </is>
      </c>
    </row>
    <row r="15" ht="26" customHeight="1">
      <c r="A15" s="6" t="inlineStr">
        <is>
          <t>Q9</t>
        </is>
      </c>
      <c r="B15" s="7" t="inlineStr">
        <is>
          <t>To freeze the top row in Excel you go to:</t>
        </is>
      </c>
      <c r="C15" s="8" t="inlineStr">
        <is>
          <t>A) Home &gt; Format</t>
        </is>
      </c>
      <c r="D15" s="8" t="inlineStr">
        <is>
          <t>B) View &gt; Freeze Panes</t>
        </is>
      </c>
      <c r="E15" s="8" t="inlineStr">
        <is>
          <t>C) Insert &gt; Header</t>
        </is>
      </c>
      <c r="F15" s="8" t="inlineStr">
        <is>
          <t>D) Data &gt; Filter</t>
        </is>
      </c>
    </row>
    <row r="16" ht="26" customHeight="1">
      <c r="A16" s="6" t="inlineStr">
        <is>
          <t>Q10</t>
        </is>
      </c>
      <c r="B16" s="7" t="inlineStr">
        <is>
          <t>Which tab contains the 'Sort &amp; Filter' option?</t>
        </is>
      </c>
      <c r="C16" s="8" t="inlineStr">
        <is>
          <t>A) Insert</t>
        </is>
      </c>
      <c r="D16" s="8" t="inlineStr">
        <is>
          <t>B) Home</t>
        </is>
      </c>
      <c r="E16" s="8" t="inlineStr">
        <is>
          <t>C) Data</t>
        </is>
      </c>
      <c r="F16" s="8" t="inlineStr">
        <is>
          <t>D) View</t>
        </is>
      </c>
    </row>
    <row r="17" ht="26" customHeight="1">
      <c r="A17" s="6" t="inlineStr">
        <is>
          <t>Q11</t>
        </is>
      </c>
      <c r="B17" s="7" t="inlineStr">
        <is>
          <t>Which function finds the largest value in a range?</t>
        </is>
      </c>
      <c r="C17" s="8" t="inlineStr">
        <is>
          <t>A) MIN</t>
        </is>
      </c>
      <c r="D17" s="8" t="inlineStr">
        <is>
          <t>B) LARGE</t>
        </is>
      </c>
      <c r="E17" s="8" t="inlineStr">
        <is>
          <t>C) MAX</t>
        </is>
      </c>
      <c r="F17" s="8" t="inlineStr">
        <is>
          <t>D) COUNT</t>
        </is>
      </c>
    </row>
    <row r="18" ht="26" customHeight="1">
      <c r="A18" s="6" t="inlineStr">
        <is>
          <t>Q12</t>
        </is>
      </c>
      <c r="B18" s="7" t="inlineStr">
        <is>
          <t>A workbook can contain how many sheets by default (Excel 2016)?</t>
        </is>
      </c>
      <c r="C18" s="8" t="inlineStr">
        <is>
          <t>A) 1</t>
        </is>
      </c>
      <c r="D18" s="8" t="inlineStr">
        <is>
          <t>B) 3</t>
        </is>
      </c>
      <c r="E18" s="8" t="inlineStr">
        <is>
          <t>C) 10</t>
        </is>
      </c>
      <c r="F18" s="8" t="inlineStr">
        <is>
          <t>D) Unlimited</t>
        </is>
      </c>
    </row>
    <row r="19" ht="26" customHeight="1">
      <c r="A19" s="6" t="inlineStr">
        <is>
          <t>Q13</t>
        </is>
      </c>
      <c r="B19" s="7" t="inlineStr">
        <is>
          <t>What is the address of the first cell in a worksheet?</t>
        </is>
      </c>
      <c r="C19" s="8" t="inlineStr">
        <is>
          <t>A) A0</t>
        </is>
      </c>
      <c r="D19" s="8" t="inlineStr">
        <is>
          <t>B) A1</t>
        </is>
      </c>
      <c r="E19" s="8" t="inlineStr">
        <is>
          <t>C) 1A</t>
        </is>
      </c>
      <c r="F19" s="8" t="inlineStr">
        <is>
          <t>D) 0A</t>
        </is>
      </c>
    </row>
    <row r="20" ht="26" customHeight="1">
      <c r="A20" s="6" t="inlineStr">
        <is>
          <t>Q14</t>
        </is>
      </c>
      <c r="B20" s="7" t="inlineStr">
        <is>
          <t>Which shortcut inserts a new row in Excel?</t>
        </is>
      </c>
      <c r="C20" s="8" t="inlineStr">
        <is>
          <t>A) Ctrl+R</t>
        </is>
      </c>
      <c r="D20" s="8" t="inlineStr">
        <is>
          <t>B) Ctrl+Shift++</t>
        </is>
      </c>
      <c r="E20" s="8" t="inlineStr">
        <is>
          <t>C) Alt+I</t>
        </is>
      </c>
      <c r="F20" s="8" t="inlineStr">
        <is>
          <t>D) Ctrl+N</t>
        </is>
      </c>
    </row>
    <row r="21" ht="26" customHeight="1">
      <c r="A21" s="6" t="inlineStr">
        <is>
          <t>Q15</t>
        </is>
      </c>
      <c r="B21" s="7" t="inlineStr">
        <is>
          <t>The AutoFill handle is located at the __________ of a cell.</t>
        </is>
      </c>
      <c r="C21" s="8" t="inlineStr">
        <is>
          <t>A) Top-left corner</t>
        </is>
      </c>
      <c r="D21" s="8" t="inlineStr">
        <is>
          <t>B) Centre</t>
        </is>
      </c>
      <c r="E21" s="8" t="inlineStr">
        <is>
          <t>C) Bottom-right corner</t>
        </is>
      </c>
      <c r="F21" s="8" t="inlineStr">
        <is>
          <t>D) Top-right corner</t>
        </is>
      </c>
    </row>
    <row r="22" ht="26" customHeight="1">
      <c r="A22" s="6" t="inlineStr">
        <is>
          <t>Q16</t>
        </is>
      </c>
      <c r="B22" s="7" t="inlineStr">
        <is>
          <t>Which function counts non-empty cells?</t>
        </is>
      </c>
      <c r="C22" s="8" t="inlineStr">
        <is>
          <t>A) COUNTA</t>
        </is>
      </c>
      <c r="D22" s="8" t="inlineStr">
        <is>
          <t>B) COUNTIF</t>
        </is>
      </c>
      <c r="E22" s="8" t="inlineStr">
        <is>
          <t>C) COUNT</t>
        </is>
      </c>
      <c r="F22" s="8" t="inlineStr">
        <is>
          <t>D) COUNTBLANK</t>
        </is>
      </c>
    </row>
    <row r="23" ht="26" customHeight="1">
      <c r="A23" s="6" t="inlineStr">
        <is>
          <t>Q17</t>
        </is>
      </c>
      <c r="B23" s="7" t="inlineStr">
        <is>
          <t>To merge cells, the option is found under which tab?</t>
        </is>
      </c>
      <c r="C23" s="8" t="inlineStr">
        <is>
          <t>A) Data</t>
        </is>
      </c>
      <c r="D23" s="8" t="inlineStr">
        <is>
          <t>B) Insert</t>
        </is>
      </c>
      <c r="E23" s="8" t="inlineStr">
        <is>
          <t>C) Home</t>
        </is>
      </c>
      <c r="F23" s="8" t="inlineStr">
        <is>
          <t>D) Review</t>
        </is>
      </c>
    </row>
    <row r="24" ht="26" customHeight="1">
      <c r="A24" s="6" t="inlineStr">
        <is>
          <t>Q18</t>
        </is>
      </c>
      <c r="B24" s="7" t="inlineStr">
        <is>
          <t>Flash Fill in Excel is used to:</t>
        </is>
      </c>
      <c r="C24" s="8" t="inlineStr">
        <is>
          <t>A) Add colour to cells</t>
        </is>
      </c>
      <c r="D24" s="8" t="inlineStr">
        <is>
          <t>B) Automatically fill data based on a pattern</t>
        </is>
      </c>
      <c r="E24" s="8" t="inlineStr">
        <is>
          <t>C) Protect sheets</t>
        </is>
      </c>
      <c r="F24" s="8" t="inlineStr">
        <is>
          <t>D) Filter data</t>
        </is>
      </c>
    </row>
    <row r="25" ht="26" customHeight="1">
      <c r="A25" s="6" t="inlineStr">
        <is>
          <t>Q19</t>
        </is>
      </c>
      <c r="B25" s="7" t="inlineStr">
        <is>
          <t>Which view shows how the sheet will look when printed?</t>
        </is>
      </c>
      <c r="C25" s="8" t="inlineStr">
        <is>
          <t>A) Normal view</t>
        </is>
      </c>
      <c r="D25" s="8" t="inlineStr">
        <is>
          <t>B) Page Break view</t>
        </is>
      </c>
      <c r="E25" s="8" t="inlineStr">
        <is>
          <t>C) Print Preview</t>
        </is>
      </c>
      <c r="F25" s="8" t="inlineStr">
        <is>
          <t>D) Page Layout view</t>
        </is>
      </c>
    </row>
    <row r="26" ht="26" customHeight="1">
      <c r="A26" s="6" t="inlineStr">
        <is>
          <t>Q20</t>
        </is>
      </c>
      <c r="B26" s="7" t="inlineStr">
        <is>
          <t>What does 'Wrap Text' do in Excel?</t>
        </is>
      </c>
      <c r="C26" s="8" t="inlineStr">
        <is>
          <t>A) Changes font size</t>
        </is>
      </c>
      <c r="D26" s="8" t="inlineStr">
        <is>
          <t>B) Displays cell content on multiple lines</t>
        </is>
      </c>
      <c r="E26" s="8" t="inlineStr">
        <is>
          <t>C) Merges cells</t>
        </is>
      </c>
      <c r="F26" s="8" t="inlineStr">
        <is>
          <t>D) Adds a border</t>
        </is>
      </c>
    </row>
    <row r="27" ht="26" customHeight="1">
      <c r="A27" s="6" t="inlineStr">
        <is>
          <t>Q21</t>
        </is>
      </c>
      <c r="B27" s="7" t="inlineStr">
        <is>
          <t>Name Box in Excel displays:</t>
        </is>
      </c>
      <c r="C27" s="8" t="inlineStr">
        <is>
          <t>A) The workbook name</t>
        </is>
      </c>
      <c r="D27" s="8" t="inlineStr">
        <is>
          <t>B) The active cell address</t>
        </is>
      </c>
      <c r="E27" s="8" t="inlineStr">
        <is>
          <t>C) The file path</t>
        </is>
      </c>
      <c r="F27" s="8" t="inlineStr">
        <is>
          <t>D) The sheet name</t>
        </is>
      </c>
    </row>
    <row r="28" ht="26" customHeight="1">
      <c r="A28" s="6" t="inlineStr">
        <is>
          <t>Q22</t>
        </is>
      </c>
      <c r="B28" s="7" t="inlineStr">
        <is>
          <t>Which feature automatically completes an entry based on prior entries?</t>
        </is>
      </c>
      <c r="C28" s="8" t="inlineStr">
        <is>
          <t>A) AutoFill</t>
        </is>
      </c>
      <c r="D28" s="8" t="inlineStr">
        <is>
          <t>B) AutoCorrect</t>
        </is>
      </c>
      <c r="E28" s="8" t="inlineStr">
        <is>
          <t>C) AutoComplete</t>
        </is>
      </c>
      <c r="F28" s="8" t="inlineStr">
        <is>
          <t>D) Flash Fill</t>
        </is>
      </c>
    </row>
    <row r="29" ht="26" customHeight="1">
      <c r="A29" s="6" t="inlineStr">
        <is>
          <t>Q23</t>
        </is>
      </c>
      <c r="B29" s="7" t="inlineStr">
        <is>
          <t>To delete a worksheet, you right-click the sheet tab and select:</t>
        </is>
      </c>
      <c r="C29" s="8" t="inlineStr">
        <is>
          <t>A) Remove</t>
        </is>
      </c>
      <c r="D29" s="8" t="inlineStr">
        <is>
          <t>B) Delete</t>
        </is>
      </c>
      <c r="E29" s="8" t="inlineStr">
        <is>
          <t>C) Clear</t>
        </is>
      </c>
      <c r="F29" s="8" t="inlineStr">
        <is>
          <t>D) Hide</t>
        </is>
      </c>
    </row>
    <row r="30" ht="26" customHeight="1">
      <c r="A30" s="6" t="inlineStr">
        <is>
          <t>Q24</t>
        </is>
      </c>
      <c r="B30" s="7" t="inlineStr">
        <is>
          <t>Which shortcut moves to the last used cell in a column?</t>
        </is>
      </c>
      <c r="C30" s="8" t="inlineStr">
        <is>
          <t>A) Ctrl+End</t>
        </is>
      </c>
      <c r="D30" s="8" t="inlineStr">
        <is>
          <t>B) Ctrl+Down Arrow</t>
        </is>
      </c>
      <c r="E30" s="8" t="inlineStr">
        <is>
          <t>C) Ctrl+Last</t>
        </is>
      </c>
      <c r="F30" s="8" t="inlineStr">
        <is>
          <t>D) End+Down</t>
        </is>
      </c>
    </row>
    <row r="31" ht="26" customHeight="1">
      <c r="A31" s="6" t="inlineStr">
        <is>
          <t>Q25</t>
        </is>
      </c>
      <c r="B31" s="7" t="inlineStr">
        <is>
          <t>What is the maximum number of rows in Excel 2016?</t>
        </is>
      </c>
      <c r="C31" s="8" t="inlineStr">
        <is>
          <t>A) 65,536</t>
        </is>
      </c>
      <c r="D31" s="8" t="inlineStr">
        <is>
          <t>B) 1,048,576</t>
        </is>
      </c>
      <c r="E31" s="8" t="inlineStr">
        <is>
          <t>C) 256</t>
        </is>
      </c>
      <c r="F31" s="8" t="inlineStr">
        <is>
          <t>D) 16,384</t>
        </is>
      </c>
    </row>
    <row r="33" ht="20" customHeight="1">
      <c r="A33" s="9" t="inlineStr">
        <is>
          <t>SECTION B – Short Answer Questions (50 Marks | 10 Marks Each | 5 Questions)</t>
        </is>
      </c>
    </row>
    <row r="34" ht="30" customHeight="1">
      <c r="A34" s="10" t="inlineStr">
        <is>
          <t>Q1 (10 Marks)</t>
        </is>
      </c>
      <c r="B34" s="7" t="inlineStr">
        <is>
          <t>Explain the difference between absolute, relative, and mixed cell references with examples.</t>
        </is>
      </c>
    </row>
    <row r="35" ht="18" customHeight="1">
      <c r="A35" s="11" t="inlineStr">
        <is>
          <t>Answer:</t>
        </is>
      </c>
    </row>
    <row r="36" ht="18" customHeight="1"/>
    <row r="37" ht="18" customHeight="1"/>
    <row r="38" ht="18" customHeight="1"/>
    <row r="39" ht="30" customHeight="1">
      <c r="A39" s="10" t="inlineStr">
        <is>
          <t>Q2 (10 Marks)</t>
        </is>
      </c>
      <c r="B39" s="7" t="inlineStr">
        <is>
          <t>List and explain any five built-in functions in Excel with their syntax and usage examples.</t>
        </is>
      </c>
    </row>
    <row r="40" ht="18" customHeight="1">
      <c r="A40" s="11" t="inlineStr">
        <is>
          <t>Answer:</t>
        </is>
      </c>
    </row>
    <row r="41" ht="18" customHeight="1"/>
    <row r="42" ht="18" customHeight="1"/>
    <row r="43" ht="18" customHeight="1"/>
    <row r="44" ht="30" customHeight="1">
      <c r="A44" s="10" t="inlineStr">
        <is>
          <t>Q3 (10 Marks)</t>
        </is>
      </c>
      <c r="B44" s="7" t="inlineStr">
        <is>
          <t>What is AutoFill? How is it useful for data entry? Explain with a suitable example.</t>
        </is>
      </c>
    </row>
    <row r="45" ht="18" customHeight="1">
      <c r="A45" s="11" t="inlineStr">
        <is>
          <t>Answer:</t>
        </is>
      </c>
    </row>
    <row r="46" ht="18" customHeight="1"/>
    <row r="47" ht="18" customHeight="1"/>
    <row r="48" ht="18" customHeight="1"/>
    <row r="49" ht="30" customHeight="1">
      <c r="A49" s="10" t="inlineStr">
        <is>
          <t>Q4 (10 Marks)</t>
        </is>
      </c>
      <c r="B49" s="7" t="inlineStr">
        <is>
          <t>Describe the steps to format a cell range with borders, background colour, and bold font using the Format Cells dialog box.</t>
        </is>
      </c>
    </row>
    <row r="50" ht="18" customHeight="1">
      <c r="A50" s="11" t="inlineStr">
        <is>
          <t>Answer:</t>
        </is>
      </c>
    </row>
    <row r="51" ht="18" customHeight="1"/>
    <row r="52" ht="18" customHeight="1"/>
    <row r="53" ht="18" customHeight="1"/>
    <row r="54" ht="30" customHeight="1">
      <c r="A54" s="10" t="inlineStr">
        <is>
          <t>Q5 (10 Marks)</t>
        </is>
      </c>
      <c r="B54" s="7" t="inlineStr">
        <is>
          <t>What is a named range in Excel? How do you create and use a named range? Give an example.</t>
        </is>
      </c>
    </row>
    <row r="55" ht="18" customHeight="1">
      <c r="A55" s="11" t="inlineStr">
        <is>
          <t>Answer:</t>
        </is>
      </c>
    </row>
    <row r="56" ht="18" customHeight="1"/>
    <row r="57" ht="18" customHeight="1"/>
    <row r="58" ht="18" customHeight="1"/>
    <row r="60" ht="20" customHeight="1">
      <c r="A60" s="12" t="inlineStr">
        <is>
          <t>SECTION C – Case Study Based Questions (50 Marks)</t>
        </is>
      </c>
    </row>
    <row r="61" ht="40" customHeight="1">
      <c r="A61" s="13" t="inlineStr">
        <is>
          <t>Case Study: Ravi is a store manager at FreshMart. He maintains a daily sales log in Excel with columns: Product Name, Category, Units Sold, Unit Price, and Total Sales. The dataset for this case study is in the 'Dataset 1' sheet.</t>
        </is>
      </c>
    </row>
    <row r="62"/>
    <row r="63" ht="32" customHeight="1">
      <c r="A63" s="14" t="inlineStr">
        <is>
          <t>C1 (15 Marks)</t>
        </is>
      </c>
      <c r="B63" s="7" t="inlineStr">
        <is>
          <t>Using SUM and AVERAGE functions, calculate the total and average units sold for all products. Describe the steps.</t>
        </is>
      </c>
    </row>
    <row r="64" ht="18" customHeight="1">
      <c r="A64" s="11" t="inlineStr">
        <is>
          <t>Answer:</t>
        </is>
      </c>
    </row>
    <row r="65" ht="18" customHeight="1"/>
    <row r="66" ht="18" customHeight="1"/>
    <row r="67" ht="18" customHeight="1"/>
    <row r="68" ht="32" customHeight="1">
      <c r="A68" s="14" t="inlineStr">
        <is>
          <t>C2 (15 Marks)</t>
        </is>
      </c>
      <c r="B68" s="7" t="inlineStr">
        <is>
          <t>Ravi wants to highlight products with Total Sales &gt; ₹5000. Explain how to apply Conditional Formatting for this.</t>
        </is>
      </c>
    </row>
    <row r="69" ht="18" customHeight="1">
      <c r="A69" s="11" t="inlineStr">
        <is>
          <t>Answer:</t>
        </is>
      </c>
    </row>
    <row r="70" ht="18" customHeight="1"/>
    <row r="71" ht="18" customHeight="1"/>
    <row r="72" ht="18" customHeight="1"/>
    <row r="73" ht="32" customHeight="1">
      <c r="A73" s="14" t="inlineStr">
        <is>
          <t>C3 (20 Marks)</t>
        </is>
      </c>
      <c r="B73" s="7" t="inlineStr">
        <is>
          <t>Create a sorted list of the top 5 products by Total Sales using LARGE or SORT functions. Explain your approach and the formulas used.</t>
        </is>
      </c>
    </row>
    <row r="74" ht="18" customHeight="1">
      <c r="A74" s="11" t="inlineStr">
        <is>
          <t>Answer:</t>
        </is>
      </c>
    </row>
    <row r="75" ht="18" customHeight="1"/>
    <row r="76" ht="18" customHeight="1"/>
    <row r="77" ht="18" customHeight="1"/>
  </sheetData>
  <mergeCells count="22">
    <mergeCell ref="A40:J43"/>
    <mergeCell ref="A61:J62"/>
    <mergeCell ref="A4:J4"/>
    <mergeCell ref="A64:J67"/>
    <mergeCell ref="A69:J72"/>
    <mergeCell ref="B73:J73"/>
    <mergeCell ref="A45:J48"/>
    <mergeCell ref="B44:J44"/>
    <mergeCell ref="B34:J34"/>
    <mergeCell ref="A74:J77"/>
    <mergeCell ref="A50:J53"/>
    <mergeCell ref="B49:J49"/>
    <mergeCell ref="A55:J58"/>
    <mergeCell ref="A60:J60"/>
    <mergeCell ref="B68:J68"/>
    <mergeCell ref="A1:J1"/>
    <mergeCell ref="B63:J63"/>
    <mergeCell ref="B54:J54"/>
    <mergeCell ref="A2:J2"/>
    <mergeCell ref="B39:J39"/>
    <mergeCell ref="A35:J38"/>
    <mergeCell ref="A33:J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2" customHeight="1">
      <c r="A1" s="1" t="inlineStr">
        <is>
          <t>ASSIGNMENT 2 – Formulas &amp; Functions</t>
        </is>
      </c>
    </row>
    <row r="2" ht="22" customHeight="1">
      <c r="A2" s="2" t="inlineStr">
        <is>
          <t>Total Marks: 200  |  Section A: MCQ (100)  |  Section B: Short Answer (50)  |  Section C: Case Study (50)</t>
        </is>
      </c>
    </row>
    <row r="4" ht="20" customHeight="1">
      <c r="A4" s="4" t="inlineStr">
        <is>
          <t>SECTION A – Multiple Choice Questions (100 Marks | 4 Marks Each | 25 Questions)</t>
        </is>
      </c>
    </row>
    <row r="5">
      <c r="A5" s="5" t="inlineStr">
        <is>
          <t>Instructions: Choose the best answer.</t>
        </is>
      </c>
    </row>
    <row r="7" ht="26" customHeight="1">
      <c r="A7" s="6" t="inlineStr">
        <is>
          <t>Q1</t>
        </is>
      </c>
      <c r="B7" s="7" t="inlineStr">
        <is>
          <t>Which function returns the position of a value in a range?</t>
        </is>
      </c>
      <c r="C7" s="8" t="inlineStr">
        <is>
          <t>A) FIND</t>
        </is>
      </c>
      <c r="D7" s="8" t="inlineStr">
        <is>
          <t>B) MATCH</t>
        </is>
      </c>
      <c r="E7" s="8" t="inlineStr">
        <is>
          <t>C) INDEX</t>
        </is>
      </c>
      <c r="F7" s="8" t="inlineStr">
        <is>
          <t>D) SEARCH</t>
        </is>
      </c>
    </row>
    <row r="8" ht="26" customHeight="1">
      <c r="A8" s="6" t="inlineStr">
        <is>
          <t>Q2</t>
        </is>
      </c>
      <c r="B8" s="7" t="inlineStr">
        <is>
          <t>What does VLOOKUP stand for?</t>
        </is>
      </c>
      <c r="C8" s="8" t="inlineStr">
        <is>
          <t>A) Value Lookup</t>
        </is>
      </c>
      <c r="D8" s="8" t="inlineStr">
        <is>
          <t>B) Vertical Lookup</t>
        </is>
      </c>
      <c r="E8" s="8" t="inlineStr">
        <is>
          <t>C) Variable Lookup</t>
        </is>
      </c>
      <c r="F8" s="8" t="inlineStr">
        <is>
          <t>D) Void Lookup</t>
        </is>
      </c>
    </row>
    <row r="9" ht="26" customHeight="1">
      <c r="A9" s="6" t="inlineStr">
        <is>
          <t>Q3</t>
        </is>
      </c>
      <c r="B9" s="7" t="inlineStr">
        <is>
          <t>CONCATENATE or &amp; operator is used to:</t>
        </is>
      </c>
      <c r="C9" s="8" t="inlineStr">
        <is>
          <t>A) Add numbers</t>
        </is>
      </c>
      <c r="D9" s="8" t="inlineStr">
        <is>
          <t>B) Join text strings</t>
        </is>
      </c>
      <c r="E9" s="8" t="inlineStr">
        <is>
          <t>C) Count cells</t>
        </is>
      </c>
      <c r="F9" s="8" t="inlineStr">
        <is>
          <t>D) Format cells</t>
        </is>
      </c>
    </row>
    <row r="10" ht="26" customHeight="1">
      <c r="A10" s="6" t="inlineStr">
        <is>
          <t>Q4</t>
        </is>
      </c>
      <c r="B10" s="7" t="inlineStr">
        <is>
          <t>Which function returns TRUE if any argument is TRUE?</t>
        </is>
      </c>
      <c r="C10" s="8" t="inlineStr">
        <is>
          <t>A) AND</t>
        </is>
      </c>
      <c r="D10" s="8" t="inlineStr">
        <is>
          <t>B) NOT</t>
        </is>
      </c>
      <c r="E10" s="8" t="inlineStr">
        <is>
          <t>C) OR</t>
        </is>
      </c>
      <c r="F10" s="8" t="inlineStr">
        <is>
          <t>D) IF</t>
        </is>
      </c>
    </row>
    <row r="11" ht="26" customHeight="1">
      <c r="A11" s="6" t="inlineStr">
        <is>
          <t>Q5</t>
        </is>
      </c>
      <c r="B11" s="7" t="inlineStr">
        <is>
          <t>The syntax of the IF function is:</t>
        </is>
      </c>
      <c r="C11" s="8" t="inlineStr">
        <is>
          <t>A) IF(result,test,value)</t>
        </is>
      </c>
      <c r="D11" s="8" t="inlineStr">
        <is>
          <t>B) IF(logical_test,value_if_true,value_if_false)</t>
        </is>
      </c>
      <c r="E11" s="8" t="inlineStr">
        <is>
          <t>C) IF(value,true,test)</t>
        </is>
      </c>
      <c r="F11" s="8" t="inlineStr">
        <is>
          <t>D) IF(condition,outcome)</t>
        </is>
      </c>
    </row>
    <row r="12" ht="26" customHeight="1">
      <c r="A12" s="6" t="inlineStr">
        <is>
          <t>Q6</t>
        </is>
      </c>
      <c r="B12" s="7" t="inlineStr">
        <is>
          <t>Which function rounds a number to a specified number of digits?</t>
        </is>
      </c>
      <c r="C12" s="8" t="inlineStr">
        <is>
          <t>A) TRUNC</t>
        </is>
      </c>
      <c r="D12" s="8" t="inlineStr">
        <is>
          <t>B) INT</t>
        </is>
      </c>
      <c r="E12" s="8" t="inlineStr">
        <is>
          <t>C) ROUND</t>
        </is>
      </c>
      <c r="F12" s="8" t="inlineStr">
        <is>
          <t>D) CEILING</t>
        </is>
      </c>
    </row>
    <row r="13" ht="26" customHeight="1">
      <c r="A13" s="6" t="inlineStr">
        <is>
          <t>Q7</t>
        </is>
      </c>
      <c r="B13" s="7" t="inlineStr">
        <is>
          <t>What does the PMT function calculate?</t>
        </is>
      </c>
      <c r="C13" s="8" t="inlineStr">
        <is>
          <t>A) Present value</t>
        </is>
      </c>
      <c r="D13" s="8" t="inlineStr">
        <is>
          <t>B) Future value</t>
        </is>
      </c>
      <c r="E13" s="8" t="inlineStr">
        <is>
          <t>C) Periodic payment for a loan</t>
        </is>
      </c>
      <c r="F13" s="8" t="inlineStr">
        <is>
          <t>D) Net present value</t>
        </is>
      </c>
    </row>
    <row r="14" ht="26" customHeight="1">
      <c r="A14" s="6" t="inlineStr">
        <is>
          <t>Q8</t>
        </is>
      </c>
      <c r="B14" s="7" t="inlineStr">
        <is>
          <t>SUMIF adds values based on:</t>
        </is>
      </c>
      <c r="C14" s="8" t="inlineStr">
        <is>
          <t>A) A specific format</t>
        </is>
      </c>
      <c r="D14" s="8" t="inlineStr">
        <is>
          <t>B) One condition</t>
        </is>
      </c>
      <c r="E14" s="8" t="inlineStr">
        <is>
          <t>C) Multiple conditions</t>
        </is>
      </c>
      <c r="F14" s="8" t="inlineStr">
        <is>
          <t>D) Adjacent cells</t>
        </is>
      </c>
    </row>
    <row r="15" ht="26" customHeight="1">
      <c r="A15" s="6" t="inlineStr">
        <is>
          <t>Q9</t>
        </is>
      </c>
      <c r="B15" s="7" t="inlineStr">
        <is>
          <t>Which function converts text to a number?</t>
        </is>
      </c>
      <c r="C15" s="8" t="inlineStr">
        <is>
          <t>A) TEXT</t>
        </is>
      </c>
      <c r="D15" s="8" t="inlineStr">
        <is>
          <t>B) VALUE</t>
        </is>
      </c>
      <c r="E15" s="8" t="inlineStr">
        <is>
          <t>C) NUM</t>
        </is>
      </c>
      <c r="F15" s="8" t="inlineStr">
        <is>
          <t>D) CONVERT</t>
        </is>
      </c>
    </row>
    <row r="16" ht="26" customHeight="1">
      <c r="A16" s="6" t="inlineStr">
        <is>
          <t>Q10</t>
        </is>
      </c>
      <c r="B16" s="7" t="inlineStr">
        <is>
          <t>What does IFERROR do?</t>
        </is>
      </c>
      <c r="C16" s="8" t="inlineStr">
        <is>
          <t>A) Generates errors</t>
        </is>
      </c>
      <c r="D16" s="8" t="inlineStr">
        <is>
          <t>B) Returns a custom value if a formula errors</t>
        </is>
      </c>
      <c r="E16" s="8" t="inlineStr">
        <is>
          <t>C) Ignores errors</t>
        </is>
      </c>
      <c r="F16" s="8" t="inlineStr">
        <is>
          <t>D) Counts errors</t>
        </is>
      </c>
    </row>
    <row r="17" ht="26" customHeight="1">
      <c r="A17" s="6" t="inlineStr">
        <is>
          <t>Q11</t>
        </is>
      </c>
      <c r="B17" s="7" t="inlineStr">
        <is>
          <t>INDEX-MATCH is preferred over VLOOKUP because:</t>
        </is>
      </c>
      <c r="C17" s="8" t="inlineStr">
        <is>
          <t>A) It is older</t>
        </is>
      </c>
      <c r="D17" s="8" t="inlineStr">
        <is>
          <t>B) Lookup column can be anywhere</t>
        </is>
      </c>
      <c r="E17" s="8" t="inlineStr">
        <is>
          <t>C) It uses less memory</t>
        </is>
      </c>
      <c r="F17" s="8" t="inlineStr">
        <is>
          <t>D) Easier syntax</t>
        </is>
      </c>
    </row>
    <row r="18" ht="26" customHeight="1">
      <c r="A18" s="6" t="inlineStr">
        <is>
          <t>Q12</t>
        </is>
      </c>
      <c r="B18" s="7" t="inlineStr">
        <is>
          <t>Which function returns today's date?</t>
        </is>
      </c>
      <c r="C18" s="8" t="inlineStr">
        <is>
          <t>A) NOW()</t>
        </is>
      </c>
      <c r="D18" s="8" t="inlineStr">
        <is>
          <t>B) DATE()</t>
        </is>
      </c>
      <c r="E18" s="8" t="inlineStr">
        <is>
          <t>C) TODAY()</t>
        </is>
      </c>
      <c r="F18" s="8" t="inlineStr">
        <is>
          <t>D) CURRENT()</t>
        </is>
      </c>
    </row>
    <row r="19" ht="26" customHeight="1">
      <c r="A19" s="6" t="inlineStr">
        <is>
          <t>Q13</t>
        </is>
      </c>
      <c r="B19" s="7" t="inlineStr">
        <is>
          <t>DATEDIF(start,end,'Y') returns:</t>
        </is>
      </c>
      <c r="C19" s="8" t="inlineStr">
        <is>
          <t>A) Days between dates</t>
        </is>
      </c>
      <c r="D19" s="8" t="inlineStr">
        <is>
          <t>B) Months between dates</t>
        </is>
      </c>
      <c r="E19" s="8" t="inlineStr">
        <is>
          <t>C) Complete years between dates</t>
        </is>
      </c>
      <c r="F19" s="8" t="inlineStr">
        <is>
          <t>D) Weeks between dates</t>
        </is>
      </c>
    </row>
    <row r="20" ht="26" customHeight="1">
      <c r="A20" s="6" t="inlineStr">
        <is>
          <t>Q14</t>
        </is>
      </c>
      <c r="B20" s="7" t="inlineStr">
        <is>
          <t>LEN function returns:</t>
        </is>
      </c>
      <c r="C20" s="8" t="inlineStr">
        <is>
          <t>A) Left characters</t>
        </is>
      </c>
      <c r="D20" s="8" t="inlineStr">
        <is>
          <t>B) The length of a string</t>
        </is>
      </c>
      <c r="E20" s="8" t="inlineStr">
        <is>
          <t>C) Lowercase text</t>
        </is>
      </c>
      <c r="F20" s="8" t="inlineStr">
        <is>
          <t>D) Line numbers</t>
        </is>
      </c>
    </row>
    <row r="21" ht="26" customHeight="1">
      <c r="A21" s="6" t="inlineStr">
        <is>
          <t>Q15</t>
        </is>
      </c>
      <c r="B21" s="7" t="inlineStr">
        <is>
          <t>Which function extracts characters from the right of a string?</t>
        </is>
      </c>
      <c r="C21" s="8" t="inlineStr">
        <is>
          <t>A) LEFT</t>
        </is>
      </c>
      <c r="D21" s="8" t="inlineStr">
        <is>
          <t>B) MID</t>
        </is>
      </c>
      <c r="E21" s="8" t="inlineStr">
        <is>
          <t>C) RIGHT</t>
        </is>
      </c>
      <c r="F21" s="8" t="inlineStr">
        <is>
          <t>D) TRIM</t>
        </is>
      </c>
    </row>
    <row r="22" ht="26" customHeight="1">
      <c r="A22" s="6" t="inlineStr">
        <is>
          <t>Q16</t>
        </is>
      </c>
      <c r="B22" s="7" t="inlineStr">
        <is>
          <t>COUNTIFS allows counting with:</t>
        </is>
      </c>
      <c r="C22" s="8" t="inlineStr">
        <is>
          <t>A) No conditions</t>
        </is>
      </c>
      <c r="D22" s="8" t="inlineStr">
        <is>
          <t>B) One condition</t>
        </is>
      </c>
      <c r="E22" s="8" t="inlineStr">
        <is>
          <t>C) Multiple criteria ranges</t>
        </is>
      </c>
      <c r="F22" s="8" t="inlineStr">
        <is>
          <t>D) Date conditions only</t>
        </is>
      </c>
    </row>
    <row r="23" ht="26" customHeight="1">
      <c r="A23" s="6" t="inlineStr">
        <is>
          <t>Q17</t>
        </is>
      </c>
      <c r="B23" s="7" t="inlineStr">
        <is>
          <t>What is the result of =MOD(10,3)?</t>
        </is>
      </c>
      <c r="C23" s="8" t="inlineStr">
        <is>
          <t>A) 3</t>
        </is>
      </c>
      <c r="D23" s="8" t="inlineStr">
        <is>
          <t>B) 1</t>
        </is>
      </c>
      <c r="E23" s="8" t="inlineStr">
        <is>
          <t>C) 0</t>
        </is>
      </c>
      <c r="F23" s="8" t="inlineStr">
        <is>
          <t>D) 4</t>
        </is>
      </c>
    </row>
    <row r="24" ht="26" customHeight="1">
      <c r="A24" s="6" t="inlineStr">
        <is>
          <t>Q18</t>
        </is>
      </c>
      <c r="B24" s="7" t="inlineStr">
        <is>
          <t>Which function returns the rank of a number in a list?</t>
        </is>
      </c>
      <c r="C24" s="8" t="inlineStr">
        <is>
          <t>A) RANK</t>
        </is>
      </c>
      <c r="D24" s="8" t="inlineStr">
        <is>
          <t>B) ORDER</t>
        </is>
      </c>
      <c r="E24" s="8" t="inlineStr">
        <is>
          <t>C) POSITION</t>
        </is>
      </c>
      <c r="F24" s="8" t="inlineStr">
        <is>
          <t>D) SORT</t>
        </is>
      </c>
    </row>
    <row r="25" ht="26" customHeight="1">
      <c r="A25" s="6" t="inlineStr">
        <is>
          <t>Q19</t>
        </is>
      </c>
      <c r="B25" s="7" t="inlineStr">
        <is>
          <t>NPV function in Excel is used for:</t>
        </is>
      </c>
      <c r="C25" s="8" t="inlineStr">
        <is>
          <t>A) Net Profit Value</t>
        </is>
      </c>
      <c r="D25" s="8" t="inlineStr">
        <is>
          <t>B) Net Present Value of cash flows</t>
        </is>
      </c>
      <c r="E25" s="8" t="inlineStr">
        <is>
          <t>C) Normal Payment Verification</t>
        </is>
      </c>
      <c r="F25" s="8" t="inlineStr">
        <is>
          <t>D) None</t>
        </is>
      </c>
    </row>
    <row r="26" ht="26" customHeight="1">
      <c r="A26" s="6" t="inlineStr">
        <is>
          <t>Q20</t>
        </is>
      </c>
      <c r="B26" s="7" t="inlineStr">
        <is>
          <t>TEXTJOIN function requires which Excel version minimum?</t>
        </is>
      </c>
      <c r="C26" s="8" t="inlineStr">
        <is>
          <t>A) Excel 2007</t>
        </is>
      </c>
      <c r="D26" s="8" t="inlineStr">
        <is>
          <t>B) Excel 2013</t>
        </is>
      </c>
      <c r="E26" s="8" t="inlineStr">
        <is>
          <t>C) Excel 2016</t>
        </is>
      </c>
      <c r="F26" s="8" t="inlineStr">
        <is>
          <t>D) Excel 2010</t>
        </is>
      </c>
    </row>
    <row r="27" ht="26" customHeight="1">
      <c r="A27" s="6" t="inlineStr">
        <is>
          <t>Q21</t>
        </is>
      </c>
      <c r="B27" s="7" t="inlineStr">
        <is>
          <t>Which function removes extra spaces from text?</t>
        </is>
      </c>
      <c r="C27" s="8" t="inlineStr">
        <is>
          <t>A) CLEAN</t>
        </is>
      </c>
      <c r="D27" s="8" t="inlineStr">
        <is>
          <t>B) TRIM</t>
        </is>
      </c>
      <c r="E27" s="8" t="inlineStr">
        <is>
          <t>C) STRIP</t>
        </is>
      </c>
      <c r="F27" s="8" t="inlineStr">
        <is>
          <t>D) REMOVE</t>
        </is>
      </c>
    </row>
    <row r="28" ht="26" customHeight="1">
      <c r="A28" s="6" t="inlineStr">
        <is>
          <t>Q22</t>
        </is>
      </c>
      <c r="B28" s="7" t="inlineStr">
        <is>
          <t>ABS function returns:</t>
        </is>
      </c>
      <c r="C28" s="8" t="inlineStr">
        <is>
          <t>A) Absolute percentage</t>
        </is>
      </c>
      <c r="D28" s="8" t="inlineStr">
        <is>
          <t>B) Positive value of a number</t>
        </is>
      </c>
      <c r="E28" s="8" t="inlineStr">
        <is>
          <t>C) Abstract count</t>
        </is>
      </c>
      <c r="F28" s="8" t="inlineStr">
        <is>
          <t>D) Average of absolute values</t>
        </is>
      </c>
    </row>
    <row r="29" ht="26" customHeight="1">
      <c r="A29" s="6" t="inlineStr">
        <is>
          <t>Q23</t>
        </is>
      </c>
      <c r="B29" s="7" t="inlineStr">
        <is>
          <t>The SUBSTITUTE function is used to:</t>
        </is>
      </c>
      <c r="C29" s="8" t="inlineStr">
        <is>
          <t>A) Replace one text with another</t>
        </is>
      </c>
      <c r="D29" s="8" t="inlineStr">
        <is>
          <t>B) Add text to a string</t>
        </is>
      </c>
      <c r="E29" s="8" t="inlineStr">
        <is>
          <t>C) Count text occurrences</t>
        </is>
      </c>
      <c r="F29" s="8" t="inlineStr">
        <is>
          <t>D) Delete characters</t>
        </is>
      </c>
    </row>
    <row r="30" ht="26" customHeight="1">
      <c r="A30" s="6" t="inlineStr">
        <is>
          <t>Q24</t>
        </is>
      </c>
      <c r="B30" s="7" t="inlineStr">
        <is>
          <t>HLOOKUP searches in which direction?</t>
        </is>
      </c>
      <c r="C30" s="8" t="inlineStr">
        <is>
          <t>A) Vertical</t>
        </is>
      </c>
      <c r="D30" s="8" t="inlineStr">
        <is>
          <t>B) Diagonal</t>
        </is>
      </c>
      <c r="E30" s="8" t="inlineStr">
        <is>
          <t>C) Horizontal</t>
        </is>
      </c>
      <c r="F30" s="8" t="inlineStr">
        <is>
          <t>D) Random</t>
        </is>
      </c>
    </row>
    <row r="31" ht="26" customHeight="1">
      <c r="A31" s="6" t="inlineStr">
        <is>
          <t>Q25</t>
        </is>
      </c>
      <c r="B31" s="7" t="inlineStr">
        <is>
          <t>Dynamic arrays were introduced in which Excel version?</t>
        </is>
      </c>
      <c r="C31" s="8" t="inlineStr">
        <is>
          <t>A) Excel 2013</t>
        </is>
      </c>
      <c r="D31" s="8" t="inlineStr">
        <is>
          <t>B) Excel 2016</t>
        </is>
      </c>
      <c r="E31" s="8" t="inlineStr">
        <is>
          <t>C) Excel 2019</t>
        </is>
      </c>
      <c r="F31" s="8" t="inlineStr">
        <is>
          <t>D) Excel 365</t>
        </is>
      </c>
    </row>
    <row r="33" ht="20" customHeight="1">
      <c r="A33" s="9" t="inlineStr">
        <is>
          <t>SECTION B – Short Answer Questions (50 Marks | 10 Marks Each | 5 Questions)</t>
        </is>
      </c>
    </row>
    <row r="34" ht="30" customHeight="1">
      <c r="A34" s="10" t="inlineStr">
        <is>
          <t>Q1 (10 Marks)</t>
        </is>
      </c>
      <c r="B34" s="7" t="inlineStr">
        <is>
          <t>Explain VLOOKUP with syntax, parameters, and a practical example. Also state its limitations.</t>
        </is>
      </c>
    </row>
    <row r="35" ht="18" customHeight="1">
      <c r="A35" s="11" t="inlineStr">
        <is>
          <t>Answer:</t>
        </is>
      </c>
    </row>
    <row r="36" ht="18" customHeight="1"/>
    <row r="37" ht="18" customHeight="1"/>
    <row r="38" ht="18" customHeight="1"/>
    <row r="39" ht="30" customHeight="1">
      <c r="A39" s="10" t="inlineStr">
        <is>
          <t>Q2 (10 Marks)</t>
        </is>
      </c>
      <c r="B39" s="7" t="inlineStr">
        <is>
          <t>What are nested IF statements? Write a formula to assign grades: ≥90=A, ≥75=B, ≥60=C, else=F.</t>
        </is>
      </c>
    </row>
    <row r="40" ht="18" customHeight="1">
      <c r="A40" s="11" t="inlineStr">
        <is>
          <t>Answer:</t>
        </is>
      </c>
    </row>
    <row r="41" ht="18" customHeight="1"/>
    <row r="42" ht="18" customHeight="1"/>
    <row r="43" ht="18" customHeight="1"/>
    <row r="44" ht="30" customHeight="1">
      <c r="A44" s="10" t="inlineStr">
        <is>
          <t>Q3 (10 Marks)</t>
        </is>
      </c>
      <c r="B44" s="7" t="inlineStr">
        <is>
          <t>Compare SUMIF and SUMIFS. Give examples showing single and multiple conditions.</t>
        </is>
      </c>
    </row>
    <row r="45" ht="18" customHeight="1">
      <c r="A45" s="11" t="inlineStr">
        <is>
          <t>Answer:</t>
        </is>
      </c>
    </row>
    <row r="46" ht="18" customHeight="1"/>
    <row r="47" ht="18" customHeight="1"/>
    <row r="48" ht="18" customHeight="1"/>
    <row r="49" ht="30" customHeight="1">
      <c r="A49" s="10" t="inlineStr">
        <is>
          <t>Q4 (10 Marks)</t>
        </is>
      </c>
      <c r="B49" s="7" t="inlineStr">
        <is>
          <t>Explain INDEX and MATCH functions individually. Then show how to combine them for a two-way lookup.</t>
        </is>
      </c>
    </row>
    <row r="50" ht="18" customHeight="1">
      <c r="A50" s="11" t="inlineStr">
        <is>
          <t>Answer:</t>
        </is>
      </c>
    </row>
    <row r="51" ht="18" customHeight="1"/>
    <row r="52" ht="18" customHeight="1"/>
    <row r="53" ht="18" customHeight="1"/>
    <row r="54" ht="30" customHeight="1">
      <c r="A54" s="10" t="inlineStr">
        <is>
          <t>Q5 (10 Marks)</t>
        </is>
      </c>
      <c r="B54" s="7" t="inlineStr">
        <is>
          <t>What are array formulas in Excel? Give two examples with CTRL+SHIFT+ENTER.</t>
        </is>
      </c>
    </row>
    <row r="55" ht="18" customHeight="1">
      <c r="A55" s="11" t="inlineStr">
        <is>
          <t>Answer:</t>
        </is>
      </c>
    </row>
    <row r="56" ht="18" customHeight="1"/>
    <row r="57" ht="18" customHeight="1"/>
    <row r="58" ht="18" customHeight="1"/>
    <row r="60" ht="20" customHeight="1">
      <c r="A60" s="12" t="inlineStr">
        <is>
          <t>SECTION C – Case Study Based Questions (50 Marks)</t>
        </is>
      </c>
    </row>
    <row r="61" ht="40" customHeight="1">
      <c r="A61" s="13" t="inlineStr">
        <is>
          <t>Case Study: TechEdge Pvt. Ltd. maintains employee salary data in a worksheet (Dataset 2 sheet). Columns: Emp ID, Name, Department, Basic Salary, HRA (20% of Basic), DA (15% of Basic), Gross Salary, Tax (10% if Gross&gt;50000 else 5%), Net Salary.</t>
        </is>
      </c>
    </row>
    <row r="62"/>
    <row r="63" ht="32" customHeight="1">
      <c r="A63" s="14" t="inlineStr">
        <is>
          <t>C1 (15 Marks)</t>
        </is>
      </c>
      <c r="B63" s="7" t="inlineStr">
        <is>
          <t>Write formulas to calculate HRA, DA, Gross Salary, Tax, and Net Salary for all employees. Reference the Dataset 2 sheet.</t>
        </is>
      </c>
    </row>
    <row r="64" ht="18" customHeight="1">
      <c r="A64" s="11" t="inlineStr">
        <is>
          <t>Answer:</t>
        </is>
      </c>
    </row>
    <row r="65" ht="18" customHeight="1"/>
    <row r="66" ht="18" customHeight="1"/>
    <row r="67" ht="18" customHeight="1"/>
    <row r="68" ht="32" customHeight="1">
      <c r="A68" s="14" t="inlineStr">
        <is>
          <t>C2 (15 Marks)</t>
        </is>
      </c>
      <c r="B68" s="7" t="inlineStr">
        <is>
          <t>Use SUMIF to calculate the total Gross Salary paid to each department. List the formulas and results.</t>
        </is>
      </c>
    </row>
    <row r="69" ht="18" customHeight="1">
      <c r="A69" s="11" t="inlineStr">
        <is>
          <t>Answer:</t>
        </is>
      </c>
    </row>
    <row r="70" ht="18" customHeight="1"/>
    <row r="71" ht="18" customHeight="1"/>
    <row r="72" ht="18" customHeight="1"/>
    <row r="73" ht="32" customHeight="1">
      <c r="A73" s="14" t="inlineStr">
        <is>
          <t>C3 (20 Marks)</t>
        </is>
      </c>
      <c r="B73" s="7" t="inlineStr">
        <is>
          <t>The company wants to flag employees with Net Salary &lt; ₹25,000 as 'Review Required'. Using IF and COUNTIF, write formulas to (a) flag each employee and (b) count total flagged employees.</t>
        </is>
      </c>
    </row>
    <row r="74" ht="18" customHeight="1">
      <c r="A74" s="11" t="inlineStr">
        <is>
          <t>Answer:</t>
        </is>
      </c>
    </row>
    <row r="75" ht="18" customHeight="1"/>
    <row r="76" ht="18" customHeight="1"/>
    <row r="77" ht="18" customHeight="1"/>
  </sheetData>
  <mergeCells count="22">
    <mergeCell ref="A40:J43"/>
    <mergeCell ref="A61:J62"/>
    <mergeCell ref="A4:J4"/>
    <mergeCell ref="A64:J67"/>
    <mergeCell ref="A69:J72"/>
    <mergeCell ref="B73:J73"/>
    <mergeCell ref="A45:J48"/>
    <mergeCell ref="B44:J44"/>
    <mergeCell ref="B34:J34"/>
    <mergeCell ref="A74:J77"/>
    <mergeCell ref="A50:J53"/>
    <mergeCell ref="B49:J49"/>
    <mergeCell ref="A55:J58"/>
    <mergeCell ref="A60:J60"/>
    <mergeCell ref="B68:J68"/>
    <mergeCell ref="A1:J1"/>
    <mergeCell ref="B63:J63"/>
    <mergeCell ref="B54:J54"/>
    <mergeCell ref="A2:J2"/>
    <mergeCell ref="B39:J39"/>
    <mergeCell ref="A35:J38"/>
    <mergeCell ref="A33:J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2" customHeight="1">
      <c r="A1" s="1" t="inlineStr">
        <is>
          <t>ASSIGNMENT 3 – Charts, Visualisation &amp; Pivot Tables</t>
        </is>
      </c>
    </row>
    <row r="2" ht="22" customHeight="1">
      <c r="A2" s="2" t="inlineStr">
        <is>
          <t>Total Marks: 200  |  Section A: MCQ (100)  |  Section B: Short Answer (50)  |  Section C: Case Study (50)</t>
        </is>
      </c>
    </row>
    <row r="4" ht="20" customHeight="1">
      <c r="A4" s="4" t="inlineStr">
        <is>
          <t>SECTION A – Multiple Choice Questions (100 Marks | 4 Marks Each | 25 Questions)</t>
        </is>
      </c>
    </row>
    <row r="5">
      <c r="A5" s="5" t="inlineStr">
        <is>
          <t>Instructions: Select the correct answer.</t>
        </is>
      </c>
    </row>
    <row r="7" ht="26" customHeight="1">
      <c r="A7" s="6" t="inlineStr">
        <is>
          <t>Q1</t>
        </is>
      </c>
      <c r="B7" s="7" t="inlineStr">
        <is>
          <t>Which chart type is best for showing trends over time?</t>
        </is>
      </c>
      <c r="C7" s="8" t="inlineStr">
        <is>
          <t>A) Pie chart</t>
        </is>
      </c>
      <c r="D7" s="8" t="inlineStr">
        <is>
          <t>B) Bar chart</t>
        </is>
      </c>
      <c r="E7" s="8" t="inlineStr">
        <is>
          <t>C) Line chart</t>
        </is>
      </c>
      <c r="F7" s="8" t="inlineStr">
        <is>
          <t>D) Scatter chart</t>
        </is>
      </c>
    </row>
    <row r="8" ht="26" customHeight="1">
      <c r="A8" s="6" t="inlineStr">
        <is>
          <t>Q2</t>
        </is>
      </c>
      <c r="B8" s="7" t="inlineStr">
        <is>
          <t>A Pie chart is used to display:</t>
        </is>
      </c>
      <c r="C8" s="8" t="inlineStr">
        <is>
          <t>A) Trends</t>
        </is>
      </c>
      <c r="D8" s="8" t="inlineStr">
        <is>
          <t>B) Proportions of a whole</t>
        </is>
      </c>
      <c r="E8" s="8" t="inlineStr">
        <is>
          <t>C) Correlations</t>
        </is>
      </c>
      <c r="F8" s="8" t="inlineStr">
        <is>
          <t>D) Distributions</t>
        </is>
      </c>
    </row>
    <row r="9" ht="26" customHeight="1">
      <c r="A9" s="6" t="inlineStr">
        <is>
          <t>Q3</t>
        </is>
      </c>
      <c r="B9" s="7" t="inlineStr">
        <is>
          <t>Which Excel feature summarises large datasets interactively?</t>
        </is>
      </c>
      <c r="C9" s="8" t="inlineStr">
        <is>
          <t>A) Data Table</t>
        </is>
      </c>
      <c r="D9" s="8" t="inlineStr">
        <is>
          <t>B) Pivot Table</t>
        </is>
      </c>
      <c r="E9" s="8" t="inlineStr">
        <is>
          <t>C) Named Range</t>
        </is>
      </c>
      <c r="F9" s="8" t="inlineStr">
        <is>
          <t>D) Scenario Manager</t>
        </is>
      </c>
    </row>
    <row r="10" ht="26" customHeight="1">
      <c r="A10" s="6" t="inlineStr">
        <is>
          <t>Q4</t>
        </is>
      </c>
      <c r="B10" s="7" t="inlineStr">
        <is>
          <t>What does a Sparkline represent?</t>
        </is>
      </c>
      <c r="C10" s="8" t="inlineStr">
        <is>
          <t>A) A large chart</t>
        </is>
      </c>
      <c r="D10" s="8" t="inlineStr">
        <is>
          <t>B) A miniature chart inside a cell</t>
        </is>
      </c>
      <c r="E10" s="8" t="inlineStr">
        <is>
          <t>C) A filtered view</t>
        </is>
      </c>
      <c r="F10" s="8" t="inlineStr">
        <is>
          <t>D) A pivot chart</t>
        </is>
      </c>
    </row>
    <row r="11" ht="26" customHeight="1">
      <c r="A11" s="6" t="inlineStr">
        <is>
          <t>Q5</t>
        </is>
      </c>
      <c r="B11" s="7" t="inlineStr">
        <is>
          <t>To insert a chart, first select data, then go to:</t>
        </is>
      </c>
      <c r="C11" s="8" t="inlineStr">
        <is>
          <t>A) Data &gt; Chart</t>
        </is>
      </c>
      <c r="D11" s="8" t="inlineStr">
        <is>
          <t>B) Insert &gt; Charts</t>
        </is>
      </c>
      <c r="E11" s="8" t="inlineStr">
        <is>
          <t>C) Home &gt; Insert Chart</t>
        </is>
      </c>
      <c r="F11" s="8" t="inlineStr">
        <is>
          <t>D) View &gt; Chart</t>
        </is>
      </c>
    </row>
    <row r="12" ht="26" customHeight="1">
      <c r="A12" s="6" t="inlineStr">
        <is>
          <t>Q6</t>
        </is>
      </c>
      <c r="B12" s="7" t="inlineStr">
        <is>
          <t>Which chart is suitable for comparing categories across groups?</t>
        </is>
      </c>
      <c r="C12" s="8" t="inlineStr">
        <is>
          <t>A) Line chart</t>
        </is>
      </c>
      <c r="D12" s="8" t="inlineStr">
        <is>
          <t>B) Area chart</t>
        </is>
      </c>
      <c r="E12" s="8" t="inlineStr">
        <is>
          <t>C) Clustered bar/column chart</t>
        </is>
      </c>
      <c r="F12" s="8" t="inlineStr">
        <is>
          <t>D) Bubble chart</t>
        </is>
      </c>
    </row>
    <row r="13" ht="26" customHeight="1">
      <c r="A13" s="6" t="inlineStr">
        <is>
          <t>Q7</t>
        </is>
      </c>
      <c r="B13" s="7" t="inlineStr">
        <is>
          <t>A Scatter (XY) chart is used to show:</t>
        </is>
      </c>
      <c r="C13" s="8" t="inlineStr">
        <is>
          <t>A) Proportions</t>
        </is>
      </c>
      <c r="D13" s="8" t="inlineStr">
        <is>
          <t>B) Relationship between two variables</t>
        </is>
      </c>
      <c r="E13" s="8" t="inlineStr">
        <is>
          <t>C) Time trends</t>
        </is>
      </c>
      <c r="F13" s="8" t="inlineStr">
        <is>
          <t>D) Cumulative totals</t>
        </is>
      </c>
    </row>
    <row r="14" ht="26" customHeight="1">
      <c r="A14" s="6" t="inlineStr">
        <is>
          <t>Q8</t>
        </is>
      </c>
      <c r="B14" s="7" t="inlineStr">
        <is>
          <t>In a Pivot Table, 'Values' area typically shows:</t>
        </is>
      </c>
      <c r="C14" s="8" t="inlineStr">
        <is>
          <t>A) Row labels</t>
        </is>
      </c>
      <c r="D14" s="8" t="inlineStr">
        <is>
          <t>B) Filter options</t>
        </is>
      </c>
      <c r="E14" s="8" t="inlineStr">
        <is>
          <t>C) Aggregated data (sums, counts)</t>
        </is>
      </c>
      <c r="F14" s="8" t="inlineStr">
        <is>
          <t>D) Formatting rules</t>
        </is>
      </c>
    </row>
    <row r="15" ht="26" customHeight="1">
      <c r="A15" s="6" t="inlineStr">
        <is>
          <t>Q9</t>
        </is>
      </c>
      <c r="B15" s="7" t="inlineStr">
        <is>
          <t>Which tool creates a chart directly from a Pivot Table?</t>
        </is>
      </c>
      <c r="C15" s="8" t="inlineStr">
        <is>
          <t>A) SmartArt</t>
        </is>
      </c>
      <c r="D15" s="8" t="inlineStr">
        <is>
          <t>B) PivotChart</t>
        </is>
      </c>
      <c r="E15" s="8" t="inlineStr">
        <is>
          <t>C) Sparkline</t>
        </is>
      </c>
      <c r="F15" s="8" t="inlineStr">
        <is>
          <t>D) Data Model</t>
        </is>
      </c>
    </row>
    <row r="16" ht="26" customHeight="1">
      <c r="A16" s="6" t="inlineStr">
        <is>
          <t>Q10</t>
        </is>
      </c>
      <c r="B16" s="7" t="inlineStr">
        <is>
          <t>Conditional Formatting in a chart is applied via:</t>
        </is>
      </c>
      <c r="C16" s="8" t="inlineStr">
        <is>
          <t>A) Chart Design tab</t>
        </is>
      </c>
      <c r="D16" s="8" t="inlineStr">
        <is>
          <t>B) Format Data Series</t>
        </is>
      </c>
      <c r="E16" s="8" t="inlineStr">
        <is>
          <t>C) Home &gt; Conditional Formatting</t>
        </is>
      </c>
      <c r="F16" s="8" t="inlineStr">
        <is>
          <t>D) Right-click the chart</t>
        </is>
      </c>
    </row>
    <row r="17" ht="26" customHeight="1">
      <c r="A17" s="6" t="inlineStr">
        <is>
          <t>Q11</t>
        </is>
      </c>
      <c r="B17" s="7" t="inlineStr">
        <is>
          <t>A waterfall chart is used to show:</t>
        </is>
      </c>
      <c r="C17" s="8" t="inlineStr">
        <is>
          <t>A) Water data</t>
        </is>
      </c>
      <c r="D17" s="8" t="inlineStr">
        <is>
          <t>B) Cumulative effect of sequential values</t>
        </is>
      </c>
      <c r="E17" s="8" t="inlineStr">
        <is>
          <t>C) Geographic data</t>
        </is>
      </c>
      <c r="F17" s="8" t="inlineStr">
        <is>
          <t>D) Percentages</t>
        </is>
      </c>
    </row>
    <row r="18" ht="26" customHeight="1">
      <c r="A18" s="6" t="inlineStr">
        <is>
          <t>Q12</t>
        </is>
      </c>
      <c r="B18" s="7" t="inlineStr">
        <is>
          <t>Slicers in Excel are used with:</t>
        </is>
      </c>
      <c r="C18" s="8" t="inlineStr">
        <is>
          <t>A) Charts only</t>
        </is>
      </c>
      <c r="D18" s="8" t="inlineStr">
        <is>
          <t>B) Tables and Pivot Tables</t>
        </is>
      </c>
      <c r="E18" s="8" t="inlineStr">
        <is>
          <t>C) Formulas only</t>
        </is>
      </c>
      <c r="F18" s="8" t="inlineStr">
        <is>
          <t>D) Print settings</t>
        </is>
      </c>
    </row>
    <row r="19" ht="26" customHeight="1">
      <c r="A19" s="6" t="inlineStr">
        <is>
          <t>Q13</t>
        </is>
      </c>
      <c r="B19" s="7" t="inlineStr">
        <is>
          <t>To group dates by month in a Pivot Table, right-click the date field and select:</t>
        </is>
      </c>
      <c r="C19" s="8" t="inlineStr">
        <is>
          <t>A) Sort</t>
        </is>
      </c>
      <c r="D19" s="8" t="inlineStr">
        <is>
          <t>B) Group</t>
        </is>
      </c>
      <c r="E19" s="8" t="inlineStr">
        <is>
          <t>C) Format</t>
        </is>
      </c>
      <c r="F19" s="8" t="inlineStr">
        <is>
          <t>D) Filter</t>
        </is>
      </c>
    </row>
    <row r="20" ht="26" customHeight="1">
      <c r="A20" s="6" t="inlineStr">
        <is>
          <t>Q14</t>
        </is>
      </c>
      <c r="B20" s="7" t="inlineStr">
        <is>
          <t>Which chart type shows data as a percentage of a total across categories?</t>
        </is>
      </c>
      <c r="C20" s="8" t="inlineStr">
        <is>
          <t>A) Clustered column</t>
        </is>
      </c>
      <c r="D20" s="8" t="inlineStr">
        <is>
          <t>B) 100% Stacked bar</t>
        </is>
      </c>
      <c r="E20" s="8" t="inlineStr">
        <is>
          <t>C) Combo chart</t>
        </is>
      </c>
      <c r="F20" s="8" t="inlineStr">
        <is>
          <t>D) Histogram</t>
        </is>
      </c>
    </row>
    <row r="21" ht="26" customHeight="1">
      <c r="A21" s="6" t="inlineStr">
        <is>
          <t>Q15</t>
        </is>
      </c>
      <c r="B21" s="7" t="inlineStr">
        <is>
          <t>A Combo chart combines which chart types?</t>
        </is>
      </c>
      <c r="C21" s="8" t="inlineStr">
        <is>
          <t>A) Only two identical charts</t>
        </is>
      </c>
      <c r="D21" s="8" t="inlineStr">
        <is>
          <t>B) Two or more different chart types</t>
        </is>
      </c>
      <c r="E21" s="8" t="inlineStr">
        <is>
          <t>C) Pivot charts</t>
        </is>
      </c>
      <c r="F21" s="8" t="inlineStr">
        <is>
          <t>D) 3D charts</t>
        </is>
      </c>
    </row>
    <row r="22" ht="26" customHeight="1">
      <c r="A22" s="6" t="inlineStr">
        <is>
          <t>Q16</t>
        </is>
      </c>
      <c r="B22" s="7" t="inlineStr">
        <is>
          <t>Data Labels in a chart display:</t>
        </is>
      </c>
      <c r="C22" s="8" t="inlineStr">
        <is>
          <t>A) Axis titles</t>
        </is>
      </c>
      <c r="D22" s="8" t="inlineStr">
        <is>
          <t>B) The legend</t>
        </is>
      </c>
      <c r="E22" s="8" t="inlineStr">
        <is>
          <t>C) Exact data values on data points</t>
        </is>
      </c>
      <c r="F22" s="8" t="inlineStr">
        <is>
          <t>D) Chart title</t>
        </is>
      </c>
    </row>
    <row r="23" ht="26" customHeight="1">
      <c r="A23" s="6" t="inlineStr">
        <is>
          <t>Q17</t>
        </is>
      </c>
      <c r="B23" s="7" t="inlineStr">
        <is>
          <t>To change the chart type, right-click the chart and select:</t>
        </is>
      </c>
      <c r="C23" s="8" t="inlineStr">
        <is>
          <t>A) Format Chart Area</t>
        </is>
      </c>
      <c r="D23" s="8" t="inlineStr">
        <is>
          <t>B) Change Chart Type</t>
        </is>
      </c>
      <c r="E23" s="8" t="inlineStr">
        <is>
          <t>C) Edit Data</t>
        </is>
      </c>
      <c r="F23" s="8" t="inlineStr">
        <is>
          <t>D) Move Chart</t>
        </is>
      </c>
    </row>
    <row r="24" ht="26" customHeight="1">
      <c r="A24" s="6" t="inlineStr">
        <is>
          <t>Q18</t>
        </is>
      </c>
      <c r="B24" s="7" t="inlineStr">
        <is>
          <t>A Histogram groups data into:</t>
        </is>
      </c>
      <c r="C24" s="8" t="inlineStr">
        <is>
          <t>A) Categories</t>
        </is>
      </c>
      <c r="D24" s="8" t="inlineStr">
        <is>
          <t>B) Equal-width bins</t>
        </is>
      </c>
      <c r="E24" s="8" t="inlineStr">
        <is>
          <t>C) Percentages</t>
        </is>
      </c>
      <c r="F24" s="8" t="inlineStr">
        <is>
          <t>D) Cumulative totals</t>
        </is>
      </c>
    </row>
    <row r="25" ht="26" customHeight="1">
      <c r="A25" s="6" t="inlineStr">
        <is>
          <t>Q19</t>
        </is>
      </c>
      <c r="B25" s="7" t="inlineStr">
        <is>
          <t>Power BI is used in combination with Excel for:</t>
        </is>
      </c>
      <c r="C25" s="8" t="inlineStr">
        <is>
          <t>A) Basic data entry</t>
        </is>
      </c>
      <c r="D25" s="8" t="inlineStr">
        <is>
          <t>B) Advanced data visualisation and BI reporting</t>
        </is>
      </c>
      <c r="E25" s="8" t="inlineStr">
        <is>
          <t>C) Formula creation</t>
        </is>
      </c>
      <c r="F25" s="8" t="inlineStr">
        <is>
          <t>D) VBA programming</t>
        </is>
      </c>
    </row>
    <row r="26" ht="26" customHeight="1">
      <c r="A26" s="6" t="inlineStr">
        <is>
          <t>Q20</t>
        </is>
      </c>
      <c r="B26" s="7" t="inlineStr">
        <is>
          <t>Treemap chart is best for displaying:</t>
        </is>
      </c>
      <c r="C26" s="8" t="inlineStr">
        <is>
          <t>A) Time series</t>
        </is>
      </c>
      <c r="D26" s="8" t="inlineStr">
        <is>
          <t>B) Hierarchical data as nested rectangles</t>
        </is>
      </c>
      <c r="E26" s="8" t="inlineStr">
        <is>
          <t>C) Scatter data</t>
        </is>
      </c>
      <c r="F26" s="8" t="inlineStr">
        <is>
          <t>D) Financial data</t>
        </is>
      </c>
    </row>
    <row r="27" ht="26" customHeight="1">
      <c r="A27" s="6" t="inlineStr">
        <is>
          <t>Q21</t>
        </is>
      </c>
      <c r="B27" s="7" t="inlineStr">
        <is>
          <t>In a Pivot Table, 'Rows' area determines:</t>
        </is>
      </c>
      <c r="C27" s="8" t="inlineStr">
        <is>
          <t>A) Aggregation method</t>
        </is>
      </c>
      <c r="D27" s="8" t="inlineStr">
        <is>
          <t>B) Row groupings/categories</t>
        </is>
      </c>
      <c r="E27" s="8" t="inlineStr">
        <is>
          <t>C) Filter criteria</t>
        </is>
      </c>
      <c r="F27" s="8" t="inlineStr">
        <is>
          <t>D) Column headings</t>
        </is>
      </c>
    </row>
    <row r="28" ht="26" customHeight="1">
      <c r="A28" s="6" t="inlineStr">
        <is>
          <t>Q22</t>
        </is>
      </c>
      <c r="B28" s="7" t="inlineStr">
        <is>
          <t>A secondary axis in a chart is useful when:</t>
        </is>
      </c>
      <c r="C28" s="8" t="inlineStr">
        <is>
          <t>A) Two datasets have very different scales</t>
        </is>
      </c>
      <c r="D28" s="8" t="inlineStr">
        <is>
          <t>B) Data has negative values</t>
        </is>
      </c>
      <c r="E28" s="8" t="inlineStr">
        <is>
          <t>C) Using 3D charts</t>
        </is>
      </c>
      <c r="F28" s="8" t="inlineStr">
        <is>
          <t>D) Printing the chart</t>
        </is>
      </c>
    </row>
    <row r="29" ht="26" customHeight="1">
      <c r="A29" s="6" t="inlineStr">
        <is>
          <t>Q23</t>
        </is>
      </c>
      <c r="B29" s="7" t="inlineStr">
        <is>
          <t>Which option removes duplicate values from a dataset?</t>
        </is>
      </c>
      <c r="C29" s="8" t="inlineStr">
        <is>
          <t>A) Sort</t>
        </is>
      </c>
      <c r="D29" s="8" t="inlineStr">
        <is>
          <t>B) Filter</t>
        </is>
      </c>
      <c r="E29" s="8" t="inlineStr">
        <is>
          <t>C) Remove Duplicates</t>
        </is>
      </c>
      <c r="F29" s="8" t="inlineStr">
        <is>
          <t>D) Clear</t>
        </is>
      </c>
    </row>
    <row r="30" ht="26" customHeight="1">
      <c r="A30" s="6" t="inlineStr">
        <is>
          <t>Q24</t>
        </is>
      </c>
      <c r="B30" s="7" t="inlineStr">
        <is>
          <t>GETPIVOTDATA function retrieves data from:</t>
        </is>
      </c>
      <c r="C30" s="8" t="inlineStr">
        <is>
          <t>A) A regular table</t>
        </is>
      </c>
      <c r="D30" s="8" t="inlineStr">
        <is>
          <t>B) A Pivot Table</t>
        </is>
      </c>
      <c r="E30" s="8" t="inlineStr">
        <is>
          <t>C) An external database</t>
        </is>
      </c>
      <c r="F30" s="8" t="inlineStr">
        <is>
          <t>D) A named range</t>
        </is>
      </c>
    </row>
    <row r="31" ht="26" customHeight="1">
      <c r="A31" s="6" t="inlineStr">
        <is>
          <t>Q25</t>
        </is>
      </c>
      <c r="B31" s="7" t="inlineStr">
        <is>
          <t>Recommended Charts feature in Excel suggests charts based on:</t>
        </is>
      </c>
      <c r="C31" s="8" t="inlineStr">
        <is>
          <t>A) The file size</t>
        </is>
      </c>
      <c r="D31" s="8" t="inlineStr">
        <is>
          <t>B) The selected data and its structure</t>
        </is>
      </c>
      <c r="E31" s="8" t="inlineStr">
        <is>
          <t>C) User preferences</t>
        </is>
      </c>
      <c r="F31" s="8" t="inlineStr">
        <is>
          <t>D) Random selection</t>
        </is>
      </c>
    </row>
    <row r="33" ht="20" customHeight="1">
      <c r="A33" s="9" t="inlineStr">
        <is>
          <t>SECTION B – Short Answer Questions (50 Marks | 10 Marks Each | 5 Questions)</t>
        </is>
      </c>
    </row>
    <row r="34" ht="30" customHeight="1">
      <c r="A34" s="10" t="inlineStr">
        <is>
          <t>Q1 (10 Marks)</t>
        </is>
      </c>
      <c r="B34" s="7" t="inlineStr">
        <is>
          <t>List any five types of charts available in Excel. For each, describe when it should be used and give a real-world example.</t>
        </is>
      </c>
    </row>
    <row r="35" ht="18" customHeight="1">
      <c r="A35" s="11" t="inlineStr">
        <is>
          <t>Answer:</t>
        </is>
      </c>
    </row>
    <row r="36" ht="18" customHeight="1"/>
    <row r="37" ht="18" customHeight="1"/>
    <row r="38" ht="18" customHeight="1"/>
    <row r="39" ht="30" customHeight="1">
      <c r="A39" s="10" t="inlineStr">
        <is>
          <t>Q2 (10 Marks)</t>
        </is>
      </c>
      <c r="B39" s="7" t="inlineStr">
        <is>
          <t>Explain the steps to create a Pivot Table. What are the four areas of a Pivot Table? Define each.</t>
        </is>
      </c>
    </row>
    <row r="40" ht="18" customHeight="1">
      <c r="A40" s="11" t="inlineStr">
        <is>
          <t>Answer:</t>
        </is>
      </c>
    </row>
    <row r="41" ht="18" customHeight="1"/>
    <row r="42" ht="18" customHeight="1"/>
    <row r="43" ht="18" customHeight="1"/>
    <row r="44" ht="30" customHeight="1">
      <c r="A44" s="10" t="inlineStr">
        <is>
          <t>Q3 (10 Marks)</t>
        </is>
      </c>
      <c r="B44" s="7" t="inlineStr">
        <is>
          <t>What is Conditional Formatting? Describe how to create a rule to highlight cells with values greater than the average of a range.</t>
        </is>
      </c>
    </row>
    <row r="45" ht="18" customHeight="1">
      <c r="A45" s="11" t="inlineStr">
        <is>
          <t>Answer:</t>
        </is>
      </c>
    </row>
    <row r="46" ht="18" customHeight="1"/>
    <row r="47" ht="18" customHeight="1"/>
    <row r="48" ht="18" customHeight="1"/>
    <row r="49" ht="30" customHeight="1">
      <c r="A49" s="10" t="inlineStr">
        <is>
          <t>Q4 (10 Marks)</t>
        </is>
      </c>
      <c r="B49" s="7" t="inlineStr">
        <is>
          <t>What are Slicers in Excel? Explain how to add a Slicer to a Pivot Table and how it assists in data analysis.</t>
        </is>
      </c>
    </row>
    <row r="50" ht="18" customHeight="1">
      <c r="A50" s="11" t="inlineStr">
        <is>
          <t>Answer:</t>
        </is>
      </c>
    </row>
    <row r="51" ht="18" customHeight="1"/>
    <row r="52" ht="18" customHeight="1"/>
    <row r="53" ht="18" customHeight="1"/>
    <row r="54" ht="30" customHeight="1">
      <c r="A54" s="10" t="inlineStr">
        <is>
          <t>Q5 (10 Marks)</t>
        </is>
      </c>
      <c r="B54" s="7" t="inlineStr">
        <is>
          <t>Describe the steps to create a Combo chart in Excel that shows Sales as columns and Profit % as a line on a secondary axis.</t>
        </is>
      </c>
    </row>
    <row r="55" ht="18" customHeight="1">
      <c r="A55" s="11" t="inlineStr">
        <is>
          <t>Answer:</t>
        </is>
      </c>
    </row>
    <row r="56" ht="18" customHeight="1"/>
    <row r="57" ht="18" customHeight="1"/>
    <row r="58" ht="18" customHeight="1"/>
    <row r="60" ht="20" customHeight="1">
      <c r="A60" s="12" t="inlineStr">
        <is>
          <t>SECTION C – Case Study Based Questions (50 Marks)</t>
        </is>
      </c>
    </row>
    <row r="61" ht="40" customHeight="1">
      <c r="A61" s="13" t="inlineStr">
        <is>
          <t>Case Study: GlobalTrade Co. has quarterly sales data for 4 products across 4 regions (North, South, East, West) for 2023 and 2024. The dataset is in the 'Dataset 3' sheet.</t>
        </is>
      </c>
    </row>
    <row r="62"/>
    <row r="63" ht="32" customHeight="1">
      <c r="A63" s="14" t="inlineStr">
        <is>
          <t>C1 (15 Marks)</t>
        </is>
      </c>
      <c r="B63" s="7" t="inlineStr">
        <is>
          <t>Create a Pivot Table from Dataset 3 showing total sales by Region and Product for each year. Describe the steps and the layout you would use.</t>
        </is>
      </c>
    </row>
    <row r="64" ht="18" customHeight="1">
      <c r="A64" s="11" t="inlineStr">
        <is>
          <t>Answer:</t>
        </is>
      </c>
    </row>
    <row r="65" ht="18" customHeight="1"/>
    <row r="66" ht="18" customHeight="1"/>
    <row r="67" ht="18" customHeight="1"/>
    <row r="68" ht="32" customHeight="1">
      <c r="A68" s="14" t="inlineStr">
        <is>
          <t>C2 (15 Marks)</t>
        </is>
      </c>
      <c r="B68" s="7" t="inlineStr">
        <is>
          <t>Using the Pivot Table, create a Clustered Column PivotChart. Add data labels and a chart title. Describe how to format it professionally.</t>
        </is>
      </c>
    </row>
    <row r="69" ht="18" customHeight="1">
      <c r="A69" s="11" t="inlineStr">
        <is>
          <t>Answer:</t>
        </is>
      </c>
    </row>
    <row r="70" ht="18" customHeight="1"/>
    <row r="71" ht="18" customHeight="1"/>
    <row r="72" ht="18" customHeight="1"/>
    <row r="73" ht="32" customHeight="1">
      <c r="A73" s="14" t="inlineStr">
        <is>
          <t>C3 (20 Marks)</t>
        </is>
      </c>
      <c r="B73" s="7" t="inlineStr">
        <is>
          <t>Management wants a dashboard showing: (a) Region-wise total sales using a bar chart, (b) Year-over-year growth % using a line chart, and (c) Top product per region using a Pivot Table with slicers. Describe the complete design and formulas/features used.</t>
        </is>
      </c>
    </row>
    <row r="74" ht="18" customHeight="1">
      <c r="A74" s="11" t="inlineStr">
        <is>
          <t>Answer:</t>
        </is>
      </c>
    </row>
    <row r="75" ht="18" customHeight="1"/>
    <row r="76" ht="18" customHeight="1"/>
    <row r="77" ht="18" customHeight="1"/>
  </sheetData>
  <mergeCells count="22">
    <mergeCell ref="A40:J43"/>
    <mergeCell ref="A61:J62"/>
    <mergeCell ref="A4:J4"/>
    <mergeCell ref="A64:J67"/>
    <mergeCell ref="A69:J72"/>
    <mergeCell ref="B73:J73"/>
    <mergeCell ref="A45:J48"/>
    <mergeCell ref="B44:J44"/>
    <mergeCell ref="B34:J34"/>
    <mergeCell ref="A74:J77"/>
    <mergeCell ref="A50:J53"/>
    <mergeCell ref="B49:J49"/>
    <mergeCell ref="A55:J58"/>
    <mergeCell ref="A60:J60"/>
    <mergeCell ref="B68:J68"/>
    <mergeCell ref="A1:J1"/>
    <mergeCell ref="B63:J63"/>
    <mergeCell ref="B54:J54"/>
    <mergeCell ref="A2:J2"/>
    <mergeCell ref="B39:J39"/>
    <mergeCell ref="A35:J38"/>
    <mergeCell ref="A33:J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2" customHeight="1">
      <c r="A1" s="1" t="inlineStr">
        <is>
          <t>ASSIGNMENT 4 – Data Management &amp; Analysis</t>
        </is>
      </c>
    </row>
    <row r="2" ht="22" customHeight="1">
      <c r="A2" s="2" t="inlineStr">
        <is>
          <t>Total Marks: 200  |  Section A: MCQ (100)  |  Section B: Short Answer (50)  |  Section C: Case Study (50)</t>
        </is>
      </c>
    </row>
    <row r="4" ht="20" customHeight="1">
      <c r="A4" s="4" t="inlineStr">
        <is>
          <t>SECTION A – Multiple Choice Questions (100 Marks | 4 Marks Each | 25 Questions)</t>
        </is>
      </c>
    </row>
    <row r="5">
      <c r="A5" s="5" t="inlineStr">
        <is>
          <t>Instructions: Choose the most appropriate answer.</t>
        </is>
      </c>
    </row>
    <row r="7" ht="26" customHeight="1">
      <c r="A7" s="6" t="inlineStr">
        <is>
          <t>Q1</t>
        </is>
      </c>
      <c r="B7" s="7" t="inlineStr">
        <is>
          <t>Which Excel feature allows you to test multiple input values for a formula?</t>
        </is>
      </c>
      <c r="C7" s="8" t="inlineStr">
        <is>
          <t>A) Goal Seek</t>
        </is>
      </c>
      <c r="D7" s="8" t="inlineStr">
        <is>
          <t>B) Data Table</t>
        </is>
      </c>
      <c r="E7" s="8" t="inlineStr">
        <is>
          <t>C) Solver</t>
        </is>
      </c>
      <c r="F7" s="8" t="inlineStr">
        <is>
          <t>D) Scenario Manager</t>
        </is>
      </c>
    </row>
    <row r="8" ht="26" customHeight="1">
      <c r="A8" s="6" t="inlineStr">
        <is>
          <t>Q2</t>
        </is>
      </c>
      <c r="B8" s="7" t="inlineStr">
        <is>
          <t>Data Validation restricts:</t>
        </is>
      </c>
      <c r="C8" s="8" t="inlineStr">
        <is>
          <t>A) Chart types</t>
        </is>
      </c>
      <c r="D8" s="8" t="inlineStr">
        <is>
          <t>B) The type/range of data entered in a cell</t>
        </is>
      </c>
      <c r="E8" s="8" t="inlineStr">
        <is>
          <t>C) Formula results</t>
        </is>
      </c>
      <c r="F8" s="8" t="inlineStr">
        <is>
          <t>D) Sheet colours</t>
        </is>
      </c>
    </row>
    <row r="9" ht="26" customHeight="1">
      <c r="A9" s="6" t="inlineStr">
        <is>
          <t>Q3</t>
        </is>
      </c>
      <c r="B9" s="7" t="inlineStr">
        <is>
          <t>Which tool finds a value that produces a desired formula result?</t>
        </is>
      </c>
      <c r="C9" s="8" t="inlineStr">
        <is>
          <t>A) Filter</t>
        </is>
      </c>
      <c r="D9" s="8" t="inlineStr">
        <is>
          <t>B) Goal Seek</t>
        </is>
      </c>
      <c r="E9" s="8" t="inlineStr">
        <is>
          <t>C) Trace Precedents</t>
        </is>
      </c>
      <c r="F9" s="8" t="inlineStr">
        <is>
          <t>D) Watch Window</t>
        </is>
      </c>
    </row>
    <row r="10" ht="26" customHeight="1">
      <c r="A10" s="6" t="inlineStr">
        <is>
          <t>Q4</t>
        </is>
      </c>
      <c r="B10" s="7" t="inlineStr">
        <is>
          <t>What does the 'Text to Columns' feature do?</t>
        </is>
      </c>
      <c r="C10" s="8" t="inlineStr">
        <is>
          <t>A) Creates text boxes</t>
        </is>
      </c>
      <c r="D10" s="8" t="inlineStr">
        <is>
          <t>B) Splits one column into multiple based on a delimiter</t>
        </is>
      </c>
      <c r="E10" s="8" t="inlineStr">
        <is>
          <t>C) Converts numbers to text</t>
        </is>
      </c>
      <c r="F10" s="8" t="inlineStr">
        <is>
          <t>D) Merges columns</t>
        </is>
      </c>
    </row>
    <row r="11" ht="26" customHeight="1">
      <c r="A11" s="6" t="inlineStr">
        <is>
          <t>Q5</t>
        </is>
      </c>
      <c r="B11" s="7" t="inlineStr">
        <is>
          <t>Which function checks if two values are exactly equal (case-sensitive)?</t>
        </is>
      </c>
      <c r="C11" s="8" t="inlineStr">
        <is>
          <t>A) EXACT</t>
        </is>
      </c>
      <c r="D11" s="8" t="inlineStr">
        <is>
          <t>B) EQUAL</t>
        </is>
      </c>
      <c r="E11" s="8" t="inlineStr">
        <is>
          <t>C) COMPARE</t>
        </is>
      </c>
      <c r="F11" s="8" t="inlineStr">
        <is>
          <t>D) SAME</t>
        </is>
      </c>
    </row>
    <row r="12" ht="26" customHeight="1">
      <c r="A12" s="6" t="inlineStr">
        <is>
          <t>Q6</t>
        </is>
      </c>
      <c r="B12" s="7" t="inlineStr">
        <is>
          <t>Power Query is used for:</t>
        </is>
      </c>
      <c r="C12" s="8" t="inlineStr">
        <is>
          <t>A) Creating macros</t>
        </is>
      </c>
      <c r="D12" s="8" t="inlineStr">
        <is>
          <t>B) Importing and transforming data from multiple sources</t>
        </is>
      </c>
      <c r="E12" s="8" t="inlineStr">
        <is>
          <t>C) Drawing charts</t>
        </is>
      </c>
      <c r="F12" s="8" t="inlineStr">
        <is>
          <t>D) Managing worksheets</t>
        </is>
      </c>
    </row>
    <row r="13" ht="26" customHeight="1">
      <c r="A13" s="6" t="inlineStr">
        <is>
          <t>Q7</t>
        </is>
      </c>
      <c r="B13" s="7" t="inlineStr">
        <is>
          <t>The UNIQUE function returns:</t>
        </is>
      </c>
      <c r="C13" s="8" t="inlineStr">
        <is>
          <t>A) A single value</t>
        </is>
      </c>
      <c r="D13" s="8" t="inlineStr">
        <is>
          <t>B) A list of unique values from a range</t>
        </is>
      </c>
      <c r="E13" s="8" t="inlineStr">
        <is>
          <t>C) Unique formatting</t>
        </is>
      </c>
      <c r="F13" s="8" t="inlineStr">
        <is>
          <t>D) The first value</t>
        </is>
      </c>
    </row>
    <row r="14" ht="26" customHeight="1">
      <c r="A14" s="6" t="inlineStr">
        <is>
          <t>Q8</t>
        </is>
      </c>
      <c r="B14" s="7" t="inlineStr">
        <is>
          <t>Advanced Filter in Excel allows:</t>
        </is>
      </c>
      <c r="C14" s="8" t="inlineStr">
        <is>
          <t>A) Only simple text filters</t>
        </is>
      </c>
      <c r="D14" s="8" t="inlineStr">
        <is>
          <t>B) Filtering with complex criteria and copying results</t>
        </is>
      </c>
      <c r="E14" s="8" t="inlineStr">
        <is>
          <t>C) Sorting data</t>
        </is>
      </c>
      <c r="F14" s="8" t="inlineStr">
        <is>
          <t>D) Creating pivot tables</t>
        </is>
      </c>
    </row>
    <row r="15" ht="26" customHeight="1">
      <c r="A15" s="6" t="inlineStr">
        <is>
          <t>Q9</t>
        </is>
      </c>
      <c r="B15" s="7" t="inlineStr">
        <is>
          <t>Which function sorts an array dynamically?</t>
        </is>
      </c>
      <c r="C15" s="8" t="inlineStr">
        <is>
          <t>A) RANK</t>
        </is>
      </c>
      <c r="D15" s="8" t="inlineStr">
        <is>
          <t>B) SMALL</t>
        </is>
      </c>
      <c r="E15" s="8" t="inlineStr">
        <is>
          <t>C) SORT</t>
        </is>
      </c>
      <c r="F15" s="8" t="inlineStr">
        <is>
          <t>D) ORDER</t>
        </is>
      </c>
    </row>
    <row r="16" ht="26" customHeight="1">
      <c r="A16" s="6" t="inlineStr">
        <is>
          <t>Q10</t>
        </is>
      </c>
      <c r="B16" s="7" t="inlineStr">
        <is>
          <t>What does FILTER function do?</t>
        </is>
      </c>
      <c r="C16" s="8" t="inlineStr">
        <is>
          <t>A) Hides rows</t>
        </is>
      </c>
      <c r="D16" s="8" t="inlineStr">
        <is>
          <t>B) Returns rows meeting specified criteria as a dynamic array</t>
        </is>
      </c>
      <c r="E16" s="8" t="inlineStr">
        <is>
          <t>C) Deletes blank rows</t>
        </is>
      </c>
      <c r="F16" s="8" t="inlineStr">
        <is>
          <t>D) Formats cells</t>
        </is>
      </c>
    </row>
    <row r="17" ht="26" customHeight="1">
      <c r="A17" s="6" t="inlineStr">
        <is>
          <t>Q11</t>
        </is>
      </c>
      <c r="B17" s="7" t="inlineStr">
        <is>
          <t>Solver in Excel is an advanced version of:</t>
        </is>
      </c>
      <c r="C17" s="8" t="inlineStr">
        <is>
          <t>A) AutoSum</t>
        </is>
      </c>
      <c r="D17" s="8" t="inlineStr">
        <is>
          <t>B) Goal Seek (handles multiple variables/constraints)</t>
        </is>
      </c>
      <c r="E17" s="8" t="inlineStr">
        <is>
          <t>C) VLOOKUP</t>
        </is>
      </c>
      <c r="F17" s="8" t="inlineStr">
        <is>
          <t>D) Conditional Formatting</t>
        </is>
      </c>
    </row>
    <row r="18" ht="26" customHeight="1">
      <c r="A18" s="6" t="inlineStr">
        <is>
          <t>Q12</t>
        </is>
      </c>
      <c r="B18" s="7" t="inlineStr">
        <is>
          <t>Which tab contains 'What-If Analysis'?</t>
        </is>
      </c>
      <c r="C18" s="8" t="inlineStr">
        <is>
          <t>A) Home</t>
        </is>
      </c>
      <c r="D18" s="8" t="inlineStr">
        <is>
          <t>B) Insert</t>
        </is>
      </c>
      <c r="E18" s="8" t="inlineStr">
        <is>
          <t>C) Data</t>
        </is>
      </c>
      <c r="F18" s="8" t="inlineStr">
        <is>
          <t>D) Review</t>
        </is>
      </c>
    </row>
    <row r="19" ht="26" customHeight="1">
      <c r="A19" s="6" t="inlineStr">
        <is>
          <t>Q13</t>
        </is>
      </c>
      <c r="B19" s="7" t="inlineStr">
        <is>
          <t>Data consolidation in Excel is used to:</t>
        </is>
      </c>
      <c r="C19" s="8" t="inlineStr">
        <is>
          <t>A) Remove duplicates</t>
        </is>
      </c>
      <c r="D19" s="8" t="inlineStr">
        <is>
          <t>B) Combine data from multiple ranges into one summary</t>
        </is>
      </c>
      <c r="E19" s="8" t="inlineStr">
        <is>
          <t>C) Protect data</t>
        </is>
      </c>
      <c r="F19" s="8" t="inlineStr">
        <is>
          <t>D) Sort data</t>
        </is>
      </c>
    </row>
    <row r="20" ht="26" customHeight="1">
      <c r="A20" s="6" t="inlineStr">
        <is>
          <t>Q14</t>
        </is>
      </c>
      <c r="B20" s="7" t="inlineStr">
        <is>
          <t>XLOOKUP was introduced in:</t>
        </is>
      </c>
      <c r="C20" s="8" t="inlineStr">
        <is>
          <t>A) Excel 2010</t>
        </is>
      </c>
      <c r="D20" s="8" t="inlineStr">
        <is>
          <t>B) Excel 2016</t>
        </is>
      </c>
      <c r="E20" s="8" t="inlineStr">
        <is>
          <t>C) Excel 365/2019</t>
        </is>
      </c>
      <c r="F20" s="8" t="inlineStr">
        <is>
          <t>D) Excel 2013</t>
        </is>
      </c>
    </row>
    <row r="21" ht="26" customHeight="1">
      <c r="A21" s="6" t="inlineStr">
        <is>
          <t>Q15</t>
        </is>
      </c>
      <c r="B21" s="7" t="inlineStr">
        <is>
          <t>Which feature creates a dynamic connection to external data sources?</t>
        </is>
      </c>
      <c r="C21" s="8" t="inlineStr">
        <is>
          <t>A) Paste Special</t>
        </is>
      </c>
      <c r="D21" s="8" t="inlineStr">
        <is>
          <t>B) Power Query / Get &amp; Transform</t>
        </is>
      </c>
      <c r="E21" s="8" t="inlineStr">
        <is>
          <t>C) Name Manager</t>
        </is>
      </c>
      <c r="F21" s="8" t="inlineStr">
        <is>
          <t>D) Data Validation</t>
        </is>
      </c>
    </row>
    <row r="22" ht="26" customHeight="1">
      <c r="A22" s="6" t="inlineStr">
        <is>
          <t>Q16</t>
        </is>
      </c>
      <c r="B22" s="7" t="inlineStr">
        <is>
          <t>The SUBTOTAL function ignores:</t>
        </is>
      </c>
      <c r="C22" s="8" t="inlineStr">
        <is>
          <t>A) Formulas</t>
        </is>
      </c>
      <c r="D22" s="8" t="inlineStr">
        <is>
          <t>B) Hidden rows when using certain function numbers</t>
        </is>
      </c>
      <c r="E22" s="8" t="inlineStr">
        <is>
          <t>C) Text cells</t>
        </is>
      </c>
      <c r="F22" s="8" t="inlineStr">
        <is>
          <t>D) Blank cells</t>
        </is>
      </c>
    </row>
    <row r="23" ht="26" customHeight="1">
      <c r="A23" s="6" t="inlineStr">
        <is>
          <t>Q17</t>
        </is>
      </c>
      <c r="B23" s="7" t="inlineStr">
        <is>
          <t>Flash Fill was introduced in:</t>
        </is>
      </c>
      <c r="C23" s="8" t="inlineStr">
        <is>
          <t>A) Excel 2007</t>
        </is>
      </c>
      <c r="D23" s="8" t="inlineStr">
        <is>
          <t>B) Excel 2010</t>
        </is>
      </c>
      <c r="E23" s="8" t="inlineStr">
        <is>
          <t>C) Excel 2013</t>
        </is>
      </c>
      <c r="F23" s="8" t="inlineStr">
        <is>
          <t>D) Excel 2016</t>
        </is>
      </c>
    </row>
    <row r="24" ht="26" customHeight="1">
      <c r="A24" s="6" t="inlineStr">
        <is>
          <t>Q18</t>
        </is>
      </c>
      <c r="B24" s="7" t="inlineStr">
        <is>
          <t>Which function returns multiple values spilled into adjacent cells?</t>
        </is>
      </c>
      <c r="C24" s="8" t="inlineStr">
        <is>
          <t>A) VLOOKUP</t>
        </is>
      </c>
      <c r="D24" s="8" t="inlineStr">
        <is>
          <t>B) Dynamic array functions (FILTER, SORT, UNIQUE)</t>
        </is>
      </c>
      <c r="E24" s="8" t="inlineStr">
        <is>
          <t>C) SUMIFS</t>
        </is>
      </c>
      <c r="F24" s="8" t="inlineStr">
        <is>
          <t>D) INDEX</t>
        </is>
      </c>
    </row>
    <row r="25" ht="26" customHeight="1">
      <c r="A25" s="6" t="inlineStr">
        <is>
          <t>Q19</t>
        </is>
      </c>
      <c r="B25" s="7" t="inlineStr">
        <is>
          <t>NETWORKDAYS function calculates:</t>
        </is>
      </c>
      <c r="C25" s="8" t="inlineStr">
        <is>
          <t>A) Total days</t>
        </is>
      </c>
      <c r="D25" s="8" t="inlineStr">
        <is>
          <t>B) Working days between two dates excluding weekends and holidays</t>
        </is>
      </c>
      <c r="E25" s="8" t="inlineStr">
        <is>
          <t>C) Network speed</t>
        </is>
      </c>
      <c r="F25" s="8" t="inlineStr">
        <is>
          <t>D) Calendar months</t>
        </is>
      </c>
    </row>
    <row r="26" ht="26" customHeight="1">
      <c r="A26" s="6" t="inlineStr">
        <is>
          <t>Q20</t>
        </is>
      </c>
      <c r="B26" s="7" t="inlineStr">
        <is>
          <t>What is a structured reference in an Excel Table?</t>
        </is>
      </c>
      <c r="C26" s="8" t="inlineStr">
        <is>
          <t>A) A cell reference using row numbers</t>
        </is>
      </c>
      <c r="D26" s="8" t="inlineStr">
        <is>
          <t>B) Using table/column names instead of cell addresses</t>
        </is>
      </c>
      <c r="E26" s="8" t="inlineStr">
        <is>
          <t>C) An absolute reference</t>
        </is>
      </c>
      <c r="F26" s="8" t="inlineStr">
        <is>
          <t>D) A reference to another workbook</t>
        </is>
      </c>
    </row>
    <row r="27" ht="26" customHeight="1">
      <c r="A27" s="6" t="inlineStr">
        <is>
          <t>Q21</t>
        </is>
      </c>
      <c r="B27" s="7" t="inlineStr">
        <is>
          <t>Which shortcut converts a range to an Excel Table?</t>
        </is>
      </c>
      <c r="C27" s="8" t="inlineStr">
        <is>
          <t>A) Ctrl+L or Ctrl+T</t>
        </is>
      </c>
      <c r="D27" s="8" t="inlineStr">
        <is>
          <t>B) Ctrl+E</t>
        </is>
      </c>
      <c r="E27" s="8" t="inlineStr">
        <is>
          <t>C) Ctrl+D</t>
        </is>
      </c>
      <c r="F27" s="8" t="inlineStr">
        <is>
          <t>D) Alt+T</t>
        </is>
      </c>
    </row>
    <row r="28" ht="26" customHeight="1">
      <c r="A28" s="6" t="inlineStr">
        <is>
          <t>Q22</t>
        </is>
      </c>
      <c r="B28" s="7" t="inlineStr">
        <is>
          <t>What does FORMULATEXT function do?</t>
        </is>
      </c>
      <c r="C28" s="8" t="inlineStr">
        <is>
          <t>A) Evaluates a formula</t>
        </is>
      </c>
      <c r="D28" s="8" t="inlineStr">
        <is>
          <t>B) Returns the formula text of a referenced cell as a string</t>
        </is>
      </c>
      <c r="E28" s="8" t="inlineStr">
        <is>
          <t>C) Checks formula errors</t>
        </is>
      </c>
      <c r="F28" s="8" t="inlineStr">
        <is>
          <t>D) Counts formulas</t>
        </is>
      </c>
    </row>
    <row r="29" ht="26" customHeight="1">
      <c r="A29" s="6" t="inlineStr">
        <is>
          <t>Q23</t>
        </is>
      </c>
      <c r="B29" s="7" t="inlineStr">
        <is>
          <t>The Scenario Manager allows you to save and compare:</t>
        </is>
      </c>
      <c r="C29" s="8" t="inlineStr">
        <is>
          <t>A) Different chart styles</t>
        </is>
      </c>
      <c r="D29" s="8" t="inlineStr">
        <is>
          <t>B) Multiple sets of input values for what-if analysis</t>
        </is>
      </c>
      <c r="E29" s="8" t="inlineStr">
        <is>
          <t>C) Formatting options</t>
        </is>
      </c>
      <c r="F29" s="8" t="inlineStr">
        <is>
          <t>D) Print settings</t>
        </is>
      </c>
    </row>
    <row r="30" ht="26" customHeight="1">
      <c r="A30" s="6" t="inlineStr">
        <is>
          <t>Q24</t>
        </is>
      </c>
      <c r="B30" s="7" t="inlineStr">
        <is>
          <t>Which function returns the nth largest value?</t>
        </is>
      </c>
      <c r="C30" s="8" t="inlineStr">
        <is>
          <t>A) MAX</t>
        </is>
      </c>
      <c r="D30" s="8" t="inlineStr">
        <is>
          <t>B) RANK</t>
        </is>
      </c>
      <c r="E30" s="8" t="inlineStr">
        <is>
          <t>C) LARGE</t>
        </is>
      </c>
      <c r="F30" s="8" t="inlineStr">
        <is>
          <t>D) TOP</t>
        </is>
      </c>
    </row>
    <row r="31" ht="26" customHeight="1">
      <c r="A31" s="6" t="inlineStr">
        <is>
          <t>Q25</t>
        </is>
      </c>
      <c r="B31" s="7" t="inlineStr">
        <is>
          <t>Data bars in Conditional Formatting:</t>
        </is>
      </c>
      <c r="C31" s="8" t="inlineStr">
        <is>
          <t>A) Add 3D effects</t>
        </is>
      </c>
      <c r="D31" s="8" t="inlineStr">
        <is>
          <t>B) Show relative magnitude inside cells visually</t>
        </is>
      </c>
      <c r="E31" s="8" t="inlineStr">
        <is>
          <t>C) Filter data</t>
        </is>
      </c>
      <c r="F31" s="8" t="inlineStr">
        <is>
          <t>D) Sort data</t>
        </is>
      </c>
    </row>
    <row r="33" ht="20" customHeight="1">
      <c r="A33" s="9" t="inlineStr">
        <is>
          <t>SECTION B – Short Answer Questions (50 Marks | 10 Marks Each | 5 Questions)</t>
        </is>
      </c>
    </row>
    <row r="34" ht="30" customHeight="1">
      <c r="A34" s="10" t="inlineStr">
        <is>
          <t>Q1 (10 Marks)</t>
        </is>
      </c>
      <c r="B34" s="7" t="inlineStr">
        <is>
          <t>Explain Data Validation in Excel. Describe how to restrict a cell to accept only whole numbers between 1 and 100, with an appropriate error message.</t>
        </is>
      </c>
    </row>
    <row r="35" ht="18" customHeight="1">
      <c r="A35" s="11" t="inlineStr">
        <is>
          <t>Answer:</t>
        </is>
      </c>
    </row>
    <row r="36" ht="18" customHeight="1"/>
    <row r="37" ht="18" customHeight="1"/>
    <row r="38" ht="18" customHeight="1"/>
    <row r="39" ht="30" customHeight="1">
      <c r="A39" s="10" t="inlineStr">
        <is>
          <t>Q2 (10 Marks)</t>
        </is>
      </c>
      <c r="B39" s="7" t="inlineStr">
        <is>
          <t>What is Goal Seek? Explain with an example: a loan where you know the desired EMI and need to find the maximum loan amount.</t>
        </is>
      </c>
    </row>
    <row r="40" ht="18" customHeight="1">
      <c r="A40" s="11" t="inlineStr">
        <is>
          <t>Answer:</t>
        </is>
      </c>
    </row>
    <row r="41" ht="18" customHeight="1"/>
    <row r="42" ht="18" customHeight="1"/>
    <row r="43" ht="18" customHeight="1"/>
    <row r="44" ht="30" customHeight="1">
      <c r="A44" s="10" t="inlineStr">
        <is>
          <t>Q3 (10 Marks)</t>
        </is>
      </c>
      <c r="B44" s="7" t="inlineStr">
        <is>
          <t>Explain the XLOOKUP function with syntax. Compare it with VLOOKUP highlighting three advantages.</t>
        </is>
      </c>
    </row>
    <row r="45" ht="18" customHeight="1">
      <c r="A45" s="11" t="inlineStr">
        <is>
          <t>Answer:</t>
        </is>
      </c>
    </row>
    <row r="46" ht="18" customHeight="1"/>
    <row r="47" ht="18" customHeight="1"/>
    <row r="48" ht="18" customHeight="1"/>
    <row r="49" ht="30" customHeight="1">
      <c r="A49" s="10" t="inlineStr">
        <is>
          <t>Q4 (10 Marks)</t>
        </is>
      </c>
      <c r="B49" s="7" t="inlineStr">
        <is>
          <t>What is Power Query? List five data transformation operations you can perform using Power Query.</t>
        </is>
      </c>
    </row>
    <row r="50" ht="18" customHeight="1">
      <c r="A50" s="11" t="inlineStr">
        <is>
          <t>Answer:</t>
        </is>
      </c>
    </row>
    <row r="51" ht="18" customHeight="1"/>
    <row r="52" ht="18" customHeight="1"/>
    <row r="53" ht="18" customHeight="1"/>
    <row r="54" ht="30" customHeight="1">
      <c r="A54" s="10" t="inlineStr">
        <is>
          <t>Q5 (10 Marks)</t>
        </is>
      </c>
      <c r="B54" s="7" t="inlineStr">
        <is>
          <t>Explain the FILTER and SORT dynamic array functions with examples. What version of Excel supports them?</t>
        </is>
      </c>
    </row>
    <row r="55" ht="18" customHeight="1">
      <c r="A55" s="11" t="inlineStr">
        <is>
          <t>Answer:</t>
        </is>
      </c>
    </row>
    <row r="56" ht="18" customHeight="1"/>
    <row r="57" ht="18" customHeight="1"/>
    <row r="58" ht="18" customHeight="1"/>
    <row r="60" ht="20" customHeight="1">
      <c r="A60" s="12" t="inlineStr">
        <is>
          <t>SECTION C – Case Study Based Questions (50 Marks)</t>
        </is>
      </c>
    </row>
    <row r="61" ht="40" customHeight="1">
      <c r="A61" s="13" t="inlineStr">
        <is>
          <t>Case Study: MedPlus Pharmacy manages inventory of 20 medicines. The dataset (Dataset 4 sheet) has: Medicine ID, Name, Category, Stock Qty, Reorder Level, Unit Cost, Total Value, Expiry Date, Status.</t>
        </is>
      </c>
    </row>
    <row r="62"/>
    <row r="63" ht="32" customHeight="1">
      <c r="A63" s="14" t="inlineStr">
        <is>
          <t>C1 (15 Marks)</t>
        </is>
      </c>
      <c r="B63" s="7" t="inlineStr">
        <is>
          <t>Use Data Validation to create a dropdown list for the 'Status' column with options: In Stock, Low Stock, Out of Stock. Describe all the steps.</t>
        </is>
      </c>
    </row>
    <row r="64" ht="18" customHeight="1">
      <c r="A64" s="11" t="inlineStr">
        <is>
          <t>Answer:</t>
        </is>
      </c>
    </row>
    <row r="65" ht="18" customHeight="1"/>
    <row r="66" ht="18" customHeight="1"/>
    <row r="67" ht="18" customHeight="1"/>
    <row r="68" ht="32" customHeight="1">
      <c r="A68" s="14" t="inlineStr">
        <is>
          <t>C2 (15 Marks)</t>
        </is>
      </c>
      <c r="B68" s="7" t="inlineStr">
        <is>
          <t>Write a formula using IF and comparison operators to automatically set Status: 'Out of Stock' if qty=0, 'Low Stock' if qty≤Reorder Level, else 'In Stock'. Apply Conditional Formatting to highlight each status with different colours.</t>
        </is>
      </c>
    </row>
    <row r="69" ht="18" customHeight="1">
      <c r="A69" s="11" t="inlineStr">
        <is>
          <t>Answer:</t>
        </is>
      </c>
    </row>
    <row r="70" ht="18" customHeight="1"/>
    <row r="71" ht="18" customHeight="1"/>
    <row r="72" ht="18" customHeight="1"/>
    <row r="73" ht="32" customHeight="1">
      <c r="A73" s="14" t="inlineStr">
        <is>
          <t>C3 (20 Marks)</t>
        </is>
      </c>
      <c r="B73" s="7" t="inlineStr">
        <is>
          <t>Management needs a summary report showing: (a) Total inventory value by Category using SUMIF, (b) Count of items below reorder level using COUNTIF, (c) Items expiring within the next 30 days using TODAY() and DATEDIF, (d) Top 3 highest-value items using LARGE. Write all formulas.</t>
        </is>
      </c>
    </row>
    <row r="74" ht="18" customHeight="1">
      <c r="A74" s="11" t="inlineStr">
        <is>
          <t>Answer:</t>
        </is>
      </c>
    </row>
    <row r="75" ht="18" customHeight="1"/>
    <row r="76" ht="18" customHeight="1"/>
    <row r="77" ht="18" customHeight="1"/>
  </sheetData>
  <mergeCells count="22">
    <mergeCell ref="A40:J43"/>
    <mergeCell ref="A61:J62"/>
    <mergeCell ref="A4:J4"/>
    <mergeCell ref="A64:J67"/>
    <mergeCell ref="A69:J72"/>
    <mergeCell ref="B73:J73"/>
    <mergeCell ref="A45:J48"/>
    <mergeCell ref="B44:J44"/>
    <mergeCell ref="B34:J34"/>
    <mergeCell ref="A74:J77"/>
    <mergeCell ref="A50:J53"/>
    <mergeCell ref="B49:J49"/>
    <mergeCell ref="A55:J58"/>
    <mergeCell ref="A60:J60"/>
    <mergeCell ref="B68:J68"/>
    <mergeCell ref="A1:J1"/>
    <mergeCell ref="B63:J63"/>
    <mergeCell ref="B54:J54"/>
    <mergeCell ref="A2:J2"/>
    <mergeCell ref="B39:J39"/>
    <mergeCell ref="A35:J38"/>
    <mergeCell ref="A33:J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2" customHeight="1">
      <c r="A1" s="1" t="inlineStr">
        <is>
          <t>ASSIGNMENT 5 – Advanced Excel: Macros, VBA &amp; Financial Modelling</t>
        </is>
      </c>
    </row>
    <row r="2" ht="22" customHeight="1">
      <c r="A2" s="2" t="inlineStr">
        <is>
          <t>Total Marks: 200  |  Section A: MCQ (100)  |  Section B: Short Answer (50)  |  Section C: Case Study (50)</t>
        </is>
      </c>
    </row>
    <row r="4" ht="20" customHeight="1">
      <c r="A4" s="4" t="inlineStr">
        <is>
          <t>SECTION A – Multiple Choice Questions (100 Marks | 4 Marks Each | 25 Questions)</t>
        </is>
      </c>
    </row>
    <row r="5">
      <c r="A5" s="5" t="inlineStr">
        <is>
          <t>Instructions: Select the single best answer.</t>
        </is>
      </c>
    </row>
    <row r="7" ht="26" customHeight="1">
      <c r="A7" s="6" t="inlineStr">
        <is>
          <t>Q1</t>
        </is>
      </c>
      <c r="B7" s="7" t="inlineStr">
        <is>
          <t>VBA stands for:</t>
        </is>
      </c>
      <c r="C7" s="8" t="inlineStr">
        <is>
          <t>A) Visual Basic Application</t>
        </is>
      </c>
      <c r="D7" s="8" t="inlineStr">
        <is>
          <t>B) Visual Basic for Applications</t>
        </is>
      </c>
      <c r="E7" s="8" t="inlineStr">
        <is>
          <t>C) Variable Based Automation</t>
        </is>
      </c>
      <c r="F7" s="8" t="inlineStr">
        <is>
          <t>D) Verified Basic Algorithm</t>
        </is>
      </c>
    </row>
    <row r="8" ht="26" customHeight="1">
      <c r="A8" s="6" t="inlineStr">
        <is>
          <t>Q2</t>
        </is>
      </c>
      <c r="B8" s="7" t="inlineStr">
        <is>
          <t>Which shortcut opens the VBA editor in Excel?</t>
        </is>
      </c>
      <c r="C8" s="8" t="inlineStr">
        <is>
          <t>A) Ctrl+V</t>
        </is>
      </c>
      <c r="D8" s="8" t="inlineStr">
        <is>
          <t>B) Alt+F11</t>
        </is>
      </c>
      <c r="E8" s="8" t="inlineStr">
        <is>
          <t>C) Ctrl+F8</t>
        </is>
      </c>
      <c r="F8" s="8" t="inlineStr">
        <is>
          <t>D) Alt+M</t>
        </is>
      </c>
    </row>
    <row r="9" ht="26" customHeight="1">
      <c r="A9" s="6" t="inlineStr">
        <is>
          <t>Q3</t>
        </is>
      </c>
      <c r="B9" s="7" t="inlineStr">
        <is>
          <t>A Macro in Excel is:</t>
        </is>
      </c>
      <c r="C9" s="8" t="inlineStr">
        <is>
          <t>A) A type of chart</t>
        </is>
      </c>
      <c r="D9" s="8" t="inlineStr">
        <is>
          <t>B) A recorded sequence of actions to automate tasks</t>
        </is>
      </c>
      <c r="E9" s="8" t="inlineStr">
        <is>
          <t>C) A formatting style</t>
        </is>
      </c>
      <c r="F9" s="8" t="inlineStr">
        <is>
          <t>D) A type of formula</t>
        </is>
      </c>
    </row>
    <row r="10" ht="26" customHeight="1">
      <c r="A10" s="6" t="inlineStr">
        <is>
          <t>Q4</t>
        </is>
      </c>
      <c r="B10" s="7" t="inlineStr">
        <is>
          <t>Which tab must be enabled to record a macro?</t>
        </is>
      </c>
      <c r="C10" s="8" t="inlineStr">
        <is>
          <t>A) Home</t>
        </is>
      </c>
      <c r="D10" s="8" t="inlineStr">
        <is>
          <t>B) Insert</t>
        </is>
      </c>
      <c r="E10" s="8" t="inlineStr">
        <is>
          <t>C) Developer</t>
        </is>
      </c>
      <c r="F10" s="8" t="inlineStr">
        <is>
          <t>D) View</t>
        </is>
      </c>
    </row>
    <row r="11" ht="26" customHeight="1">
      <c r="A11" s="6" t="inlineStr">
        <is>
          <t>Q5</t>
        </is>
      </c>
      <c r="B11" s="7" t="inlineStr">
        <is>
          <t>In VBA, 'Sub' refers to:</t>
        </is>
      </c>
      <c r="C11" s="8" t="inlineStr">
        <is>
          <t>A) A subscript</t>
        </is>
      </c>
      <c r="D11" s="8" t="inlineStr">
        <is>
          <t>B) A subroutine/procedure that performs actions</t>
        </is>
      </c>
      <c r="E11" s="8" t="inlineStr">
        <is>
          <t>C) A subquery</t>
        </is>
      </c>
      <c r="F11" s="8" t="inlineStr">
        <is>
          <t>D) Subtract operation</t>
        </is>
      </c>
    </row>
    <row r="12" ht="26" customHeight="1">
      <c r="A12" s="6" t="inlineStr">
        <is>
          <t>Q6</t>
        </is>
      </c>
      <c r="B12" s="7" t="inlineStr">
        <is>
          <t>Which VBA object represents an Excel worksheet?</t>
        </is>
      </c>
      <c r="C12" s="8" t="inlineStr">
        <is>
          <t>A) Workbook</t>
        </is>
      </c>
      <c r="D12" s="8" t="inlineStr">
        <is>
          <t>B) Sheet</t>
        </is>
      </c>
      <c r="E12" s="8" t="inlineStr">
        <is>
          <t>C) Worksheet</t>
        </is>
      </c>
      <c r="F12" s="8" t="inlineStr">
        <is>
          <t>D) Range</t>
        </is>
      </c>
    </row>
    <row r="13" ht="26" customHeight="1">
      <c r="A13" s="6" t="inlineStr">
        <is>
          <t>Q7</t>
        </is>
      </c>
      <c r="B13" s="7" t="inlineStr">
        <is>
          <t>MsgBox in VBA is used to:</t>
        </is>
      </c>
      <c r="C13" s="8" t="inlineStr">
        <is>
          <t>A) Send email</t>
        </is>
      </c>
      <c r="D13" s="8" t="inlineStr">
        <is>
          <t>B) Display a message dialog box</t>
        </is>
      </c>
      <c r="E13" s="8" t="inlineStr">
        <is>
          <t>C) Create a pivot table</t>
        </is>
      </c>
      <c r="F13" s="8" t="inlineStr">
        <is>
          <t>D) Format cells</t>
        </is>
      </c>
    </row>
    <row r="14" ht="26" customHeight="1">
      <c r="A14" s="6" t="inlineStr">
        <is>
          <t>Q8</t>
        </is>
      </c>
      <c r="B14" s="7" t="inlineStr">
        <is>
          <t>Which statement is used for conditional logic in VBA?</t>
        </is>
      </c>
      <c r="C14" s="8" t="inlineStr">
        <is>
          <t>A) FOR...NEXT</t>
        </is>
      </c>
      <c r="D14" s="8" t="inlineStr">
        <is>
          <t>B) IF...THEN...ELSE</t>
        </is>
      </c>
      <c r="E14" s="8" t="inlineStr">
        <is>
          <t>C) DO...WHILE</t>
        </is>
      </c>
      <c r="F14" s="8" t="inlineStr">
        <is>
          <t>D) SELECT CASE</t>
        </is>
      </c>
    </row>
    <row r="15" ht="26" customHeight="1">
      <c r="A15" s="6" t="inlineStr">
        <is>
          <t>Q9</t>
        </is>
      </c>
      <c r="B15" s="7" t="inlineStr">
        <is>
          <t>NPV and IRR are functions used in:</t>
        </is>
      </c>
      <c r="C15" s="8" t="inlineStr">
        <is>
          <t>A) Text analysis</t>
        </is>
      </c>
      <c r="D15" s="8" t="inlineStr">
        <is>
          <t>B) Financial modelling and investment analysis</t>
        </is>
      </c>
      <c r="E15" s="8" t="inlineStr">
        <is>
          <t>C) Data sorting</t>
        </is>
      </c>
      <c r="F15" s="8" t="inlineStr">
        <is>
          <t>D) Chart formatting</t>
        </is>
      </c>
    </row>
    <row r="16" ht="26" customHeight="1">
      <c r="A16" s="6" t="inlineStr">
        <is>
          <t>Q10</t>
        </is>
      </c>
      <c r="B16" s="7" t="inlineStr">
        <is>
          <t>The PMT function syntax is PMT(rate, nper, pv). 'nper' stands for:</t>
        </is>
      </c>
      <c r="C16" s="8" t="inlineStr">
        <is>
          <t>A) Net period</t>
        </is>
      </c>
      <c r="D16" s="8" t="inlineStr">
        <is>
          <t>B) Number of periods</t>
        </is>
      </c>
      <c r="E16" s="8" t="inlineStr">
        <is>
          <t>C) Negative period</t>
        </is>
      </c>
      <c r="F16" s="8" t="inlineStr">
        <is>
          <t>D) Net present rate</t>
        </is>
      </c>
    </row>
    <row r="17" ht="26" customHeight="1">
      <c r="A17" s="6" t="inlineStr">
        <is>
          <t>Q11</t>
        </is>
      </c>
      <c r="B17" s="7" t="inlineStr">
        <is>
          <t>What does IRR calculate?</t>
        </is>
      </c>
      <c r="C17" s="8" t="inlineStr">
        <is>
          <t>A) Initial Rate of Return</t>
        </is>
      </c>
      <c r="D17" s="8" t="inlineStr">
        <is>
          <t>B) Internal Rate of Return</t>
        </is>
      </c>
      <c r="E17" s="8" t="inlineStr">
        <is>
          <t>C) Indexed Rate of Revenue</t>
        </is>
      </c>
      <c r="F17" s="8" t="inlineStr">
        <is>
          <t>D) Interest Rate Range</t>
        </is>
      </c>
    </row>
    <row r="18" ht="26" customHeight="1">
      <c r="A18" s="6" t="inlineStr">
        <is>
          <t>Q12</t>
        </is>
      </c>
      <c r="B18" s="7" t="inlineStr">
        <is>
          <t>A macro stored in 'Personal Macro Workbook' is available:</t>
        </is>
      </c>
      <c r="C18" s="8" t="inlineStr">
        <is>
          <t>A) Only in the current file</t>
        </is>
      </c>
      <c r="D18" s="8" t="inlineStr">
        <is>
          <t>B) In all Excel workbooks</t>
        </is>
      </c>
      <c r="E18" s="8" t="inlineStr">
        <is>
          <t>C) Only when Developer tab is open</t>
        </is>
      </c>
      <c r="F18" s="8" t="inlineStr">
        <is>
          <t>D) Only on that computer's session</t>
        </is>
      </c>
    </row>
    <row r="19" ht="26" customHeight="1">
      <c r="A19" s="6" t="inlineStr">
        <is>
          <t>Q13</t>
        </is>
      </c>
      <c r="B19" s="7" t="inlineStr">
        <is>
          <t>Which VBA loop runs a specified number of times?</t>
        </is>
      </c>
      <c r="C19" s="8" t="inlineStr">
        <is>
          <t>A) Do While</t>
        </is>
      </c>
      <c r="D19" s="8" t="inlineStr">
        <is>
          <t>B) For...Next</t>
        </is>
      </c>
      <c r="E19" s="8" t="inlineStr">
        <is>
          <t>C) While...Wend</t>
        </is>
      </c>
      <c r="F19" s="8" t="inlineStr">
        <is>
          <t>D) Loop Until</t>
        </is>
      </c>
    </row>
    <row r="20" ht="26" customHeight="1">
      <c r="A20" s="6" t="inlineStr">
        <is>
          <t>Q14</t>
        </is>
      </c>
      <c r="B20" s="7" t="inlineStr">
        <is>
          <t>UserForm in VBA is used to:</t>
        </is>
      </c>
      <c r="C20" s="8" t="inlineStr">
        <is>
          <t>A) Format user data</t>
        </is>
      </c>
      <c r="D20" s="8" t="inlineStr">
        <is>
          <t>B) Create custom dialog boxes for user input</t>
        </is>
      </c>
      <c r="E20" s="8" t="inlineStr">
        <is>
          <t>C) Import data</t>
        </is>
      </c>
      <c r="F20" s="8" t="inlineStr">
        <is>
          <t>D) Define user roles</t>
        </is>
      </c>
    </row>
    <row r="21" ht="26" customHeight="1">
      <c r="A21" s="6" t="inlineStr">
        <is>
          <t>Q15</t>
        </is>
      </c>
      <c r="B21" s="7" t="inlineStr">
        <is>
          <t>Which function calculates the future value of an investment?</t>
        </is>
      </c>
      <c r="C21" s="8" t="inlineStr">
        <is>
          <t>A) PV</t>
        </is>
      </c>
      <c r="D21" s="8" t="inlineStr">
        <is>
          <t>B) NPV</t>
        </is>
      </c>
      <c r="E21" s="8" t="inlineStr">
        <is>
          <t>C) FV</t>
        </is>
      </c>
      <c r="F21" s="8" t="inlineStr">
        <is>
          <t>D) PMT</t>
        </is>
      </c>
    </row>
    <row r="22" ht="26" customHeight="1">
      <c r="A22" s="6" t="inlineStr">
        <is>
          <t>Q16</t>
        </is>
      </c>
      <c r="B22" s="7" t="inlineStr">
        <is>
          <t>XNPV differs from NPV because it:</t>
        </is>
      </c>
      <c r="C22" s="8" t="inlineStr">
        <is>
          <t>A) Is faster</t>
        </is>
      </c>
      <c r="D22" s="8" t="inlineStr">
        <is>
          <t>B) Handles irregular (non-periodic) cash flows with exact dates</t>
        </is>
      </c>
      <c r="E22" s="8" t="inlineStr">
        <is>
          <t>C) Uses different discount rates</t>
        </is>
      </c>
      <c r="F22" s="8" t="inlineStr">
        <is>
          <t>D) Does not require a rate</t>
        </is>
      </c>
    </row>
    <row r="23" ht="26" customHeight="1">
      <c r="A23" s="6" t="inlineStr">
        <is>
          <t>Q17</t>
        </is>
      </c>
      <c r="B23" s="7" t="inlineStr">
        <is>
          <t>Relative macro recording means the macro actions are:</t>
        </is>
      </c>
      <c r="C23" s="8" t="inlineStr">
        <is>
          <t>A) Fixed to specific cells</t>
        </is>
      </c>
      <c r="D23" s="8" t="inlineStr">
        <is>
          <t>B) Relative to the active cell position when run</t>
        </is>
      </c>
      <c r="E23" s="8" t="inlineStr">
        <is>
          <t>C) Stored in a template</t>
        </is>
      </c>
      <c r="F23" s="8" t="inlineStr">
        <is>
          <t>D) Applied to all sheets</t>
        </is>
      </c>
    </row>
    <row r="24" ht="26" customHeight="1">
      <c r="A24" s="6" t="inlineStr">
        <is>
          <t>Q18</t>
        </is>
      </c>
      <c r="B24" s="7" t="inlineStr">
        <is>
          <t>Which VBA object is used to refer to a cell or range?</t>
        </is>
      </c>
      <c r="C24" s="8" t="inlineStr">
        <is>
          <t>A) Cell</t>
        </is>
      </c>
      <c r="D24" s="8" t="inlineStr">
        <is>
          <t>B) Sheet</t>
        </is>
      </c>
      <c r="E24" s="8" t="inlineStr">
        <is>
          <t>C) Range</t>
        </is>
      </c>
      <c r="F24" s="8" t="inlineStr">
        <is>
          <t>D) Address</t>
        </is>
      </c>
    </row>
    <row r="25" ht="26" customHeight="1">
      <c r="A25" s="6" t="inlineStr">
        <is>
          <t>Q19</t>
        </is>
      </c>
      <c r="B25" s="7" t="inlineStr">
        <is>
          <t>A breakeven analysis model calculates:</t>
        </is>
      </c>
      <c r="C25" s="8" t="inlineStr">
        <is>
          <t>A) Maximum revenue</t>
        </is>
      </c>
      <c r="D25" s="8" t="inlineStr">
        <is>
          <t>B) The point where total revenue equals total cost</t>
        </is>
      </c>
      <c r="E25" s="8" t="inlineStr">
        <is>
          <t>C) Tax liability</t>
        </is>
      </c>
      <c r="F25" s="8" t="inlineStr">
        <is>
          <t>D) Return on equity</t>
        </is>
      </c>
    </row>
    <row r="26" ht="26" customHeight="1">
      <c r="A26" s="6" t="inlineStr">
        <is>
          <t>Q20</t>
        </is>
      </c>
      <c r="B26" s="7" t="inlineStr">
        <is>
          <t>Sensitivity analysis in a financial model tests:</t>
        </is>
      </c>
      <c r="C26" s="8" t="inlineStr">
        <is>
          <t>A) Data integrity</t>
        </is>
      </c>
      <c r="D26" s="8" t="inlineStr">
        <is>
          <t>B) How output changes when input assumptions change</t>
        </is>
      </c>
      <c r="E26" s="8" t="inlineStr">
        <is>
          <t>C) Formula accuracy</t>
        </is>
      </c>
      <c r="F26" s="8" t="inlineStr">
        <is>
          <t>D) Chart responsiveness</t>
        </is>
      </c>
    </row>
    <row r="27" ht="26" customHeight="1">
      <c r="A27" s="6" t="inlineStr">
        <is>
          <t>Q21</t>
        </is>
      </c>
      <c r="B27" s="7" t="inlineStr">
        <is>
          <t>Which Excel feature runs a macro when a specific event occurs (e.g., sheet open)?</t>
        </is>
      </c>
      <c r="C27" s="8" t="inlineStr">
        <is>
          <t>A) Named Range</t>
        </is>
      </c>
      <c r="D27" s="8" t="inlineStr">
        <is>
          <t>B) Event-driven VBA macros (Workbook_Open)</t>
        </is>
      </c>
      <c r="E27" s="8" t="inlineStr">
        <is>
          <t>C) AutoFill</t>
        </is>
      </c>
      <c r="F27" s="8" t="inlineStr">
        <is>
          <t>D) Conditional Formatting</t>
        </is>
      </c>
    </row>
    <row r="28" ht="26" customHeight="1">
      <c r="A28" s="6" t="inlineStr">
        <is>
          <t>Q22</t>
        </is>
      </c>
      <c r="B28" s="7" t="inlineStr">
        <is>
          <t>DCF stands for in finance modelling:</t>
        </is>
      </c>
      <c r="C28" s="8" t="inlineStr">
        <is>
          <t>A) Data Control Framework</t>
        </is>
      </c>
      <c r="D28" s="8" t="inlineStr">
        <is>
          <t>B) Discounted Cash Flow</t>
        </is>
      </c>
      <c r="E28" s="8" t="inlineStr">
        <is>
          <t>C) Direct Cost Formula</t>
        </is>
      </c>
      <c r="F28" s="8" t="inlineStr">
        <is>
          <t>D) Dynamic Chart Format</t>
        </is>
      </c>
    </row>
    <row r="29" ht="26" customHeight="1">
      <c r="A29" s="6" t="inlineStr">
        <is>
          <t>Q23</t>
        </is>
      </c>
      <c r="B29" s="7" t="inlineStr">
        <is>
          <t>Which function counts the days between two dates for financial calculations?</t>
        </is>
      </c>
      <c r="C29" s="8" t="inlineStr">
        <is>
          <t>A) DAYS360</t>
        </is>
      </c>
      <c r="D29" s="8" t="inlineStr">
        <is>
          <t>B) DATEDIF</t>
        </is>
      </c>
      <c r="E29" s="8" t="inlineStr">
        <is>
          <t>C) YEARFRAC</t>
        </is>
      </c>
      <c r="F29" s="8" t="inlineStr">
        <is>
          <t>D) All of the above</t>
        </is>
      </c>
    </row>
    <row r="30" ht="26" customHeight="1">
      <c r="A30" s="6" t="inlineStr">
        <is>
          <t>Q24</t>
        </is>
      </c>
      <c r="B30" s="7" t="inlineStr">
        <is>
          <t>Protecting a worksheet in Excel prevents:</t>
        </is>
      </c>
      <c r="C30" s="8" t="inlineStr">
        <is>
          <t>A) Opening the file</t>
        </is>
      </c>
      <c r="D30" s="8" t="inlineStr">
        <is>
          <t>B) Unauthorised changes to cells/structure</t>
        </is>
      </c>
      <c r="E30" s="8" t="inlineStr">
        <is>
          <t>C) Running macros</t>
        </is>
      </c>
      <c r="F30" s="8" t="inlineStr">
        <is>
          <t>D) Saving the file</t>
        </is>
      </c>
    </row>
    <row r="31" ht="26" customHeight="1">
      <c r="A31" s="6" t="inlineStr">
        <is>
          <t>Q25</t>
        </is>
      </c>
      <c r="B31" s="7" t="inlineStr">
        <is>
          <t>Which keyboard shortcut runs a macro in Excel?</t>
        </is>
      </c>
      <c r="C31" s="8" t="inlineStr">
        <is>
          <t>A) Ctrl+M</t>
        </is>
      </c>
      <c r="D31" s="8" t="inlineStr">
        <is>
          <t>B) Alt+F8</t>
        </is>
      </c>
      <c r="E31" s="8" t="inlineStr">
        <is>
          <t>C) Ctrl+R</t>
        </is>
      </c>
      <c r="F31" s="8" t="inlineStr">
        <is>
          <t>D) F5</t>
        </is>
      </c>
    </row>
    <row r="33" ht="20" customHeight="1">
      <c r="A33" s="9" t="inlineStr">
        <is>
          <t>SECTION B – Short Answer Questions (50 Marks | 10 Marks Each | 5 Questions)</t>
        </is>
      </c>
    </row>
    <row r="34" ht="30" customHeight="1">
      <c r="A34" s="10" t="inlineStr">
        <is>
          <t>Q1 (10 Marks)</t>
        </is>
      </c>
      <c r="B34" s="7" t="inlineStr">
        <is>
          <t>Explain the steps to record, save, and run a macro in Excel. What is the difference between absolute and relative macro recording?</t>
        </is>
      </c>
    </row>
    <row r="35" ht="18" customHeight="1">
      <c r="A35" s="11" t="inlineStr">
        <is>
          <t>Answer:</t>
        </is>
      </c>
    </row>
    <row r="36" ht="18" customHeight="1"/>
    <row r="37" ht="18" customHeight="1"/>
    <row r="38" ht="18" customHeight="1"/>
    <row r="39" ht="30" customHeight="1">
      <c r="A39" s="10" t="inlineStr">
        <is>
          <t>Q2 (10 Marks)</t>
        </is>
      </c>
      <c r="B39" s="7" t="inlineStr">
        <is>
          <t>Write a VBA subroutine that loops through cells A1:A10 and highlights in yellow any cell with a value greater than 50.</t>
        </is>
      </c>
    </row>
    <row r="40" ht="18" customHeight="1">
      <c r="A40" s="11" t="inlineStr">
        <is>
          <t>Answer:</t>
        </is>
      </c>
    </row>
    <row r="41" ht="18" customHeight="1"/>
    <row r="42" ht="18" customHeight="1"/>
    <row r="43" ht="18" customHeight="1"/>
    <row r="44" ht="30" customHeight="1">
      <c r="A44" s="10" t="inlineStr">
        <is>
          <t>Q3 (10 Marks)</t>
        </is>
      </c>
      <c r="B44" s="7" t="inlineStr">
        <is>
          <t>Explain PMT, PV, FV, and RATE functions with syntax. Show how to calculate the monthly EMI for a ₹500,000 loan at 8% p.a. for 5 years.</t>
        </is>
      </c>
    </row>
    <row r="45" ht="18" customHeight="1">
      <c r="A45" s="11" t="inlineStr">
        <is>
          <t>Answer:</t>
        </is>
      </c>
    </row>
    <row r="46" ht="18" customHeight="1"/>
    <row r="47" ht="18" customHeight="1"/>
    <row r="48" ht="18" customHeight="1"/>
    <row r="49" ht="30" customHeight="1">
      <c r="A49" s="10" t="inlineStr">
        <is>
          <t>Q4 (10 Marks)</t>
        </is>
      </c>
      <c r="B49" s="7" t="inlineStr">
        <is>
          <t>What is a DCF (Discounted Cash Flow) model? List the steps to build a simple 5-year DCF model in Excel with NPV and IRR calculations.</t>
        </is>
      </c>
    </row>
    <row r="50" ht="18" customHeight="1">
      <c r="A50" s="11" t="inlineStr">
        <is>
          <t>Answer:</t>
        </is>
      </c>
    </row>
    <row r="51" ht="18" customHeight="1"/>
    <row r="52" ht="18" customHeight="1"/>
    <row r="53" ht="18" customHeight="1"/>
    <row r="54" ht="30" customHeight="1">
      <c r="A54" s="10" t="inlineStr">
        <is>
          <t>Q5 (10 Marks)</t>
        </is>
      </c>
      <c r="B54" s="7" t="inlineStr">
        <is>
          <t>Describe how to protect a workbook and individual worksheets in Excel. What is the difference between workbook-level and worksheet-level protection?</t>
        </is>
      </c>
    </row>
    <row r="55" ht="18" customHeight="1">
      <c r="A55" s="11" t="inlineStr">
        <is>
          <t>Answer:</t>
        </is>
      </c>
    </row>
    <row r="56" ht="18" customHeight="1"/>
    <row r="57" ht="18" customHeight="1"/>
    <row r="58" ht="18" customHeight="1"/>
    <row r="60" ht="20" customHeight="1">
      <c r="A60" s="12" t="inlineStr">
        <is>
          <t>SECTION C – Case Study Based Questions (50 Marks)</t>
        </is>
      </c>
    </row>
    <row r="61" ht="40" customHeight="1">
      <c r="A61" s="13" t="inlineStr">
        <is>
          <t>Case Study: StartupX is raising ₹50 Lakhs in funding. The investor wants a 5-year financial projection model. The Dataset 5 sheet contains projected revenues, fixed costs, variable costs, and the discount rate. Use it to build a mini financial model.</t>
        </is>
      </c>
    </row>
    <row r="62"/>
    <row r="63" ht="32" customHeight="1">
      <c r="A63" s="14" t="inlineStr">
        <is>
          <t>C1 (15 Marks)</t>
        </is>
      </c>
      <c r="B63" s="7" t="inlineStr">
        <is>
          <t>Using Dataset 5, build a Profit &amp; Loss summary for Years 1-5: Revenue – Variable Cost – Fixed Cost = EBITDA. Calculate EBITDA margin % for each year. Show all formulas.</t>
        </is>
      </c>
    </row>
    <row r="64" ht="18" customHeight="1">
      <c r="A64" s="11" t="inlineStr">
        <is>
          <t>Answer:</t>
        </is>
      </c>
    </row>
    <row r="65" ht="18" customHeight="1"/>
    <row r="66" ht="18" customHeight="1"/>
    <row r="67" ht="18" customHeight="1"/>
    <row r="68" ht="32" customHeight="1">
      <c r="A68" s="14" t="inlineStr">
        <is>
          <t>C2 (15 Marks)</t>
        </is>
      </c>
      <c r="B68" s="7" t="inlineStr">
        <is>
          <t>Calculate NPV and IRR from the projected Free Cash Flows in Dataset 5. Interpret the results: should the investor fund StartupX? Justify using the numbers.</t>
        </is>
      </c>
    </row>
    <row r="69" ht="18" customHeight="1">
      <c r="A69" s="11" t="inlineStr">
        <is>
          <t>Answer:</t>
        </is>
      </c>
    </row>
    <row r="70" ht="18" customHeight="1"/>
    <row r="71" ht="18" customHeight="1"/>
    <row r="72" ht="18" customHeight="1"/>
    <row r="73" ht="32" customHeight="1">
      <c r="A73" s="14" t="inlineStr">
        <is>
          <t>C3 (20 Marks)</t>
        </is>
      </c>
      <c r="B73" s="7" t="inlineStr">
        <is>
          <t>Build a Sensitivity Analysis table (Data Table) showing how NPV changes when the discount rate varies from 8% to 16% (step 2%) and revenue growth changes from 10% to 30% (step 5%). Describe the steps to create a two-variable data table and interpret the results.</t>
        </is>
      </c>
    </row>
    <row r="74" ht="18" customHeight="1">
      <c r="A74" s="11" t="inlineStr">
        <is>
          <t>Answer:</t>
        </is>
      </c>
    </row>
    <row r="75" ht="18" customHeight="1"/>
    <row r="76" ht="18" customHeight="1"/>
    <row r="77" ht="18" customHeight="1"/>
  </sheetData>
  <mergeCells count="22">
    <mergeCell ref="A40:J43"/>
    <mergeCell ref="A61:J62"/>
    <mergeCell ref="A4:J4"/>
    <mergeCell ref="A64:J67"/>
    <mergeCell ref="A69:J72"/>
    <mergeCell ref="B73:J73"/>
    <mergeCell ref="A45:J48"/>
    <mergeCell ref="B44:J44"/>
    <mergeCell ref="B34:J34"/>
    <mergeCell ref="A74:J77"/>
    <mergeCell ref="A50:J53"/>
    <mergeCell ref="B49:J49"/>
    <mergeCell ref="A55:J58"/>
    <mergeCell ref="A60:J60"/>
    <mergeCell ref="B68:J68"/>
    <mergeCell ref="A1:J1"/>
    <mergeCell ref="B63:J63"/>
    <mergeCell ref="B54:J54"/>
    <mergeCell ref="A2:J2"/>
    <mergeCell ref="B39:J39"/>
    <mergeCell ref="A35:J38"/>
    <mergeCell ref="A33:J3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2" customHeight="1">
      <c r="A1" s="1" t="inlineStr">
        <is>
          <t>ANSWER KEY – Assignment 1 (Basics &amp; Data Entry)</t>
        </is>
      </c>
    </row>
    <row r="2" ht="22" customHeight="1">
      <c r="A2" s="2" t="inlineStr">
        <is>
          <t>For Instructor/Evaluator Use Only – Confidential</t>
        </is>
      </c>
    </row>
    <row r="4" ht="20" customHeight="1">
      <c r="A4" s="4" t="inlineStr">
        <is>
          <t>SECTION A – MCQ Answer Key</t>
        </is>
      </c>
    </row>
    <row r="5">
      <c r="A5" s="15" t="inlineStr">
        <is>
          <t>Question</t>
        </is>
      </c>
      <c r="B5" s="15" t="inlineStr">
        <is>
          <t>Correct Answer</t>
        </is>
      </c>
      <c r="C5" s="15" t="inlineStr">
        <is>
          <t>Marks</t>
        </is>
      </c>
    </row>
    <row r="6">
      <c r="A6" s="8" t="inlineStr">
        <is>
          <t>Q1</t>
        </is>
      </c>
      <c r="B6" s="16" t="inlineStr">
        <is>
          <t>B</t>
        </is>
      </c>
      <c r="C6" s="8" t="n">
        <v>4</v>
      </c>
    </row>
    <row r="7">
      <c r="A7" s="8" t="inlineStr">
        <is>
          <t>Q2</t>
        </is>
      </c>
      <c r="B7" s="16" t="inlineStr">
        <is>
          <t>C</t>
        </is>
      </c>
      <c r="C7" s="8" t="n">
        <v>4</v>
      </c>
    </row>
    <row r="8">
      <c r="A8" s="8" t="inlineStr">
        <is>
          <t>Q3</t>
        </is>
      </c>
      <c r="B8" s="16" t="inlineStr">
        <is>
          <t>C</t>
        </is>
      </c>
      <c r="C8" s="8" t="n">
        <v>4</v>
      </c>
    </row>
    <row r="9">
      <c r="A9" s="8" t="inlineStr">
        <is>
          <t>Q4</t>
        </is>
      </c>
      <c r="B9" s="16" t="inlineStr">
        <is>
          <t>A</t>
        </is>
      </c>
      <c r="C9" s="8" t="n">
        <v>4</v>
      </c>
    </row>
    <row r="10">
      <c r="A10" s="8" t="inlineStr">
        <is>
          <t>Q5</t>
        </is>
      </c>
      <c r="B10" s="16" t="inlineStr">
        <is>
          <t>C</t>
        </is>
      </c>
      <c r="C10" s="8" t="n">
        <v>4</v>
      </c>
    </row>
    <row r="11">
      <c r="A11" s="8" t="inlineStr">
        <is>
          <t>Q6</t>
        </is>
      </c>
      <c r="B11" s="16" t="inlineStr">
        <is>
          <t>C</t>
        </is>
      </c>
      <c r="C11" s="8" t="n">
        <v>4</v>
      </c>
    </row>
    <row r="12">
      <c r="A12" s="8" t="inlineStr">
        <is>
          <t>Q7</t>
        </is>
      </c>
      <c r="B12" s="16" t="inlineStr">
        <is>
          <t>D</t>
        </is>
      </c>
      <c r="C12" s="8" t="n">
        <v>4</v>
      </c>
    </row>
    <row r="13">
      <c r="A13" s="8" t="inlineStr">
        <is>
          <t>Q8</t>
        </is>
      </c>
      <c r="B13" s="16" t="inlineStr">
        <is>
          <t>B</t>
        </is>
      </c>
      <c r="C13" s="8" t="n">
        <v>4</v>
      </c>
    </row>
    <row r="14">
      <c r="A14" s="8" t="inlineStr">
        <is>
          <t>Q9</t>
        </is>
      </c>
      <c r="B14" s="16" t="inlineStr">
        <is>
          <t>B</t>
        </is>
      </c>
      <c r="C14" s="8" t="n">
        <v>4</v>
      </c>
    </row>
    <row r="15">
      <c r="A15" s="8" t="inlineStr">
        <is>
          <t>Q10</t>
        </is>
      </c>
      <c r="B15" s="16" t="inlineStr">
        <is>
          <t>C</t>
        </is>
      </c>
      <c r="C15" s="8" t="n">
        <v>4</v>
      </c>
    </row>
    <row r="16">
      <c r="A16" s="8" t="inlineStr">
        <is>
          <t>Q11</t>
        </is>
      </c>
      <c r="B16" s="16" t="inlineStr">
        <is>
          <t>C</t>
        </is>
      </c>
      <c r="C16" s="8" t="n">
        <v>4</v>
      </c>
    </row>
    <row r="17">
      <c r="A17" s="8" t="inlineStr">
        <is>
          <t>Q12</t>
        </is>
      </c>
      <c r="B17" s="16" t="inlineStr">
        <is>
          <t>D</t>
        </is>
      </c>
      <c r="C17" s="8" t="n">
        <v>4</v>
      </c>
    </row>
    <row r="18">
      <c r="A18" s="8" t="inlineStr">
        <is>
          <t>Q13</t>
        </is>
      </c>
      <c r="B18" s="16" t="inlineStr">
        <is>
          <t>B</t>
        </is>
      </c>
      <c r="C18" s="8" t="n">
        <v>4</v>
      </c>
    </row>
    <row r="19">
      <c r="A19" s="8" t="inlineStr">
        <is>
          <t>Q14</t>
        </is>
      </c>
      <c r="B19" s="16" t="inlineStr">
        <is>
          <t>B</t>
        </is>
      </c>
      <c r="C19" s="8" t="n">
        <v>4</v>
      </c>
    </row>
    <row r="20">
      <c r="A20" s="8" t="inlineStr">
        <is>
          <t>Q15</t>
        </is>
      </c>
      <c r="B20" s="16" t="inlineStr">
        <is>
          <t>C</t>
        </is>
      </c>
      <c r="C20" s="8" t="n">
        <v>4</v>
      </c>
    </row>
    <row r="21">
      <c r="A21" s="8" t="inlineStr">
        <is>
          <t>Q16</t>
        </is>
      </c>
      <c r="B21" s="16" t="inlineStr">
        <is>
          <t>A</t>
        </is>
      </c>
      <c r="C21" s="8" t="n">
        <v>4</v>
      </c>
    </row>
    <row r="22">
      <c r="A22" s="8" t="inlineStr">
        <is>
          <t>Q17</t>
        </is>
      </c>
      <c r="B22" s="16" t="inlineStr">
        <is>
          <t>C</t>
        </is>
      </c>
      <c r="C22" s="8" t="n">
        <v>4</v>
      </c>
    </row>
    <row r="23">
      <c r="A23" s="8" t="inlineStr">
        <is>
          <t>Q18</t>
        </is>
      </c>
      <c r="B23" s="16" t="inlineStr">
        <is>
          <t>B</t>
        </is>
      </c>
      <c r="C23" s="8" t="n">
        <v>4</v>
      </c>
    </row>
    <row r="24">
      <c r="A24" s="8" t="inlineStr">
        <is>
          <t>Q19</t>
        </is>
      </c>
      <c r="B24" s="16" t="inlineStr">
        <is>
          <t>C</t>
        </is>
      </c>
      <c r="C24" s="8" t="n">
        <v>4</v>
      </c>
    </row>
    <row r="25">
      <c r="A25" s="8" t="inlineStr">
        <is>
          <t>Q20</t>
        </is>
      </c>
      <c r="B25" s="16" t="inlineStr">
        <is>
          <t>B</t>
        </is>
      </c>
      <c r="C25" s="8" t="n">
        <v>4</v>
      </c>
    </row>
    <row r="26">
      <c r="A26" s="8" t="inlineStr">
        <is>
          <t>Q21</t>
        </is>
      </c>
      <c r="B26" s="16" t="inlineStr">
        <is>
          <t>B</t>
        </is>
      </c>
      <c r="C26" s="8" t="n">
        <v>4</v>
      </c>
    </row>
    <row r="27">
      <c r="A27" s="8" t="inlineStr">
        <is>
          <t>Q22</t>
        </is>
      </c>
      <c r="B27" s="16" t="inlineStr">
        <is>
          <t>C</t>
        </is>
      </c>
      <c r="C27" s="8" t="n">
        <v>4</v>
      </c>
    </row>
    <row r="28">
      <c r="A28" s="8" t="inlineStr">
        <is>
          <t>Q23</t>
        </is>
      </c>
      <c r="B28" s="16" t="inlineStr">
        <is>
          <t>B</t>
        </is>
      </c>
      <c r="C28" s="8" t="n">
        <v>4</v>
      </c>
    </row>
    <row r="29">
      <c r="A29" s="8" t="inlineStr">
        <is>
          <t>Q24</t>
        </is>
      </c>
      <c r="B29" s="16" t="inlineStr">
        <is>
          <t>B</t>
        </is>
      </c>
      <c r="C29" s="8" t="n">
        <v>4</v>
      </c>
    </row>
    <row r="30">
      <c r="A30" s="8" t="inlineStr">
        <is>
          <t>Q25</t>
        </is>
      </c>
      <c r="B30" s="16" t="inlineStr">
        <is>
          <t>B</t>
        </is>
      </c>
      <c r="C30" s="8" t="n">
        <v>4</v>
      </c>
    </row>
    <row r="31">
      <c r="A31" s="17" t="inlineStr">
        <is>
          <t>Total Section A</t>
        </is>
      </c>
      <c r="C31" s="17">
        <f>SUM(C6:C30)</f>
        <v/>
      </c>
    </row>
    <row r="33" ht="20" customHeight="1">
      <c r="A33" s="9" t="inlineStr">
        <is>
          <t>SECTION B – Short Answer Model Answers (10 Marks Each)</t>
        </is>
      </c>
    </row>
    <row r="34" ht="40" customHeight="1">
      <c r="A34" s="10" t="inlineStr">
        <is>
          <t>Q1</t>
        </is>
      </c>
      <c r="B34" s="18" t="inlineStr">
        <is>
          <t>Relative: changes with copy (A1→B1). Absolute: locked with $ (=$A$1). Mixed: one part locked (=$A1 or =A$1). Example: =$B$2*C3 — B2 stays fixed, C3 moves.</t>
        </is>
      </c>
    </row>
    <row r="35">
      <c r="A35" s="19" t="inlineStr">
        <is>
          <t>Marking</t>
        </is>
      </c>
      <c r="B35" s="20" t="inlineStr">
        <is>
          <t>Concept(4) + Explanation(4) + Example(2) = 10 marks</t>
        </is>
      </c>
    </row>
    <row r="36" ht="40" customHeight="1">
      <c r="A36" s="10" t="inlineStr">
        <is>
          <t>Q2</t>
        </is>
      </c>
      <c r="B36" s="18" t="inlineStr">
        <is>
          <t>SUM(range) – adds values; AVERAGE(range) – mean; COUNT(range) – counts numbers; IF(test,t,f) – conditional; VLOOKUP(val,range,col,0) – vertical lookup.</t>
        </is>
      </c>
    </row>
    <row r="37">
      <c r="A37" s="19" t="inlineStr">
        <is>
          <t>Marking</t>
        </is>
      </c>
      <c r="B37" s="20" t="inlineStr">
        <is>
          <t>Concept(4) + Explanation(4) + Example(2) = 10 marks</t>
        </is>
      </c>
    </row>
    <row r="38" ht="40" customHeight="1">
      <c r="A38" s="10" t="inlineStr">
        <is>
          <t>Q3</t>
        </is>
      </c>
      <c r="B38" s="18" t="inlineStr">
        <is>
          <t>AutoFill extends a series or repeats values by dragging the fill handle. Example: enter Jan in A1, drag down to get Feb, Mar,... automatically.</t>
        </is>
      </c>
    </row>
    <row r="39">
      <c r="A39" s="19" t="inlineStr">
        <is>
          <t>Marking</t>
        </is>
      </c>
      <c r="B39" s="20" t="inlineStr">
        <is>
          <t>Concept(4) + Explanation(4) + Example(2) = 10 marks</t>
        </is>
      </c>
    </row>
    <row r="40" ht="40" customHeight="1">
      <c r="A40" s="10" t="inlineStr">
        <is>
          <t>Q4</t>
        </is>
      </c>
      <c r="B40" s="18" t="inlineStr">
        <is>
          <t>Select range &gt; Right-click &gt; Format Cells &gt; Border tab (set border), Fill tab (set background), Font tab (set Bold). Click OK.</t>
        </is>
      </c>
    </row>
    <row r="41">
      <c r="A41" s="19" t="inlineStr">
        <is>
          <t>Marking</t>
        </is>
      </c>
      <c r="B41" s="20" t="inlineStr">
        <is>
          <t>Concept(4) + Explanation(4) + Example(2) = 10 marks</t>
        </is>
      </c>
    </row>
    <row r="42" ht="40" customHeight="1">
      <c r="A42" s="10" t="inlineStr">
        <is>
          <t>Q5</t>
        </is>
      </c>
      <c r="B42" s="18" t="inlineStr">
        <is>
          <t>Named range gives a cell/range a meaningful name. Create: Select range &gt; Formulas &gt; Define Name &gt; type name. Use in formula: =SUM(SalesData) instead of =SUM(B2:B20).</t>
        </is>
      </c>
    </row>
    <row r="43">
      <c r="A43" s="19" t="inlineStr">
        <is>
          <t>Marking</t>
        </is>
      </c>
      <c r="B43" s="20" t="inlineStr">
        <is>
          <t>Concept(4) + Explanation(4) + Example(2) = 10 marks</t>
        </is>
      </c>
    </row>
    <row r="45" ht="20" customHeight="1">
      <c r="A45" s="12" t="inlineStr">
        <is>
          <t>SECTION C – Case Study Model Answers</t>
        </is>
      </c>
    </row>
    <row r="46" ht="40" customHeight="1">
      <c r="A46" s="14" t="inlineStr">
        <is>
          <t>C1</t>
        </is>
      </c>
      <c r="B46" s="18">
        <f>SUM(E2:E21) for total units. =AVERAGE(E2:E21) for average. Verify column mappings in Dataset 1.</f>
        <v/>
      </c>
    </row>
    <row r="47">
      <c r="A47" s="19" t="inlineStr">
        <is>
          <t>Marks</t>
        </is>
      </c>
      <c r="B47" s="20" t="inlineStr">
        <is>
          <t>Total: 15 marks — allocate proportionally for each sub-part answered.</t>
        </is>
      </c>
    </row>
    <row r="48" ht="40" customHeight="1">
      <c r="A48" s="14" t="inlineStr">
        <is>
          <t>C2</t>
        </is>
      </c>
      <c r="B48" s="18" t="inlineStr">
        <is>
          <t>Select Total Sales column &gt; Home &gt; Conditional Formatting &gt; Highlight Cell Rules &gt; Greater Than &gt; 5000 &gt; choose red fill. Or New Rule with formula =F2&gt;5000.</t>
        </is>
      </c>
    </row>
    <row r="49">
      <c r="A49" s="19" t="inlineStr">
        <is>
          <t>Marks</t>
        </is>
      </c>
      <c r="B49" s="20" t="inlineStr">
        <is>
          <t>Total: 15 marks — allocate proportionally for each sub-part answered.</t>
        </is>
      </c>
    </row>
    <row r="50" ht="47" customHeight="1">
      <c r="A50" s="14" t="inlineStr">
        <is>
          <t>C3</t>
        </is>
      </c>
      <c r="B50" s="18">
        <f>LARGE(F2:F21,1) through LARGE(F2:F21,5) for top 5 values. Or use SORT/FILTER: =SORT(A2:F21,6,-1) and take first 5 rows. Alternatively, sort data on Total Sales descending and read first 5.</f>
        <v/>
      </c>
    </row>
    <row r="51">
      <c r="A51" s="19" t="inlineStr">
        <is>
          <t>Marks</t>
        </is>
      </c>
      <c r="B51" s="20" t="inlineStr">
        <is>
          <t>Total: 20 marks — allocate proportionally for each sub-part answered.</t>
        </is>
      </c>
    </row>
  </sheetData>
  <mergeCells count="26">
    <mergeCell ref="A35"/>
    <mergeCell ref="B42:J42"/>
    <mergeCell ref="A43"/>
    <mergeCell ref="A4:J4"/>
    <mergeCell ref="B38:J38"/>
    <mergeCell ref="B34:J34"/>
    <mergeCell ref="B37:J37"/>
    <mergeCell ref="A39"/>
    <mergeCell ref="B40:J40"/>
    <mergeCell ref="B49:J49"/>
    <mergeCell ref="A1:J1"/>
    <mergeCell ref="A45:J45"/>
    <mergeCell ref="B51:J51"/>
    <mergeCell ref="B36:J36"/>
    <mergeCell ref="B50:J50"/>
    <mergeCell ref="B41:J41"/>
    <mergeCell ref="B35:J35"/>
    <mergeCell ref="A41"/>
    <mergeCell ref="B47:J47"/>
    <mergeCell ref="A37"/>
    <mergeCell ref="B46:J46"/>
    <mergeCell ref="B48:J48"/>
    <mergeCell ref="A2:J2"/>
    <mergeCell ref="B43:J43"/>
    <mergeCell ref="B39:J39"/>
    <mergeCell ref="A33:J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2" customHeight="1">
      <c r="A1" s="1" t="inlineStr">
        <is>
          <t>ANSWER KEY – Assignment 2 (Formulas &amp; Functions)</t>
        </is>
      </c>
    </row>
    <row r="2" ht="22" customHeight="1">
      <c r="A2" s="2" t="inlineStr">
        <is>
          <t>For Instructor/Evaluator Use Only – Confidential</t>
        </is>
      </c>
    </row>
    <row r="4" ht="20" customHeight="1">
      <c r="A4" s="4" t="inlineStr">
        <is>
          <t>SECTION A – MCQ Answer Key</t>
        </is>
      </c>
    </row>
    <row r="5">
      <c r="A5" s="15" t="inlineStr">
        <is>
          <t>Question</t>
        </is>
      </c>
      <c r="B5" s="15" t="inlineStr">
        <is>
          <t>Correct Answer</t>
        </is>
      </c>
      <c r="C5" s="15" t="inlineStr">
        <is>
          <t>Marks</t>
        </is>
      </c>
    </row>
    <row r="6">
      <c r="A6" s="8" t="inlineStr">
        <is>
          <t>Q1</t>
        </is>
      </c>
      <c r="B6" s="16" t="inlineStr">
        <is>
          <t>B</t>
        </is>
      </c>
      <c r="C6" s="8" t="n">
        <v>4</v>
      </c>
    </row>
    <row r="7">
      <c r="A7" s="8" t="inlineStr">
        <is>
          <t>Q2</t>
        </is>
      </c>
      <c r="B7" s="16" t="inlineStr">
        <is>
          <t>B</t>
        </is>
      </c>
      <c r="C7" s="8" t="n">
        <v>4</v>
      </c>
    </row>
    <row r="8">
      <c r="A8" s="8" t="inlineStr">
        <is>
          <t>Q3</t>
        </is>
      </c>
      <c r="B8" s="16" t="inlineStr">
        <is>
          <t>B</t>
        </is>
      </c>
      <c r="C8" s="8" t="n">
        <v>4</v>
      </c>
    </row>
    <row r="9">
      <c r="A9" s="8" t="inlineStr">
        <is>
          <t>Q4</t>
        </is>
      </c>
      <c r="B9" s="16" t="inlineStr">
        <is>
          <t>C</t>
        </is>
      </c>
      <c r="C9" s="8" t="n">
        <v>4</v>
      </c>
    </row>
    <row r="10">
      <c r="A10" s="8" t="inlineStr">
        <is>
          <t>Q5</t>
        </is>
      </c>
      <c r="B10" s="16" t="inlineStr">
        <is>
          <t>B</t>
        </is>
      </c>
      <c r="C10" s="8" t="n">
        <v>4</v>
      </c>
    </row>
    <row r="11">
      <c r="A11" s="8" t="inlineStr">
        <is>
          <t>Q6</t>
        </is>
      </c>
      <c r="B11" s="16" t="inlineStr">
        <is>
          <t>C</t>
        </is>
      </c>
      <c r="C11" s="8" t="n">
        <v>4</v>
      </c>
    </row>
    <row r="12">
      <c r="A12" s="8" t="inlineStr">
        <is>
          <t>Q7</t>
        </is>
      </c>
      <c r="B12" s="16" t="inlineStr">
        <is>
          <t>C</t>
        </is>
      </c>
      <c r="C12" s="8" t="n">
        <v>4</v>
      </c>
    </row>
    <row r="13">
      <c r="A13" s="8" t="inlineStr">
        <is>
          <t>Q8</t>
        </is>
      </c>
      <c r="B13" s="16" t="inlineStr">
        <is>
          <t>B</t>
        </is>
      </c>
      <c r="C13" s="8" t="n">
        <v>4</v>
      </c>
    </row>
    <row r="14">
      <c r="A14" s="8" t="inlineStr">
        <is>
          <t>Q9</t>
        </is>
      </c>
      <c r="B14" s="16" t="inlineStr">
        <is>
          <t>B</t>
        </is>
      </c>
      <c r="C14" s="8" t="n">
        <v>4</v>
      </c>
    </row>
    <row r="15">
      <c r="A15" s="8" t="inlineStr">
        <is>
          <t>Q10</t>
        </is>
      </c>
      <c r="B15" s="16" t="inlineStr">
        <is>
          <t>B</t>
        </is>
      </c>
      <c r="C15" s="8" t="n">
        <v>4</v>
      </c>
    </row>
    <row r="16">
      <c r="A16" s="8" t="inlineStr">
        <is>
          <t>Q11</t>
        </is>
      </c>
      <c r="B16" s="16" t="inlineStr">
        <is>
          <t>B</t>
        </is>
      </c>
      <c r="C16" s="8" t="n">
        <v>4</v>
      </c>
    </row>
    <row r="17">
      <c r="A17" s="8" t="inlineStr">
        <is>
          <t>Q12</t>
        </is>
      </c>
      <c r="B17" s="16" t="inlineStr">
        <is>
          <t>C</t>
        </is>
      </c>
      <c r="C17" s="8" t="n">
        <v>4</v>
      </c>
    </row>
    <row r="18">
      <c r="A18" s="8" t="inlineStr">
        <is>
          <t>Q13</t>
        </is>
      </c>
      <c r="B18" s="16" t="inlineStr">
        <is>
          <t>C</t>
        </is>
      </c>
      <c r="C18" s="8" t="n">
        <v>4</v>
      </c>
    </row>
    <row r="19">
      <c r="A19" s="8" t="inlineStr">
        <is>
          <t>Q14</t>
        </is>
      </c>
      <c r="B19" s="16" t="inlineStr">
        <is>
          <t>B</t>
        </is>
      </c>
      <c r="C19" s="8" t="n">
        <v>4</v>
      </c>
    </row>
    <row r="20">
      <c r="A20" s="8" t="inlineStr">
        <is>
          <t>Q15</t>
        </is>
      </c>
      <c r="B20" s="16" t="inlineStr">
        <is>
          <t>C</t>
        </is>
      </c>
      <c r="C20" s="8" t="n">
        <v>4</v>
      </c>
    </row>
    <row r="21">
      <c r="A21" s="8" t="inlineStr">
        <is>
          <t>Q16</t>
        </is>
      </c>
      <c r="B21" s="16" t="inlineStr">
        <is>
          <t>C</t>
        </is>
      </c>
      <c r="C21" s="8" t="n">
        <v>4</v>
      </c>
    </row>
    <row r="22">
      <c r="A22" s="8" t="inlineStr">
        <is>
          <t>Q17</t>
        </is>
      </c>
      <c r="B22" s="16" t="inlineStr">
        <is>
          <t>B</t>
        </is>
      </c>
      <c r="C22" s="8" t="n">
        <v>4</v>
      </c>
    </row>
    <row r="23">
      <c r="A23" s="8" t="inlineStr">
        <is>
          <t>Q18</t>
        </is>
      </c>
      <c r="B23" s="16" t="inlineStr">
        <is>
          <t>A</t>
        </is>
      </c>
      <c r="C23" s="8" t="n">
        <v>4</v>
      </c>
    </row>
    <row r="24">
      <c r="A24" s="8" t="inlineStr">
        <is>
          <t>Q19</t>
        </is>
      </c>
      <c r="B24" s="16" t="inlineStr">
        <is>
          <t>B</t>
        </is>
      </c>
      <c r="C24" s="8" t="n">
        <v>4</v>
      </c>
    </row>
    <row r="25">
      <c r="A25" s="8" t="inlineStr">
        <is>
          <t>Q20</t>
        </is>
      </c>
      <c r="B25" s="16" t="inlineStr">
        <is>
          <t>C</t>
        </is>
      </c>
      <c r="C25" s="8" t="n">
        <v>4</v>
      </c>
    </row>
    <row r="26">
      <c r="A26" s="8" t="inlineStr">
        <is>
          <t>Q21</t>
        </is>
      </c>
      <c r="B26" s="16" t="inlineStr">
        <is>
          <t>B</t>
        </is>
      </c>
      <c r="C26" s="8" t="n">
        <v>4</v>
      </c>
    </row>
    <row r="27">
      <c r="A27" s="8" t="inlineStr">
        <is>
          <t>Q22</t>
        </is>
      </c>
      <c r="B27" s="16" t="inlineStr">
        <is>
          <t>B</t>
        </is>
      </c>
      <c r="C27" s="8" t="n">
        <v>4</v>
      </c>
    </row>
    <row r="28">
      <c r="A28" s="8" t="inlineStr">
        <is>
          <t>Q23</t>
        </is>
      </c>
      <c r="B28" s="16" t="inlineStr">
        <is>
          <t>A</t>
        </is>
      </c>
      <c r="C28" s="8" t="n">
        <v>4</v>
      </c>
    </row>
    <row r="29">
      <c r="A29" s="8" t="inlineStr">
        <is>
          <t>Q24</t>
        </is>
      </c>
      <c r="B29" s="16" t="inlineStr">
        <is>
          <t>C</t>
        </is>
      </c>
      <c r="C29" s="8" t="n">
        <v>4</v>
      </c>
    </row>
    <row r="30">
      <c r="A30" s="8" t="inlineStr">
        <is>
          <t>Q25</t>
        </is>
      </c>
      <c r="B30" s="16" t="inlineStr">
        <is>
          <t>D</t>
        </is>
      </c>
      <c r="C30" s="8" t="n">
        <v>4</v>
      </c>
    </row>
    <row r="31">
      <c r="A31" s="17" t="inlineStr">
        <is>
          <t>Total Section A</t>
        </is>
      </c>
      <c r="C31" s="17">
        <f>SUM(C6:C30)</f>
        <v/>
      </c>
    </row>
    <row r="33" ht="20" customHeight="1">
      <c r="A33" s="9" t="inlineStr">
        <is>
          <t>SECTION B – Short Answer Model Answers (10 Marks Each)</t>
        </is>
      </c>
    </row>
    <row r="34" ht="40" customHeight="1">
      <c r="A34" s="10" t="inlineStr">
        <is>
          <t>Q1</t>
        </is>
      </c>
      <c r="B34" s="18">
        <f>VLOOKUP(lookup_value, table_array, col_index_num, [range_lookup]). Example: =VLOOKUP(A2,Sheet2!$A:$D,3,0) returns col 3 match. Limitation: can only look right; first column must have lookup value.</f>
        <v/>
      </c>
    </row>
    <row r="35">
      <c r="A35" s="19" t="inlineStr">
        <is>
          <t>Marking</t>
        </is>
      </c>
      <c r="B35" s="20" t="inlineStr">
        <is>
          <t>Concept(4) + Explanation(4) + Example(2) = 10 marks</t>
        </is>
      </c>
    </row>
    <row r="36" ht="40" customHeight="1">
      <c r="A36" s="10" t="inlineStr">
        <is>
          <t>Q2</t>
        </is>
      </c>
      <c r="B36" s="18" t="inlineStr">
        <is>
          <t>Nested IFs evaluate multiple conditions. Grade formula: =IF(A2&gt;=90,'A',IF(A2&gt;=75,'B',IF(A2&gt;=60,'C','F')))</t>
        </is>
      </c>
    </row>
    <row r="37">
      <c r="A37" s="19" t="inlineStr">
        <is>
          <t>Marking</t>
        </is>
      </c>
      <c r="B37" s="20" t="inlineStr">
        <is>
          <t>Concept(4) + Explanation(4) + Example(2) = 10 marks</t>
        </is>
      </c>
    </row>
    <row r="38" ht="40" customHeight="1">
      <c r="A38" s="10" t="inlineStr">
        <is>
          <t>Q3</t>
        </is>
      </c>
      <c r="B38" s="18" t="inlineStr">
        <is>
          <t>SUMIF(range,criteria,sum_range) – one condition. SUMIFS(sum_range,range1,c1,range2,c2) – multiple. Example SUMIF: =SUMIF(B:B,'Sales',C:C). SUMIFS: =SUMIFS(C:C,B:B,'Sales',D:D,'North').</t>
        </is>
      </c>
    </row>
    <row r="39">
      <c r="A39" s="19" t="inlineStr">
        <is>
          <t>Marking</t>
        </is>
      </c>
      <c r="B39" s="20" t="inlineStr">
        <is>
          <t>Concept(4) + Explanation(4) + Example(2) = 10 marks</t>
        </is>
      </c>
    </row>
    <row r="40" ht="40" customHeight="1">
      <c r="A40" s="10" t="inlineStr">
        <is>
          <t>Q4</t>
        </is>
      </c>
      <c r="B40" s="18" t="inlineStr">
        <is>
          <t>INDEX(array,row_num,col_num) returns a value by position. MATCH(value,array,0) returns position of a value. Combined two-way: =INDEX(B2:D10,MATCH(G1,A2:A10,0),MATCH(G2,B1:D1,0)).</t>
        </is>
      </c>
    </row>
    <row r="41">
      <c r="A41" s="19" t="inlineStr">
        <is>
          <t>Marking</t>
        </is>
      </c>
      <c r="B41" s="20" t="inlineStr">
        <is>
          <t>Concept(4) + Explanation(4) + Example(2) = 10 marks</t>
        </is>
      </c>
    </row>
    <row r="42" ht="40" customHeight="1">
      <c r="A42" s="10" t="inlineStr">
        <is>
          <t>Q5</t>
        </is>
      </c>
      <c r="B42" s="18" t="inlineStr">
        <is>
          <t>Array formulas work on multiple values. Example 1: {=SUM(B2:B10*C2:C10)} — multiplies arrays and sums. Example 2: {=MAX(IF(A2:A10='North',B2:B10))} — max value for condition. Enter with Ctrl+Shift+Enter.</t>
        </is>
      </c>
    </row>
    <row r="43">
      <c r="A43" s="19" t="inlineStr">
        <is>
          <t>Marking</t>
        </is>
      </c>
      <c r="B43" s="20" t="inlineStr">
        <is>
          <t>Concept(4) + Explanation(4) + Example(2) = 10 marks</t>
        </is>
      </c>
    </row>
    <row r="45" ht="20" customHeight="1">
      <c r="A45" s="12" t="inlineStr">
        <is>
          <t>SECTION C – Case Study Model Answers</t>
        </is>
      </c>
    </row>
    <row r="46" ht="40" customHeight="1">
      <c r="A46" s="14" t="inlineStr">
        <is>
          <t>C1</t>
        </is>
      </c>
      <c r="B46" s="18" t="inlineStr">
        <is>
          <t>HRA: =D2*20%. DA: =D2*15%. Gross: =D2+E2+F2. Tax: =IF(G2&gt;50000,G2*10%,G2*5%). Net: =G2-H2. Apply formulas to all rows.</t>
        </is>
      </c>
    </row>
    <row r="47">
      <c r="A47" s="19" t="inlineStr">
        <is>
          <t>Marks</t>
        </is>
      </c>
      <c r="B47" s="20" t="inlineStr">
        <is>
          <t>Total: 15 marks — allocate proportionally for each sub-part answered.</t>
        </is>
      </c>
    </row>
    <row r="48" ht="40" customHeight="1">
      <c r="A48" s="14" t="inlineStr">
        <is>
          <t>C2</t>
        </is>
      </c>
      <c r="B48" s="18">
        <f>SUMIF(C:C,'HR',G:G) for HR dept total gross. Repeat for IT, Finance, etc. Or use SUMIFS for multiple criteria.</f>
        <v/>
      </c>
    </row>
    <row r="49">
      <c r="A49" s="19" t="inlineStr">
        <is>
          <t>Marks</t>
        </is>
      </c>
      <c r="B49" s="20" t="inlineStr">
        <is>
          <t>Total: 15 marks — allocate proportionally for each sub-part answered.</t>
        </is>
      </c>
    </row>
    <row r="50" ht="45" customHeight="1">
      <c r="A50" s="14" t="inlineStr">
        <is>
          <t>C3</t>
        </is>
      </c>
      <c r="B50" s="18" t="inlineStr">
        <is>
          <t>Flag formula: =IF(I2&lt;25000,'Review Required','OK'). Count: =COUNTIF(J2:J21,'Review Required'). Apply Conditional Formatting to flag column to highlight 'Review Required' in orange.</t>
        </is>
      </c>
    </row>
    <row r="51">
      <c r="A51" s="19" t="inlineStr">
        <is>
          <t>Marks</t>
        </is>
      </c>
      <c r="B51" s="20" t="inlineStr">
        <is>
          <t>Total: 20 marks — allocate proportionally for each sub-part answered.</t>
        </is>
      </c>
    </row>
  </sheetData>
  <mergeCells count="26">
    <mergeCell ref="A35"/>
    <mergeCell ref="B42:J42"/>
    <mergeCell ref="A43"/>
    <mergeCell ref="A4:J4"/>
    <mergeCell ref="B38:J38"/>
    <mergeCell ref="B34:J34"/>
    <mergeCell ref="B37:J37"/>
    <mergeCell ref="A39"/>
    <mergeCell ref="B40:J40"/>
    <mergeCell ref="B49:J49"/>
    <mergeCell ref="A1:J1"/>
    <mergeCell ref="A45:J45"/>
    <mergeCell ref="B51:J51"/>
    <mergeCell ref="B36:J36"/>
    <mergeCell ref="B50:J50"/>
    <mergeCell ref="B41:J41"/>
    <mergeCell ref="B35:J35"/>
    <mergeCell ref="A41"/>
    <mergeCell ref="B47:J47"/>
    <mergeCell ref="A37"/>
    <mergeCell ref="B46:J46"/>
    <mergeCell ref="B48:J48"/>
    <mergeCell ref="A2:J2"/>
    <mergeCell ref="B43:J43"/>
    <mergeCell ref="B39:J39"/>
    <mergeCell ref="A33:J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2" customHeight="1">
      <c r="A1" s="1" t="inlineStr">
        <is>
          <t>ANSWER KEY – Assignment 3 (Charts &amp; Pivot Tables)</t>
        </is>
      </c>
    </row>
    <row r="2" ht="22" customHeight="1">
      <c r="A2" s="2" t="inlineStr">
        <is>
          <t>For Instructor/Evaluator Use Only – Confidential</t>
        </is>
      </c>
    </row>
    <row r="4" ht="20" customHeight="1">
      <c r="A4" s="4" t="inlineStr">
        <is>
          <t>SECTION A – MCQ Answer Key</t>
        </is>
      </c>
    </row>
    <row r="5">
      <c r="A5" s="15" t="inlineStr">
        <is>
          <t>Question</t>
        </is>
      </c>
      <c r="B5" s="15" t="inlineStr">
        <is>
          <t>Correct Answer</t>
        </is>
      </c>
      <c r="C5" s="15" t="inlineStr">
        <is>
          <t>Marks</t>
        </is>
      </c>
    </row>
    <row r="6">
      <c r="A6" s="8" t="inlineStr">
        <is>
          <t>Q1</t>
        </is>
      </c>
      <c r="B6" s="16" t="inlineStr">
        <is>
          <t>C</t>
        </is>
      </c>
      <c r="C6" s="8" t="n">
        <v>4</v>
      </c>
    </row>
    <row r="7">
      <c r="A7" s="8" t="inlineStr">
        <is>
          <t>Q2</t>
        </is>
      </c>
      <c r="B7" s="16" t="inlineStr">
        <is>
          <t>B</t>
        </is>
      </c>
      <c r="C7" s="8" t="n">
        <v>4</v>
      </c>
    </row>
    <row r="8">
      <c r="A8" s="8" t="inlineStr">
        <is>
          <t>Q3</t>
        </is>
      </c>
      <c r="B8" s="16" t="inlineStr">
        <is>
          <t>B</t>
        </is>
      </c>
      <c r="C8" s="8" t="n">
        <v>4</v>
      </c>
    </row>
    <row r="9">
      <c r="A9" s="8" t="inlineStr">
        <is>
          <t>Q4</t>
        </is>
      </c>
      <c r="B9" s="16" t="inlineStr">
        <is>
          <t>B</t>
        </is>
      </c>
      <c r="C9" s="8" t="n">
        <v>4</v>
      </c>
    </row>
    <row r="10">
      <c r="A10" s="8" t="inlineStr">
        <is>
          <t>Q5</t>
        </is>
      </c>
      <c r="B10" s="16" t="inlineStr">
        <is>
          <t>B</t>
        </is>
      </c>
      <c r="C10" s="8" t="n">
        <v>4</v>
      </c>
    </row>
    <row r="11">
      <c r="A11" s="8" t="inlineStr">
        <is>
          <t>Q6</t>
        </is>
      </c>
      <c r="B11" s="16" t="inlineStr">
        <is>
          <t>C</t>
        </is>
      </c>
      <c r="C11" s="8" t="n">
        <v>4</v>
      </c>
    </row>
    <row r="12">
      <c r="A12" s="8" t="inlineStr">
        <is>
          <t>Q7</t>
        </is>
      </c>
      <c r="B12" s="16" t="inlineStr">
        <is>
          <t>B</t>
        </is>
      </c>
      <c r="C12" s="8" t="n">
        <v>4</v>
      </c>
    </row>
    <row r="13">
      <c r="A13" s="8" t="inlineStr">
        <is>
          <t>Q8</t>
        </is>
      </c>
      <c r="B13" s="16" t="inlineStr">
        <is>
          <t>C</t>
        </is>
      </c>
      <c r="C13" s="8" t="n">
        <v>4</v>
      </c>
    </row>
    <row r="14">
      <c r="A14" s="8" t="inlineStr">
        <is>
          <t>Q9</t>
        </is>
      </c>
      <c r="B14" s="16" t="inlineStr">
        <is>
          <t>B</t>
        </is>
      </c>
      <c r="C14" s="8" t="n">
        <v>4</v>
      </c>
    </row>
    <row r="15">
      <c r="A15" s="8" t="inlineStr">
        <is>
          <t>Q10</t>
        </is>
      </c>
      <c r="B15" s="16" t="inlineStr">
        <is>
          <t>C</t>
        </is>
      </c>
      <c r="C15" s="8" t="n">
        <v>4</v>
      </c>
    </row>
    <row r="16">
      <c r="A16" s="8" t="inlineStr">
        <is>
          <t>Q11</t>
        </is>
      </c>
      <c r="B16" s="16" t="inlineStr">
        <is>
          <t>B</t>
        </is>
      </c>
      <c r="C16" s="8" t="n">
        <v>4</v>
      </c>
    </row>
    <row r="17">
      <c r="A17" s="8" t="inlineStr">
        <is>
          <t>Q12</t>
        </is>
      </c>
      <c r="B17" s="16" t="inlineStr">
        <is>
          <t>B</t>
        </is>
      </c>
      <c r="C17" s="8" t="n">
        <v>4</v>
      </c>
    </row>
    <row r="18">
      <c r="A18" s="8" t="inlineStr">
        <is>
          <t>Q13</t>
        </is>
      </c>
      <c r="B18" s="16" t="inlineStr">
        <is>
          <t>B</t>
        </is>
      </c>
      <c r="C18" s="8" t="n">
        <v>4</v>
      </c>
    </row>
    <row r="19">
      <c r="A19" s="8" t="inlineStr">
        <is>
          <t>Q14</t>
        </is>
      </c>
      <c r="B19" s="16" t="inlineStr">
        <is>
          <t>B</t>
        </is>
      </c>
      <c r="C19" s="8" t="n">
        <v>4</v>
      </c>
    </row>
    <row r="20">
      <c r="A20" s="8" t="inlineStr">
        <is>
          <t>Q15</t>
        </is>
      </c>
      <c r="B20" s="16" t="inlineStr">
        <is>
          <t>B</t>
        </is>
      </c>
      <c r="C20" s="8" t="n">
        <v>4</v>
      </c>
    </row>
    <row r="21">
      <c r="A21" s="8" t="inlineStr">
        <is>
          <t>Q16</t>
        </is>
      </c>
      <c r="B21" s="16" t="inlineStr">
        <is>
          <t>C</t>
        </is>
      </c>
      <c r="C21" s="8" t="n">
        <v>4</v>
      </c>
    </row>
    <row r="22">
      <c r="A22" s="8" t="inlineStr">
        <is>
          <t>Q17</t>
        </is>
      </c>
      <c r="B22" s="16" t="inlineStr">
        <is>
          <t>B</t>
        </is>
      </c>
      <c r="C22" s="8" t="n">
        <v>4</v>
      </c>
    </row>
    <row r="23">
      <c r="A23" s="8" t="inlineStr">
        <is>
          <t>Q18</t>
        </is>
      </c>
      <c r="B23" s="16" t="inlineStr">
        <is>
          <t>B</t>
        </is>
      </c>
      <c r="C23" s="8" t="n">
        <v>4</v>
      </c>
    </row>
    <row r="24">
      <c r="A24" s="8" t="inlineStr">
        <is>
          <t>Q19</t>
        </is>
      </c>
      <c r="B24" s="16" t="inlineStr">
        <is>
          <t>B</t>
        </is>
      </c>
      <c r="C24" s="8" t="n">
        <v>4</v>
      </c>
    </row>
    <row r="25">
      <c r="A25" s="8" t="inlineStr">
        <is>
          <t>Q20</t>
        </is>
      </c>
      <c r="B25" s="16" t="inlineStr">
        <is>
          <t>B</t>
        </is>
      </c>
      <c r="C25" s="8" t="n">
        <v>4</v>
      </c>
    </row>
    <row r="26">
      <c r="A26" s="8" t="inlineStr">
        <is>
          <t>Q21</t>
        </is>
      </c>
      <c r="B26" s="16" t="inlineStr">
        <is>
          <t>B</t>
        </is>
      </c>
      <c r="C26" s="8" t="n">
        <v>4</v>
      </c>
    </row>
    <row r="27">
      <c r="A27" s="8" t="inlineStr">
        <is>
          <t>Q22</t>
        </is>
      </c>
      <c r="B27" s="16" t="inlineStr">
        <is>
          <t>A</t>
        </is>
      </c>
      <c r="C27" s="8" t="n">
        <v>4</v>
      </c>
    </row>
    <row r="28">
      <c r="A28" s="8" t="inlineStr">
        <is>
          <t>Q23</t>
        </is>
      </c>
      <c r="B28" s="16" t="inlineStr">
        <is>
          <t>C</t>
        </is>
      </c>
      <c r="C28" s="8" t="n">
        <v>4</v>
      </c>
    </row>
    <row r="29">
      <c r="A29" s="8" t="inlineStr">
        <is>
          <t>Q24</t>
        </is>
      </c>
      <c r="B29" s="16" t="inlineStr">
        <is>
          <t>B</t>
        </is>
      </c>
      <c r="C29" s="8" t="n">
        <v>4</v>
      </c>
    </row>
    <row r="30">
      <c r="A30" s="8" t="inlineStr">
        <is>
          <t>Q25</t>
        </is>
      </c>
      <c r="B30" s="16" t="inlineStr">
        <is>
          <t>B</t>
        </is>
      </c>
      <c r="C30" s="8" t="n">
        <v>4</v>
      </c>
    </row>
    <row r="31">
      <c r="A31" s="17" t="inlineStr">
        <is>
          <t>Total Section A</t>
        </is>
      </c>
      <c r="C31" s="17">
        <f>SUM(C6:C30)</f>
        <v/>
      </c>
    </row>
    <row r="33" ht="20" customHeight="1">
      <c r="A33" s="9" t="inlineStr">
        <is>
          <t>SECTION B – Short Answer Model Answers (10 Marks Each)</t>
        </is>
      </c>
    </row>
    <row r="34" ht="44" customHeight="1">
      <c r="A34" s="10" t="inlineStr">
        <is>
          <t>Q1</t>
        </is>
      </c>
      <c r="B34" s="18" t="inlineStr">
        <is>
          <t>Line – trends over time (stock prices). Bar/Column – category comparison (monthly revenue). Pie – proportions (market share %). Scatter – correlation (ad spend vs sales). Histogram – frequency distribution (exam scores).</t>
        </is>
      </c>
    </row>
    <row r="35">
      <c r="A35" s="19" t="inlineStr">
        <is>
          <t>Marking</t>
        </is>
      </c>
      <c r="B35" s="20" t="inlineStr">
        <is>
          <t>Concept(4) + Explanation(4) + Example(2) = 10 marks</t>
        </is>
      </c>
    </row>
    <row r="36" ht="40" customHeight="1">
      <c r="A36" s="10" t="inlineStr">
        <is>
          <t>Q2</t>
        </is>
      </c>
      <c r="B36" s="18" t="inlineStr">
        <is>
          <t>Select data &gt; Insert &gt; PivotTable &gt; choose location &gt; drag fields. Areas: Rows (row groupings), Columns (column groupings), Values (aggregated data: sum/count), Filters (overall data filter/slicer).</t>
        </is>
      </c>
    </row>
    <row r="37">
      <c r="A37" s="19" t="inlineStr">
        <is>
          <t>Marking</t>
        </is>
      </c>
      <c r="B37" s="20" t="inlineStr">
        <is>
          <t>Concept(4) + Explanation(4) + Example(2) = 10 marks</t>
        </is>
      </c>
    </row>
    <row r="38" ht="40" customHeight="1">
      <c r="A38" s="10" t="inlineStr">
        <is>
          <t>Q3</t>
        </is>
      </c>
      <c r="B38" s="18" t="inlineStr">
        <is>
          <t>Select range &gt; Home &gt; Conditional Formatting &gt; New Rule &gt; 'Format cells greater than average' or use formula =A1&gt;AVERAGE($A$1:$A$20). Set fill colour &gt; OK.</t>
        </is>
      </c>
    </row>
    <row r="39">
      <c r="A39" s="19" t="inlineStr">
        <is>
          <t>Marking</t>
        </is>
      </c>
      <c r="B39" s="20" t="inlineStr">
        <is>
          <t>Concept(4) + Explanation(4) + Example(2) = 10 marks</t>
        </is>
      </c>
    </row>
    <row r="40" ht="40" customHeight="1">
      <c r="A40" s="10" t="inlineStr">
        <is>
          <t>Q4</t>
        </is>
      </c>
      <c r="B40" s="18" t="inlineStr">
        <is>
          <t>Slicers are visual filter buttons. Add: Click Pivot Table &gt; PivotTable Analyze &gt; Insert Slicer &gt; select field. Click buttons to filter; multiple slicers can work together for cross-filtering dashboards.</t>
        </is>
      </c>
    </row>
    <row r="41">
      <c r="A41" s="19" t="inlineStr">
        <is>
          <t>Marking</t>
        </is>
      </c>
      <c r="B41" s="20" t="inlineStr">
        <is>
          <t>Concept(4) + Explanation(4) + Example(2) = 10 marks</t>
        </is>
      </c>
    </row>
    <row r="42" ht="40" customHeight="1">
      <c r="A42" s="10" t="inlineStr">
        <is>
          <t>Q5</t>
        </is>
      </c>
      <c r="B42" s="18" t="inlineStr">
        <is>
          <t>Select Sales and Profit % data &gt; Insert &gt; Recommended Charts &gt; Combo. Set Sales as Clustered Column on primary axis, Profit% as Line on secondary axis. Check 'Secondary Axis' checkbox &gt; OK.</t>
        </is>
      </c>
    </row>
    <row r="43">
      <c r="A43" s="19" t="inlineStr">
        <is>
          <t>Marking</t>
        </is>
      </c>
      <c r="B43" s="20" t="inlineStr">
        <is>
          <t>Concept(4) + Explanation(4) + Example(2) = 10 marks</t>
        </is>
      </c>
    </row>
    <row r="45" ht="20" customHeight="1">
      <c r="A45" s="12" t="inlineStr">
        <is>
          <t>SECTION C – Case Study Model Answers</t>
        </is>
      </c>
    </row>
    <row r="46" ht="40" customHeight="1">
      <c r="A46" s="14" t="inlineStr">
        <is>
          <t>C1</t>
        </is>
      </c>
      <c r="B46" s="18" t="inlineStr">
        <is>
          <t>Insert PivotTable from Dataset 3. Drag Region to Rows, Product to Columns, Sales to Values (Sum). Add Year to Filters. Arrange to see 2023 vs 2024 comparison.</t>
        </is>
      </c>
    </row>
    <row r="47">
      <c r="A47" s="19" t="inlineStr">
        <is>
          <t>Marks</t>
        </is>
      </c>
      <c r="B47" s="20" t="inlineStr">
        <is>
          <t>Total: 15 marks — allocate proportionally for each sub-part answered.</t>
        </is>
      </c>
    </row>
    <row r="48" ht="47" customHeight="1">
      <c r="A48" s="14" t="inlineStr">
        <is>
          <t>C2</t>
        </is>
      </c>
      <c r="B48" s="18" t="inlineStr">
        <is>
          <t>Click PivotTable &gt; PivotTable Analyze &gt; PivotChart &gt; Clustered Column. Right-click chart &gt; Add Data Labels. Click Chart Title to rename. Format: change colours, add gridlines, set font sizes.</t>
        </is>
      </c>
    </row>
    <row r="49">
      <c r="A49" s="19" t="inlineStr">
        <is>
          <t>Marks</t>
        </is>
      </c>
      <c r="B49" s="20" t="inlineStr">
        <is>
          <t>Total: 15 marks — allocate proportionally for each sub-part answered.</t>
        </is>
      </c>
    </row>
    <row r="50" ht="71" customHeight="1">
      <c r="A50" s="14" t="inlineStr">
        <is>
          <t>C3</t>
        </is>
      </c>
      <c r="B50" s="18" t="inlineStr">
        <is>
          <t>(a) Bar chart: PivotTable with Region in rows, Sum of Sales in values &gt; Insert Column Chart. (b) Add calculated field: YoY Growth%=(2024-2023)/2023. Line chart on secondary axis. (c) Pivot with Region as rows, Product as columns, Max or Sum values, add Region slicer for interactivity.</t>
        </is>
      </c>
    </row>
    <row r="51">
      <c r="A51" s="19" t="inlineStr">
        <is>
          <t>Marks</t>
        </is>
      </c>
      <c r="B51" s="20" t="inlineStr">
        <is>
          <t>Total: 20 marks — allocate proportionally for each sub-part answered.</t>
        </is>
      </c>
    </row>
  </sheetData>
  <mergeCells count="26">
    <mergeCell ref="A35"/>
    <mergeCell ref="B42:J42"/>
    <mergeCell ref="A43"/>
    <mergeCell ref="A4:J4"/>
    <mergeCell ref="B38:J38"/>
    <mergeCell ref="B34:J34"/>
    <mergeCell ref="B37:J37"/>
    <mergeCell ref="A39"/>
    <mergeCell ref="B40:J40"/>
    <mergeCell ref="B49:J49"/>
    <mergeCell ref="A1:J1"/>
    <mergeCell ref="A45:J45"/>
    <mergeCell ref="B51:J51"/>
    <mergeCell ref="B36:J36"/>
    <mergeCell ref="B50:J50"/>
    <mergeCell ref="B41:J41"/>
    <mergeCell ref="B35:J35"/>
    <mergeCell ref="A41"/>
    <mergeCell ref="B47:J47"/>
    <mergeCell ref="A37"/>
    <mergeCell ref="B46:J46"/>
    <mergeCell ref="B48:J48"/>
    <mergeCell ref="A2:J2"/>
    <mergeCell ref="B43:J43"/>
    <mergeCell ref="B39:J39"/>
    <mergeCell ref="A33:J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2" customHeight="1">
      <c r="A1" s="1" t="inlineStr">
        <is>
          <t>ANSWER KEY – Assignment 4 (Data Management)</t>
        </is>
      </c>
    </row>
    <row r="2" ht="22" customHeight="1">
      <c r="A2" s="2" t="inlineStr">
        <is>
          <t>For Instructor/Evaluator Use Only – Confidential</t>
        </is>
      </c>
    </row>
    <row r="4" ht="20" customHeight="1">
      <c r="A4" s="4" t="inlineStr">
        <is>
          <t>SECTION A – MCQ Answer Key</t>
        </is>
      </c>
    </row>
    <row r="5">
      <c r="A5" s="15" t="inlineStr">
        <is>
          <t>Question</t>
        </is>
      </c>
      <c r="B5" s="15" t="inlineStr">
        <is>
          <t>Correct Answer</t>
        </is>
      </c>
      <c r="C5" s="15" t="inlineStr">
        <is>
          <t>Marks</t>
        </is>
      </c>
    </row>
    <row r="6">
      <c r="A6" s="8" t="inlineStr">
        <is>
          <t>Q1</t>
        </is>
      </c>
      <c r="B6" s="16" t="inlineStr">
        <is>
          <t>B</t>
        </is>
      </c>
      <c r="C6" s="8" t="n">
        <v>4</v>
      </c>
    </row>
    <row r="7">
      <c r="A7" s="8" t="inlineStr">
        <is>
          <t>Q2</t>
        </is>
      </c>
      <c r="B7" s="16" t="inlineStr">
        <is>
          <t>B</t>
        </is>
      </c>
      <c r="C7" s="8" t="n">
        <v>4</v>
      </c>
    </row>
    <row r="8">
      <c r="A8" s="8" t="inlineStr">
        <is>
          <t>Q3</t>
        </is>
      </c>
      <c r="B8" s="16" t="inlineStr">
        <is>
          <t>B</t>
        </is>
      </c>
      <c r="C8" s="8" t="n">
        <v>4</v>
      </c>
    </row>
    <row r="9">
      <c r="A9" s="8" t="inlineStr">
        <is>
          <t>Q4</t>
        </is>
      </c>
      <c r="B9" s="16" t="inlineStr">
        <is>
          <t>B</t>
        </is>
      </c>
      <c r="C9" s="8" t="n">
        <v>4</v>
      </c>
    </row>
    <row r="10">
      <c r="A10" s="8" t="inlineStr">
        <is>
          <t>Q5</t>
        </is>
      </c>
      <c r="B10" s="16" t="inlineStr">
        <is>
          <t>A</t>
        </is>
      </c>
      <c r="C10" s="8" t="n">
        <v>4</v>
      </c>
    </row>
    <row r="11">
      <c r="A11" s="8" t="inlineStr">
        <is>
          <t>Q6</t>
        </is>
      </c>
      <c r="B11" s="16" t="inlineStr">
        <is>
          <t>B</t>
        </is>
      </c>
      <c r="C11" s="8" t="n">
        <v>4</v>
      </c>
    </row>
    <row r="12">
      <c r="A12" s="8" t="inlineStr">
        <is>
          <t>Q7</t>
        </is>
      </c>
      <c r="B12" s="16" t="inlineStr">
        <is>
          <t>B</t>
        </is>
      </c>
      <c r="C12" s="8" t="n">
        <v>4</v>
      </c>
    </row>
    <row r="13">
      <c r="A13" s="8" t="inlineStr">
        <is>
          <t>Q8</t>
        </is>
      </c>
      <c r="B13" s="16" t="inlineStr">
        <is>
          <t>B</t>
        </is>
      </c>
      <c r="C13" s="8" t="n">
        <v>4</v>
      </c>
    </row>
    <row r="14">
      <c r="A14" s="8" t="inlineStr">
        <is>
          <t>Q9</t>
        </is>
      </c>
      <c r="B14" s="16" t="inlineStr">
        <is>
          <t>C</t>
        </is>
      </c>
      <c r="C14" s="8" t="n">
        <v>4</v>
      </c>
    </row>
    <row r="15">
      <c r="A15" s="8" t="inlineStr">
        <is>
          <t>Q10</t>
        </is>
      </c>
      <c r="B15" s="16" t="inlineStr">
        <is>
          <t>B</t>
        </is>
      </c>
      <c r="C15" s="8" t="n">
        <v>4</v>
      </c>
    </row>
    <row r="16">
      <c r="A16" s="8" t="inlineStr">
        <is>
          <t>Q11</t>
        </is>
      </c>
      <c r="B16" s="16" t="inlineStr">
        <is>
          <t>B</t>
        </is>
      </c>
      <c r="C16" s="8" t="n">
        <v>4</v>
      </c>
    </row>
    <row r="17">
      <c r="A17" s="8" t="inlineStr">
        <is>
          <t>Q12</t>
        </is>
      </c>
      <c r="B17" s="16" t="inlineStr">
        <is>
          <t>C</t>
        </is>
      </c>
      <c r="C17" s="8" t="n">
        <v>4</v>
      </c>
    </row>
    <row r="18">
      <c r="A18" s="8" t="inlineStr">
        <is>
          <t>Q13</t>
        </is>
      </c>
      <c r="B18" s="16" t="inlineStr">
        <is>
          <t>B</t>
        </is>
      </c>
      <c r="C18" s="8" t="n">
        <v>4</v>
      </c>
    </row>
    <row r="19">
      <c r="A19" s="8" t="inlineStr">
        <is>
          <t>Q14</t>
        </is>
      </c>
      <c r="B19" s="16" t="inlineStr">
        <is>
          <t>C</t>
        </is>
      </c>
      <c r="C19" s="8" t="n">
        <v>4</v>
      </c>
    </row>
    <row r="20">
      <c r="A20" s="8" t="inlineStr">
        <is>
          <t>Q15</t>
        </is>
      </c>
      <c r="B20" s="16" t="inlineStr">
        <is>
          <t>B</t>
        </is>
      </c>
      <c r="C20" s="8" t="n">
        <v>4</v>
      </c>
    </row>
    <row r="21">
      <c r="A21" s="8" t="inlineStr">
        <is>
          <t>Q16</t>
        </is>
      </c>
      <c r="B21" s="16" t="inlineStr">
        <is>
          <t>B</t>
        </is>
      </c>
      <c r="C21" s="8" t="n">
        <v>4</v>
      </c>
    </row>
    <row r="22">
      <c r="A22" s="8" t="inlineStr">
        <is>
          <t>Q17</t>
        </is>
      </c>
      <c r="B22" s="16" t="inlineStr">
        <is>
          <t>C</t>
        </is>
      </c>
      <c r="C22" s="8" t="n">
        <v>4</v>
      </c>
    </row>
    <row r="23">
      <c r="A23" s="8" t="inlineStr">
        <is>
          <t>Q18</t>
        </is>
      </c>
      <c r="B23" s="16" t="inlineStr">
        <is>
          <t>B</t>
        </is>
      </c>
      <c r="C23" s="8" t="n">
        <v>4</v>
      </c>
    </row>
    <row r="24">
      <c r="A24" s="8" t="inlineStr">
        <is>
          <t>Q19</t>
        </is>
      </c>
      <c r="B24" s="16" t="inlineStr">
        <is>
          <t>B</t>
        </is>
      </c>
      <c r="C24" s="8" t="n">
        <v>4</v>
      </c>
    </row>
    <row r="25">
      <c r="A25" s="8" t="inlineStr">
        <is>
          <t>Q20</t>
        </is>
      </c>
      <c r="B25" s="16" t="inlineStr">
        <is>
          <t>B</t>
        </is>
      </c>
      <c r="C25" s="8" t="n">
        <v>4</v>
      </c>
    </row>
    <row r="26">
      <c r="A26" s="8" t="inlineStr">
        <is>
          <t>Q21</t>
        </is>
      </c>
      <c r="B26" s="16" t="inlineStr">
        <is>
          <t>A</t>
        </is>
      </c>
      <c r="C26" s="8" t="n">
        <v>4</v>
      </c>
    </row>
    <row r="27">
      <c r="A27" s="8" t="inlineStr">
        <is>
          <t>Q22</t>
        </is>
      </c>
      <c r="B27" s="16" t="inlineStr">
        <is>
          <t>B</t>
        </is>
      </c>
      <c r="C27" s="8" t="n">
        <v>4</v>
      </c>
    </row>
    <row r="28">
      <c r="A28" s="8" t="inlineStr">
        <is>
          <t>Q23</t>
        </is>
      </c>
      <c r="B28" s="16" t="inlineStr">
        <is>
          <t>B</t>
        </is>
      </c>
      <c r="C28" s="8" t="n">
        <v>4</v>
      </c>
    </row>
    <row r="29">
      <c r="A29" s="8" t="inlineStr">
        <is>
          <t>Q24</t>
        </is>
      </c>
      <c r="B29" s="16" t="inlineStr">
        <is>
          <t>C</t>
        </is>
      </c>
      <c r="C29" s="8" t="n">
        <v>4</v>
      </c>
    </row>
    <row r="30">
      <c r="A30" s="8" t="inlineStr">
        <is>
          <t>Q25</t>
        </is>
      </c>
      <c r="B30" s="16" t="inlineStr">
        <is>
          <t>B</t>
        </is>
      </c>
      <c r="C30" s="8" t="n">
        <v>4</v>
      </c>
    </row>
    <row r="31">
      <c r="A31" s="17" t="inlineStr">
        <is>
          <t>Total Section A</t>
        </is>
      </c>
      <c r="C31" s="17">
        <f>SUM(C6:C30)</f>
        <v/>
      </c>
    </row>
    <row r="33" ht="20" customHeight="1">
      <c r="A33" s="9" t="inlineStr">
        <is>
          <t>SECTION B – Short Answer Model Answers (10 Marks Each)</t>
        </is>
      </c>
    </row>
    <row r="34" ht="40" customHeight="1">
      <c r="A34" s="10" t="inlineStr">
        <is>
          <t>Q1</t>
        </is>
      </c>
      <c r="B34" s="18" t="inlineStr">
        <is>
          <t>Data &gt; Data Validation &gt; Settings tab: Allow = Whole Number, Data = between, Min=1, Max=100. Error Alert tab: Style=Stop, Title='Invalid Input', Message='Enter a number between 1 and 100'. Click OK.</t>
        </is>
      </c>
    </row>
    <row r="35">
      <c r="A35" s="19" t="inlineStr">
        <is>
          <t>Marking</t>
        </is>
      </c>
      <c r="B35" s="20" t="inlineStr">
        <is>
          <t>Concept(4) + Explanation(4) + Example(2) = 10 marks</t>
        </is>
      </c>
    </row>
    <row r="36" ht="43" customHeight="1">
      <c r="A36" s="10" t="inlineStr">
        <is>
          <t>Q2</t>
        </is>
      </c>
      <c r="B36" s="18" t="inlineStr">
        <is>
          <t>Goal Seek finds input for a desired output. Example: EMI goal ₹15,000. Setup: PMT formula in a cell. Data &gt; What-If Analysis &gt; Goal Seek. Set cell = PMT formula cell, To value = -15000, By changing = loan amount cell.</t>
        </is>
      </c>
    </row>
    <row r="37">
      <c r="A37" s="19" t="inlineStr">
        <is>
          <t>Marking</t>
        </is>
      </c>
      <c r="B37" s="20" t="inlineStr">
        <is>
          <t>Concept(4) + Explanation(4) + Example(2) = 10 marks</t>
        </is>
      </c>
    </row>
    <row r="38" ht="43" customHeight="1">
      <c r="A38" s="10" t="inlineStr">
        <is>
          <t>Q3</t>
        </is>
      </c>
      <c r="B38" s="18">
        <f>XLOOKUP(lookup_value, lookup_array, return_array, [if_not_found]). Advantages over VLOOKUP: (1) Returns any column – left or right; (2) No col_index_num needed; (3) Returns #N/A with custom message via 4th argument.</f>
        <v/>
      </c>
    </row>
    <row r="39">
      <c r="A39" s="19" t="inlineStr">
        <is>
          <t>Marking</t>
        </is>
      </c>
      <c r="B39" s="20" t="inlineStr">
        <is>
          <t>Concept(4) + Explanation(4) + Example(2) = 10 marks</t>
        </is>
      </c>
    </row>
    <row r="40" ht="42" customHeight="1">
      <c r="A40" s="10" t="inlineStr">
        <is>
          <t>Q4</t>
        </is>
      </c>
      <c r="B40" s="18" t="inlineStr">
        <is>
          <t>Power Query (Get &amp; Transform) imports data from Excel, CSV, web, databases. Transformations: remove duplicates, split columns, change data types, merge queries, unpivot columns, filter rows, add custom columns.</t>
        </is>
      </c>
    </row>
    <row r="41">
      <c r="A41" s="19" t="inlineStr">
        <is>
          <t>Marking</t>
        </is>
      </c>
      <c r="B41" s="20" t="inlineStr">
        <is>
          <t>Concept(4) + Explanation(4) + Example(2) = 10 marks</t>
        </is>
      </c>
    </row>
    <row r="42" ht="40" customHeight="1">
      <c r="A42" s="10" t="inlineStr">
        <is>
          <t>Q5</t>
        </is>
      </c>
      <c r="B42" s="18" t="inlineStr">
        <is>
          <t>FILTER(array,include,[if_empty]) returns rows where condition is TRUE. SORT(array,[sort_index],[order]) sorts dynamically. These spill results automatically. Require Excel 365 or Excel 2021+.</t>
        </is>
      </c>
    </row>
    <row r="43">
      <c r="A43" s="19" t="inlineStr">
        <is>
          <t>Marking</t>
        </is>
      </c>
      <c r="B43" s="20" t="inlineStr">
        <is>
          <t>Concept(4) + Explanation(4) + Example(2) = 10 marks</t>
        </is>
      </c>
    </row>
    <row r="45" ht="20" customHeight="1">
      <c r="A45" s="12" t="inlineStr">
        <is>
          <t>SECTION C – Case Study Model Answers</t>
        </is>
      </c>
    </row>
    <row r="46" ht="44" customHeight="1">
      <c r="A46" s="14" t="inlineStr">
        <is>
          <t>C1</t>
        </is>
      </c>
      <c r="B46" s="18" t="inlineStr">
        <is>
          <t>Select Status column &gt; Data &gt; Data Validation &gt; Allow: List &gt; Source: In Stock,Low Stock,Out of Stock. Input Message: 'Select stock status'. Error Alert: Stop, 'Invalid entry'.</t>
        </is>
      </c>
    </row>
    <row r="47">
      <c r="A47" s="19" t="inlineStr">
        <is>
          <t>Marks</t>
        </is>
      </c>
      <c r="B47" s="20" t="inlineStr">
        <is>
          <t>Total: 15 marks — allocate proportionally for each sub-part answered.</t>
        </is>
      </c>
    </row>
    <row r="48" ht="47" customHeight="1">
      <c r="A48" s="14" t="inlineStr">
        <is>
          <t>C2</t>
        </is>
      </c>
      <c r="B48" s="18" t="inlineStr">
        <is>
          <t>Formula: =IF(D2=0,'Out of Stock',IF(D2&lt;=E2,'Low Stock','In Stock')). CF Rules: Out of Stock=Red fill (=C2='Out of Stock'), Low Stock=Yellow (=C2='Low Stock'), In Stock=Green (=C2='In Stock').</t>
        </is>
      </c>
    </row>
    <row r="49">
      <c r="A49" s="19" t="inlineStr">
        <is>
          <t>Marks</t>
        </is>
      </c>
      <c r="B49" s="20" t="inlineStr">
        <is>
          <t>Total: 15 marks — allocate proportionally for each sub-part answered.</t>
        </is>
      </c>
    </row>
    <row r="50" ht="54" customHeight="1">
      <c r="A50" s="14" t="inlineStr">
        <is>
          <t>C3</t>
        </is>
      </c>
      <c r="B50" s="18" t="inlineStr">
        <is>
          <t>(a) =SUMIF(C:C,'Antibiotics',G:G) per category. (b) =COUNTIF(D2:D21,'&lt;='&amp;E2:E21) or =SUMPRODUCT((D2:D21&lt;=E2:E21)*1). (c) =COUNTIF(H2:H21,'&lt;='&amp;(TODAY()+30)) with DATEDIF. (d) =LARGE(G2:G21,1), LARGE(...,2), LARGE(...,3).</t>
        </is>
      </c>
    </row>
    <row r="51">
      <c r="A51" s="19" t="inlineStr">
        <is>
          <t>Marks</t>
        </is>
      </c>
      <c r="B51" s="20" t="inlineStr">
        <is>
          <t>Total: 20 marks — allocate proportionally for each sub-part answered.</t>
        </is>
      </c>
    </row>
  </sheetData>
  <mergeCells count="26">
    <mergeCell ref="A35"/>
    <mergeCell ref="B42:J42"/>
    <mergeCell ref="A43"/>
    <mergeCell ref="A4:J4"/>
    <mergeCell ref="B38:J38"/>
    <mergeCell ref="B34:J34"/>
    <mergeCell ref="B37:J37"/>
    <mergeCell ref="A39"/>
    <mergeCell ref="B40:J40"/>
    <mergeCell ref="B49:J49"/>
    <mergeCell ref="A1:J1"/>
    <mergeCell ref="A45:J45"/>
    <mergeCell ref="B51:J51"/>
    <mergeCell ref="B36:J36"/>
    <mergeCell ref="B50:J50"/>
    <mergeCell ref="B41:J41"/>
    <mergeCell ref="B35:J35"/>
    <mergeCell ref="A41"/>
    <mergeCell ref="B47:J47"/>
    <mergeCell ref="A37"/>
    <mergeCell ref="B46:J46"/>
    <mergeCell ref="B48:J48"/>
    <mergeCell ref="A2:J2"/>
    <mergeCell ref="B43:J43"/>
    <mergeCell ref="B39:J39"/>
    <mergeCell ref="A33:J3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2" customHeight="1">
      <c r="A1" s="1" t="inlineStr">
        <is>
          <t>ANSWER KEY – Assignment 5 (Advanced Excel &amp; VBA)</t>
        </is>
      </c>
    </row>
    <row r="2" ht="22" customHeight="1">
      <c r="A2" s="2" t="inlineStr">
        <is>
          <t>For Instructor/Evaluator Use Only – Confidential</t>
        </is>
      </c>
    </row>
    <row r="4" ht="20" customHeight="1">
      <c r="A4" s="4" t="inlineStr">
        <is>
          <t>SECTION A – MCQ Answer Key</t>
        </is>
      </c>
    </row>
    <row r="5">
      <c r="A5" s="15" t="inlineStr">
        <is>
          <t>Question</t>
        </is>
      </c>
      <c r="B5" s="15" t="inlineStr">
        <is>
          <t>Correct Answer</t>
        </is>
      </c>
      <c r="C5" s="15" t="inlineStr">
        <is>
          <t>Marks</t>
        </is>
      </c>
    </row>
    <row r="6">
      <c r="A6" s="8" t="inlineStr">
        <is>
          <t>Q1</t>
        </is>
      </c>
      <c r="B6" s="16" t="inlineStr">
        <is>
          <t>B</t>
        </is>
      </c>
      <c r="C6" s="8" t="n">
        <v>4</v>
      </c>
    </row>
    <row r="7">
      <c r="A7" s="8" t="inlineStr">
        <is>
          <t>Q2</t>
        </is>
      </c>
      <c r="B7" s="16" t="inlineStr">
        <is>
          <t>B</t>
        </is>
      </c>
      <c r="C7" s="8" t="n">
        <v>4</v>
      </c>
    </row>
    <row r="8">
      <c r="A8" s="8" t="inlineStr">
        <is>
          <t>Q3</t>
        </is>
      </c>
      <c r="B8" s="16" t="inlineStr">
        <is>
          <t>B</t>
        </is>
      </c>
      <c r="C8" s="8" t="n">
        <v>4</v>
      </c>
    </row>
    <row r="9">
      <c r="A9" s="8" t="inlineStr">
        <is>
          <t>Q4</t>
        </is>
      </c>
      <c r="B9" s="16" t="inlineStr">
        <is>
          <t>C</t>
        </is>
      </c>
      <c r="C9" s="8" t="n">
        <v>4</v>
      </c>
    </row>
    <row r="10">
      <c r="A10" s="8" t="inlineStr">
        <is>
          <t>Q5</t>
        </is>
      </c>
      <c r="B10" s="16" t="inlineStr">
        <is>
          <t>B</t>
        </is>
      </c>
      <c r="C10" s="8" t="n">
        <v>4</v>
      </c>
    </row>
    <row r="11">
      <c r="A11" s="8" t="inlineStr">
        <is>
          <t>Q6</t>
        </is>
      </c>
      <c r="B11" s="16" t="inlineStr">
        <is>
          <t>C</t>
        </is>
      </c>
      <c r="C11" s="8" t="n">
        <v>4</v>
      </c>
    </row>
    <row r="12">
      <c r="A12" s="8" t="inlineStr">
        <is>
          <t>Q7</t>
        </is>
      </c>
      <c r="B12" s="16" t="inlineStr">
        <is>
          <t>B</t>
        </is>
      </c>
      <c r="C12" s="8" t="n">
        <v>4</v>
      </c>
    </row>
    <row r="13">
      <c r="A13" s="8" t="inlineStr">
        <is>
          <t>Q8</t>
        </is>
      </c>
      <c r="B13" s="16" t="inlineStr">
        <is>
          <t>B</t>
        </is>
      </c>
      <c r="C13" s="8" t="n">
        <v>4</v>
      </c>
    </row>
    <row r="14">
      <c r="A14" s="8" t="inlineStr">
        <is>
          <t>Q9</t>
        </is>
      </c>
      <c r="B14" s="16" t="inlineStr">
        <is>
          <t>B</t>
        </is>
      </c>
      <c r="C14" s="8" t="n">
        <v>4</v>
      </c>
    </row>
    <row r="15">
      <c r="A15" s="8" t="inlineStr">
        <is>
          <t>Q10</t>
        </is>
      </c>
      <c r="B15" s="16" t="inlineStr">
        <is>
          <t>B</t>
        </is>
      </c>
      <c r="C15" s="8" t="n">
        <v>4</v>
      </c>
    </row>
    <row r="16">
      <c r="A16" s="8" t="inlineStr">
        <is>
          <t>Q11</t>
        </is>
      </c>
      <c r="B16" s="16" t="inlineStr">
        <is>
          <t>B</t>
        </is>
      </c>
      <c r="C16" s="8" t="n">
        <v>4</v>
      </c>
    </row>
    <row r="17">
      <c r="A17" s="8" t="inlineStr">
        <is>
          <t>Q12</t>
        </is>
      </c>
      <c r="B17" s="16" t="inlineStr">
        <is>
          <t>B</t>
        </is>
      </c>
      <c r="C17" s="8" t="n">
        <v>4</v>
      </c>
    </row>
    <row r="18">
      <c r="A18" s="8" t="inlineStr">
        <is>
          <t>Q13</t>
        </is>
      </c>
      <c r="B18" s="16" t="inlineStr">
        <is>
          <t>B</t>
        </is>
      </c>
      <c r="C18" s="8" t="n">
        <v>4</v>
      </c>
    </row>
    <row r="19">
      <c r="A19" s="8" t="inlineStr">
        <is>
          <t>Q14</t>
        </is>
      </c>
      <c r="B19" s="16" t="inlineStr">
        <is>
          <t>B</t>
        </is>
      </c>
      <c r="C19" s="8" t="n">
        <v>4</v>
      </c>
    </row>
    <row r="20">
      <c r="A20" s="8" t="inlineStr">
        <is>
          <t>Q15</t>
        </is>
      </c>
      <c r="B20" s="16" t="inlineStr">
        <is>
          <t>C</t>
        </is>
      </c>
      <c r="C20" s="8" t="n">
        <v>4</v>
      </c>
    </row>
    <row r="21">
      <c r="A21" s="8" t="inlineStr">
        <is>
          <t>Q16</t>
        </is>
      </c>
      <c r="B21" s="16" t="inlineStr">
        <is>
          <t>B</t>
        </is>
      </c>
      <c r="C21" s="8" t="n">
        <v>4</v>
      </c>
    </row>
    <row r="22">
      <c r="A22" s="8" t="inlineStr">
        <is>
          <t>Q17</t>
        </is>
      </c>
      <c r="B22" s="16" t="inlineStr">
        <is>
          <t>B</t>
        </is>
      </c>
      <c r="C22" s="8" t="n">
        <v>4</v>
      </c>
    </row>
    <row r="23">
      <c r="A23" s="8" t="inlineStr">
        <is>
          <t>Q18</t>
        </is>
      </c>
      <c r="B23" s="16" t="inlineStr">
        <is>
          <t>C</t>
        </is>
      </c>
      <c r="C23" s="8" t="n">
        <v>4</v>
      </c>
    </row>
    <row r="24">
      <c r="A24" s="8" t="inlineStr">
        <is>
          <t>Q19</t>
        </is>
      </c>
      <c r="B24" s="16" t="inlineStr">
        <is>
          <t>B</t>
        </is>
      </c>
      <c r="C24" s="8" t="n">
        <v>4</v>
      </c>
    </row>
    <row r="25">
      <c r="A25" s="8" t="inlineStr">
        <is>
          <t>Q20</t>
        </is>
      </c>
      <c r="B25" s="16" t="inlineStr">
        <is>
          <t>B</t>
        </is>
      </c>
      <c r="C25" s="8" t="n">
        <v>4</v>
      </c>
    </row>
    <row r="26">
      <c r="A26" s="8" t="inlineStr">
        <is>
          <t>Q21</t>
        </is>
      </c>
      <c r="B26" s="16" t="inlineStr">
        <is>
          <t>B</t>
        </is>
      </c>
      <c r="C26" s="8" t="n">
        <v>4</v>
      </c>
    </row>
    <row r="27">
      <c r="A27" s="8" t="inlineStr">
        <is>
          <t>Q22</t>
        </is>
      </c>
      <c r="B27" s="16" t="inlineStr">
        <is>
          <t>B</t>
        </is>
      </c>
      <c r="C27" s="8" t="n">
        <v>4</v>
      </c>
    </row>
    <row r="28">
      <c r="A28" s="8" t="inlineStr">
        <is>
          <t>Q23</t>
        </is>
      </c>
      <c r="B28" s="16" t="inlineStr">
        <is>
          <t>D</t>
        </is>
      </c>
      <c r="C28" s="8" t="n">
        <v>4</v>
      </c>
    </row>
    <row r="29">
      <c r="A29" s="8" t="inlineStr">
        <is>
          <t>Q24</t>
        </is>
      </c>
      <c r="B29" s="16" t="inlineStr">
        <is>
          <t>B</t>
        </is>
      </c>
      <c r="C29" s="8" t="n">
        <v>4</v>
      </c>
    </row>
    <row r="30">
      <c r="A30" s="8" t="inlineStr">
        <is>
          <t>Q25</t>
        </is>
      </c>
      <c r="B30" s="16" t="inlineStr">
        <is>
          <t>B</t>
        </is>
      </c>
      <c r="C30" s="8" t="n">
        <v>4</v>
      </c>
    </row>
    <row r="31">
      <c r="A31" s="17" t="inlineStr">
        <is>
          <t>Total Section A</t>
        </is>
      </c>
      <c r="C31" s="17">
        <f>SUM(C6:C30)</f>
        <v/>
      </c>
    </row>
    <row r="33" ht="20" customHeight="1">
      <c r="A33" s="9" t="inlineStr">
        <is>
          <t>SECTION B – Short Answer Model Answers (10 Marks Each)</t>
        </is>
      </c>
    </row>
    <row r="34" ht="44" customHeight="1">
      <c r="A34" s="10" t="inlineStr">
        <is>
          <t>Q1</t>
        </is>
      </c>
      <c r="B34" s="18" t="inlineStr">
        <is>
          <t>Enable Developer tab &gt; Record Macro &gt; name it &gt; choose shortcut key &gt; perform actions &gt; Stop Recording. Absolute: records exact cell addresses. Relative: records offsets from active cell — reusable in different positions.</t>
        </is>
      </c>
    </row>
    <row r="35">
      <c r="A35" s="19" t="inlineStr">
        <is>
          <t>Marking</t>
        </is>
      </c>
      <c r="B35" s="20" t="inlineStr">
        <is>
          <t>Concept(4) + Explanation(4) + Example(2) = 10 marks</t>
        </is>
      </c>
    </row>
    <row r="36" ht="40" customHeight="1">
      <c r="A36" s="10" t="inlineStr">
        <is>
          <t>Q2</t>
        </is>
      </c>
      <c r="B36" s="18" t="inlineStr">
        <is>
          <t>Sub HighlightAbove50()
    Dim i As Integer
    For i = 1 To 10
        If Cells(i, 1).Value &gt; 50 Then
            Cells(i, 1).Interior.Color = RGB(255, 255, 0)
        End If
    Next i
End Sub</t>
        </is>
      </c>
    </row>
    <row r="37">
      <c r="A37" s="19" t="inlineStr">
        <is>
          <t>Marking</t>
        </is>
      </c>
      <c r="B37" s="20" t="inlineStr">
        <is>
          <t>Concept(4) + Explanation(4) + Example(2) = 10 marks</t>
        </is>
      </c>
    </row>
    <row r="38" ht="40" customHeight="1">
      <c r="A38" s="10" t="inlineStr">
        <is>
          <t>Q3</t>
        </is>
      </c>
      <c r="B38" s="18" t="inlineStr">
        <is>
          <t>PMT(rate/12,nper,pv) – periodic payment. PV(rate,nper,pmt) – present value. FV(rate,nper,pmt,pv) – future value. RATE(nper,pmt,pv) – interest rate. EMI example: =PMT(8%/12,60,-500000) ≈ ₹10,138/month.</t>
        </is>
      </c>
    </row>
    <row r="39">
      <c r="A39" s="19" t="inlineStr">
        <is>
          <t>Marking</t>
        </is>
      </c>
      <c r="B39" s="20" t="inlineStr">
        <is>
          <t>Concept(4) + Explanation(4) + Example(2) = 10 marks</t>
        </is>
      </c>
    </row>
    <row r="40" ht="42" customHeight="1">
      <c r="A40" s="10" t="inlineStr">
        <is>
          <t>Q4</t>
        </is>
      </c>
      <c r="B40" s="18" t="inlineStr">
        <is>
          <t>DCF: project free cash flows (FCF) for 5 years. Calculate terminal value. Discount each FCF and TV at WACC using NPV function. Sum discounted values. IRR: =IRR(cash flow array). If IRR &gt; WACC, project is viable.</t>
        </is>
      </c>
    </row>
    <row r="41">
      <c r="A41" s="19" t="inlineStr">
        <is>
          <t>Marking</t>
        </is>
      </c>
      <c r="B41" s="20" t="inlineStr">
        <is>
          <t>Concept(4) + Explanation(4) + Example(2) = 10 marks</t>
        </is>
      </c>
    </row>
    <row r="42" ht="48" customHeight="1">
      <c r="A42" s="10" t="inlineStr">
        <is>
          <t>Q5</t>
        </is>
      </c>
      <c r="B42" s="18" t="inlineStr">
        <is>
          <t>Worksheet protection: Review &gt; Protect Sheet &gt; set password + allowed actions. Workbook protection: Review &gt; Protect Workbook &gt; prevents adding/deleting sheets. Sheet protection stops cell edits; workbook protection stops structure changes.</t>
        </is>
      </c>
    </row>
    <row r="43">
      <c r="A43" s="19" t="inlineStr">
        <is>
          <t>Marking</t>
        </is>
      </c>
      <c r="B43" s="20" t="inlineStr">
        <is>
          <t>Concept(4) + Explanation(4) + Example(2) = 10 marks</t>
        </is>
      </c>
    </row>
    <row r="45" ht="20" customHeight="1">
      <c r="A45" s="12" t="inlineStr">
        <is>
          <t>SECTION C – Case Study Model Answers</t>
        </is>
      </c>
    </row>
    <row r="46" ht="45" customHeight="1">
      <c r="A46" s="14" t="inlineStr">
        <is>
          <t>C1</t>
        </is>
      </c>
      <c r="B46" s="18" t="inlineStr">
        <is>
          <t>Revenue from Dataset 5. Variable Cost = Revenue × VC%. EBITDA = Revenue - Variable Cost - Fixed Cost. EBITDA Margin% = EBITDA/Revenue. Use consistent cell references for all 5 years.</t>
        </is>
      </c>
    </row>
    <row r="47">
      <c r="A47" s="19" t="inlineStr">
        <is>
          <t>Marks</t>
        </is>
      </c>
      <c r="B47" s="20" t="inlineStr">
        <is>
          <t>Total: 15 marks — allocate proportionally for each sub-part answered.</t>
        </is>
      </c>
    </row>
    <row r="48" ht="45" customHeight="1">
      <c r="A48" s="14" t="inlineStr">
        <is>
          <t>C2</t>
        </is>
      </c>
      <c r="B48" s="18">
        <f>NPV(discount_rate, FCF_year1:FCF_year5) + initial investment (negative). =IRR(all cash flows including year 0). If NPV&gt;0 and IRR&gt;hurdle rate (say 12%), the investment is worthwhile.</f>
        <v/>
      </c>
    </row>
    <row r="49">
      <c r="A49" s="19" t="inlineStr">
        <is>
          <t>Marks</t>
        </is>
      </c>
      <c r="B49" s="20" t="inlineStr">
        <is>
          <t>Total: 15 marks — allocate proportionally for each sub-part answered.</t>
        </is>
      </c>
    </row>
    <row r="50" ht="69" customHeight="1">
      <c r="A50" s="14" t="inlineStr">
        <is>
          <t>C3</t>
        </is>
      </c>
      <c r="B50" s="18" t="inlineStr">
        <is>
          <t>Set up a 2-variable data table: Row input = revenue growth rate (10%-30%), Column input = discount rate (8%-16%). Place NPV formula at intersection. Select entire table &gt; Data &gt; What-If Analysis &gt; Data Table. Interpret: Green (positive NPV) cells represent viable combinations.</t>
        </is>
      </c>
    </row>
    <row r="51">
      <c r="A51" s="19" t="inlineStr">
        <is>
          <t>Marks</t>
        </is>
      </c>
      <c r="B51" s="20" t="inlineStr">
        <is>
          <t>Total: 20 marks — allocate proportionally for each sub-part answered.</t>
        </is>
      </c>
    </row>
  </sheetData>
  <mergeCells count="26">
    <mergeCell ref="A35"/>
    <mergeCell ref="B42:J42"/>
    <mergeCell ref="A43"/>
    <mergeCell ref="A4:J4"/>
    <mergeCell ref="B38:J38"/>
    <mergeCell ref="B34:J34"/>
    <mergeCell ref="B37:J37"/>
    <mergeCell ref="A39"/>
    <mergeCell ref="B40:J40"/>
    <mergeCell ref="B49:J49"/>
    <mergeCell ref="A1:J1"/>
    <mergeCell ref="A45:J45"/>
    <mergeCell ref="B51:J51"/>
    <mergeCell ref="B36:J36"/>
    <mergeCell ref="B50:J50"/>
    <mergeCell ref="B41:J41"/>
    <mergeCell ref="B35:J35"/>
    <mergeCell ref="A41"/>
    <mergeCell ref="B47:J47"/>
    <mergeCell ref="A37"/>
    <mergeCell ref="B46:J46"/>
    <mergeCell ref="B48:J48"/>
    <mergeCell ref="A2:J2"/>
    <mergeCell ref="B43:J43"/>
    <mergeCell ref="B39:J39"/>
    <mergeCell ref="A33:J3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 ht="32" customHeight="1">
      <c r="A1" s="1" t="inlineStr">
        <is>
          <t>Dataset 1 – FreshMart Daily Sales (Assignment 1)</t>
        </is>
      </c>
    </row>
    <row r="2" ht="22" customHeight="1">
      <c r="A2" s="2" t="inlineStr">
        <is>
          <t>Use this data for Section C Case Study</t>
        </is>
      </c>
    </row>
    <row r="4">
      <c r="A4" s="21" t="inlineStr">
        <is>
          <t>Product Name</t>
        </is>
      </c>
      <c r="B4" s="21" t="inlineStr">
        <is>
          <t>Category</t>
        </is>
      </c>
      <c r="C4" s="21" t="inlineStr">
        <is>
          <t>Units Sold</t>
        </is>
      </c>
      <c r="D4" s="21" t="inlineStr">
        <is>
          <t>Unit Price (₹)</t>
        </is>
      </c>
      <c r="E4" s="21" t="inlineStr">
        <is>
          <t>Total Sales (₹)</t>
        </is>
      </c>
      <c r="F4" s="21" t="inlineStr">
        <is>
          <t>Rank (by Sales)</t>
        </is>
      </c>
      <c r="G4" s="21" t="inlineStr">
        <is>
          <t>Notes</t>
        </is>
      </c>
    </row>
    <row r="5">
      <c r="A5" s="22" t="inlineStr">
        <is>
          <t>Basmati Rice</t>
        </is>
      </c>
      <c r="B5" s="22" t="inlineStr">
        <is>
          <t>Grains</t>
        </is>
      </c>
      <c r="C5" s="22" t="n">
        <v>120</v>
      </c>
      <c r="D5" s="22" t="n">
        <v>85</v>
      </c>
      <c r="E5" s="22">
        <f>C5*D5</f>
        <v/>
      </c>
      <c r="F5" s="22">
        <f>RANK(E5,$E$5:$E$24,0)</f>
        <v/>
      </c>
      <c r="G5" s="22" t="inlineStr"/>
    </row>
    <row r="6">
      <c r="A6" s="23" t="inlineStr">
        <is>
          <t>Whole Wheat Flour</t>
        </is>
      </c>
      <c r="B6" s="23" t="inlineStr">
        <is>
          <t>Grains</t>
        </is>
      </c>
      <c r="C6" s="23" t="n">
        <v>200</v>
      </c>
      <c r="D6" s="23" t="n">
        <v>55</v>
      </c>
      <c r="E6" s="23">
        <f>C6*D6</f>
        <v/>
      </c>
      <c r="F6" s="23">
        <f>RANK(E6,$E$5:$E$24,0)</f>
        <v/>
      </c>
      <c r="G6" s="23" t="inlineStr"/>
    </row>
    <row r="7">
      <c r="A7" s="22" t="inlineStr">
        <is>
          <t>Toor Dal</t>
        </is>
      </c>
      <c r="B7" s="22" t="inlineStr">
        <is>
          <t>Pulses</t>
        </is>
      </c>
      <c r="C7" s="22" t="n">
        <v>90</v>
      </c>
      <c r="D7" s="22" t="n">
        <v>110</v>
      </c>
      <c r="E7" s="22">
        <f>C7*D7</f>
        <v/>
      </c>
      <c r="F7" s="22">
        <f>RANK(E7,$E$5:$E$24,0)</f>
        <v/>
      </c>
      <c r="G7" s="22" t="inlineStr"/>
    </row>
    <row r="8">
      <c r="A8" s="23" t="inlineStr">
        <is>
          <t>Moong Dal</t>
        </is>
      </c>
      <c r="B8" s="23" t="inlineStr">
        <is>
          <t>Pulses</t>
        </is>
      </c>
      <c r="C8" s="23" t="n">
        <v>75</v>
      </c>
      <c r="D8" s="23" t="n">
        <v>120</v>
      </c>
      <c r="E8" s="23">
        <f>C8*D8</f>
        <v/>
      </c>
      <c r="F8" s="23">
        <f>RANK(E8,$E$5:$E$24,0)</f>
        <v/>
      </c>
      <c r="G8" s="23" t="inlineStr"/>
    </row>
    <row r="9">
      <c r="A9" s="22" t="inlineStr">
        <is>
          <t>Sunflower Oil (1L)</t>
        </is>
      </c>
      <c r="B9" s="22" t="inlineStr">
        <is>
          <t>Oil</t>
        </is>
      </c>
      <c r="C9" s="22" t="n">
        <v>60</v>
      </c>
      <c r="D9" s="22" t="n">
        <v>160</v>
      </c>
      <c r="E9" s="22">
        <f>C9*D9</f>
        <v/>
      </c>
      <c r="F9" s="22">
        <f>RANK(E9,$E$5:$E$24,0)</f>
        <v/>
      </c>
      <c r="G9" s="22" t="inlineStr"/>
    </row>
    <row r="10">
      <c r="A10" s="23" t="inlineStr">
        <is>
          <t>Mustard Oil (1L)</t>
        </is>
      </c>
      <c r="B10" s="23" t="inlineStr">
        <is>
          <t>Oil</t>
        </is>
      </c>
      <c r="C10" s="23" t="n">
        <v>45</v>
      </c>
      <c r="D10" s="23" t="n">
        <v>140</v>
      </c>
      <c r="E10" s="23">
        <f>C10*D10</f>
        <v/>
      </c>
      <c r="F10" s="23">
        <f>RANK(E10,$E$5:$E$24,0)</f>
        <v/>
      </c>
      <c r="G10" s="23" t="inlineStr"/>
    </row>
    <row r="11">
      <c r="A11" s="22" t="inlineStr">
        <is>
          <t>Sugar (1kg)</t>
        </is>
      </c>
      <c r="B11" s="22" t="inlineStr">
        <is>
          <t>Sweeteners</t>
        </is>
      </c>
      <c r="C11" s="22" t="n">
        <v>180</v>
      </c>
      <c r="D11" s="22" t="n">
        <v>50</v>
      </c>
      <c r="E11" s="22">
        <f>C11*D11</f>
        <v/>
      </c>
      <c r="F11" s="22">
        <f>RANK(E11,$E$5:$E$24,0)</f>
        <v/>
      </c>
      <c r="G11" s="22" t="inlineStr"/>
    </row>
    <row r="12">
      <c r="A12" s="23" t="inlineStr">
        <is>
          <t>Salt (1kg)</t>
        </is>
      </c>
      <c r="B12" s="23" t="inlineStr">
        <is>
          <t>Condiments</t>
        </is>
      </c>
      <c r="C12" s="23" t="n">
        <v>220</v>
      </c>
      <c r="D12" s="23" t="n">
        <v>20</v>
      </c>
      <c r="E12" s="23">
        <f>C12*D12</f>
        <v/>
      </c>
      <c r="F12" s="23">
        <f>RANK(E12,$E$5:$E$24,0)</f>
        <v/>
      </c>
      <c r="G12" s="23" t="inlineStr"/>
    </row>
    <row r="13">
      <c r="A13" s="22" t="inlineStr">
        <is>
          <t>Turmeric Powder</t>
        </is>
      </c>
      <c r="B13" s="22" t="inlineStr">
        <is>
          <t>Spices</t>
        </is>
      </c>
      <c r="C13" s="22" t="n">
        <v>100</v>
      </c>
      <c r="D13" s="22" t="n">
        <v>35</v>
      </c>
      <c r="E13" s="22">
        <f>C13*D13</f>
        <v/>
      </c>
      <c r="F13" s="22">
        <f>RANK(E13,$E$5:$E$24,0)</f>
        <v/>
      </c>
      <c r="G13" s="22" t="inlineStr"/>
    </row>
    <row r="14">
      <c r="A14" s="23" t="inlineStr">
        <is>
          <t>Red Chilli Powder</t>
        </is>
      </c>
      <c r="B14" s="23" t="inlineStr">
        <is>
          <t>Spices</t>
        </is>
      </c>
      <c r="C14" s="23" t="n">
        <v>85</v>
      </c>
      <c r="D14" s="23" t="n">
        <v>45</v>
      </c>
      <c r="E14" s="23">
        <f>C14*D14</f>
        <v/>
      </c>
      <c r="F14" s="23">
        <f>RANK(E14,$E$5:$E$24,0)</f>
        <v/>
      </c>
      <c r="G14" s="23" t="inlineStr"/>
    </row>
    <row r="15">
      <c r="A15" s="22" t="inlineStr">
        <is>
          <t>Full Cream Milk (1L)</t>
        </is>
      </c>
      <c r="B15" s="22" t="inlineStr">
        <is>
          <t>Dairy</t>
        </is>
      </c>
      <c r="C15" s="22" t="n">
        <v>300</v>
      </c>
      <c r="D15" s="22" t="n">
        <v>58</v>
      </c>
      <c r="E15" s="22">
        <f>C15*D15</f>
        <v/>
      </c>
      <c r="F15" s="22">
        <f>RANK(E15,$E$5:$E$24,0)</f>
        <v/>
      </c>
      <c r="G15" s="22" t="inlineStr"/>
    </row>
    <row r="16">
      <c r="A16" s="23" t="inlineStr">
        <is>
          <t>Paneer (200g)</t>
        </is>
      </c>
      <c r="B16" s="23" t="inlineStr">
        <is>
          <t>Dairy</t>
        </is>
      </c>
      <c r="C16" s="23" t="n">
        <v>50</v>
      </c>
      <c r="D16" s="23" t="n">
        <v>80</v>
      </c>
      <c r="E16" s="23">
        <f>C16*D16</f>
        <v/>
      </c>
      <c r="F16" s="23">
        <f>RANK(E16,$E$5:$E$24,0)</f>
        <v/>
      </c>
      <c r="G16" s="23" t="inlineStr"/>
    </row>
    <row r="17">
      <c r="A17" s="22" t="inlineStr">
        <is>
          <t>Eggs (12 pcs)</t>
        </is>
      </c>
      <c r="B17" s="22" t="inlineStr">
        <is>
          <t>Poultry</t>
        </is>
      </c>
      <c r="C17" s="22" t="n">
        <v>160</v>
      </c>
      <c r="D17" s="22" t="n">
        <v>72</v>
      </c>
      <c r="E17" s="22">
        <f>C17*D17</f>
        <v/>
      </c>
      <c r="F17" s="22">
        <f>RANK(E17,$E$5:$E$24,0)</f>
        <v/>
      </c>
      <c r="G17" s="22" t="inlineStr"/>
    </row>
    <row r="18">
      <c r="A18" s="23" t="inlineStr">
        <is>
          <t>Chicken (1kg)</t>
        </is>
      </c>
      <c r="B18" s="23" t="inlineStr">
        <is>
          <t>Poultry</t>
        </is>
      </c>
      <c r="C18" s="23" t="n">
        <v>40</v>
      </c>
      <c r="D18" s="23" t="n">
        <v>220</v>
      </c>
      <c r="E18" s="23">
        <f>C18*D18</f>
        <v/>
      </c>
      <c r="F18" s="23">
        <f>RANK(E18,$E$5:$E$24,0)</f>
        <v/>
      </c>
      <c r="G18" s="23" t="inlineStr"/>
    </row>
    <row r="19">
      <c r="A19" s="22" t="inlineStr">
        <is>
          <t>Tomatoes (1kg)</t>
        </is>
      </c>
      <c r="B19" s="22" t="inlineStr">
        <is>
          <t>Vegetables</t>
        </is>
      </c>
      <c r="C19" s="22" t="n">
        <v>250</v>
      </c>
      <c r="D19" s="22" t="n">
        <v>30</v>
      </c>
      <c r="E19" s="22">
        <f>C19*D19</f>
        <v/>
      </c>
      <c r="F19" s="22">
        <f>RANK(E19,$E$5:$E$24,0)</f>
        <v/>
      </c>
      <c r="G19" s="22" t="inlineStr"/>
    </row>
    <row r="20">
      <c r="A20" s="23" t="inlineStr">
        <is>
          <t>Onions (1kg)</t>
        </is>
      </c>
      <c r="B20" s="23" t="inlineStr">
        <is>
          <t>Vegetables</t>
        </is>
      </c>
      <c r="C20" s="23" t="n">
        <v>300</v>
      </c>
      <c r="D20" s="23" t="n">
        <v>25</v>
      </c>
      <c r="E20" s="23">
        <f>C20*D20</f>
        <v/>
      </c>
      <c r="F20" s="23">
        <f>RANK(E20,$E$5:$E$24,0)</f>
        <v/>
      </c>
      <c r="G20" s="23" t="inlineStr"/>
    </row>
    <row r="21">
      <c r="A21" s="22" t="inlineStr">
        <is>
          <t>Potatoes (1kg)</t>
        </is>
      </c>
      <c r="B21" s="22" t="inlineStr">
        <is>
          <t>Vegetables</t>
        </is>
      </c>
      <c r="C21" s="22" t="n">
        <v>280</v>
      </c>
      <c r="D21" s="22" t="n">
        <v>22</v>
      </c>
      <c r="E21" s="22">
        <f>C21*D21</f>
        <v/>
      </c>
      <c r="F21" s="22">
        <f>RANK(E21,$E$5:$E$24,0)</f>
        <v/>
      </c>
      <c r="G21" s="22" t="inlineStr"/>
    </row>
    <row r="22">
      <c r="A22" s="23" t="inlineStr">
        <is>
          <t>Amul Butter (100g)</t>
        </is>
      </c>
      <c r="B22" s="23" t="inlineStr">
        <is>
          <t>Dairy</t>
        </is>
      </c>
      <c r="C22" s="23" t="n">
        <v>110</v>
      </c>
      <c r="D22" s="23" t="n">
        <v>55</v>
      </c>
      <c r="E22" s="23">
        <f>C22*D22</f>
        <v/>
      </c>
      <c r="F22" s="23">
        <f>RANK(E22,$E$5:$E$24,0)</f>
        <v/>
      </c>
      <c r="G22" s="23" t="inlineStr"/>
    </row>
    <row r="23">
      <c r="A23" s="22" t="inlineStr">
        <is>
          <t>Biscuits (Parle-G)</t>
        </is>
      </c>
      <c r="B23" s="22" t="inlineStr">
        <is>
          <t>Snacks</t>
        </is>
      </c>
      <c r="C23" s="22" t="n">
        <v>400</v>
      </c>
      <c r="D23" s="22" t="n">
        <v>10</v>
      </c>
      <c r="E23" s="22">
        <f>C23*D23</f>
        <v/>
      </c>
      <c r="F23" s="22">
        <f>RANK(E23,$E$5:$E$24,0)</f>
        <v/>
      </c>
      <c r="G23" s="22" t="inlineStr"/>
    </row>
    <row r="24">
      <c r="A24" s="23" t="inlineStr">
        <is>
          <t>Maggi Noodles</t>
        </is>
      </c>
      <c r="B24" s="23" t="inlineStr">
        <is>
          <t>Snacks</t>
        </is>
      </c>
      <c r="C24" s="23" t="n">
        <v>190</v>
      </c>
      <c r="D24" s="23" t="n">
        <v>14</v>
      </c>
      <c r="E24" s="23">
        <f>C24*D24</f>
        <v/>
      </c>
      <c r="F24" s="23">
        <f>RANK(E24,$E$5:$E$24,0)</f>
        <v/>
      </c>
      <c r="G24" s="23" t="inlineStr"/>
    </row>
    <row r="25">
      <c r="A25" s="24" t="inlineStr">
        <is>
          <t>TOTAL</t>
        </is>
      </c>
      <c r="C25">
        <f>SUM(C5:C24)</f>
        <v/>
      </c>
      <c r="E25">
        <f>SUM(E5:E24)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</cols>
  <sheetData>
    <row r="1" ht="32" customHeight="1">
      <c r="A1" s="1" t="inlineStr">
        <is>
          <t>Dataset 2 – TechEdge Employee Salary (Assignment 2)</t>
        </is>
      </c>
    </row>
    <row r="2" ht="22" customHeight="1">
      <c r="A2" s="2" t="inlineStr">
        <is>
          <t>Use this data for Section C Case Study</t>
        </is>
      </c>
    </row>
    <row r="4" ht="28" customHeight="1">
      <c r="A4" s="25" t="inlineStr">
        <is>
          <t>Emp ID</t>
        </is>
      </c>
      <c r="B4" s="25" t="inlineStr">
        <is>
          <t>Name</t>
        </is>
      </c>
      <c r="C4" s="25" t="inlineStr">
        <is>
          <t>Department</t>
        </is>
      </c>
      <c r="D4" s="25" t="inlineStr">
        <is>
          <t>Basic Salary (₹)</t>
        </is>
      </c>
      <c r="E4" s="25" t="inlineStr">
        <is>
          <t>HRA (₹)</t>
        </is>
      </c>
      <c r="F4" s="25" t="inlineStr">
        <is>
          <t>DA (₹)</t>
        </is>
      </c>
      <c r="G4" s="25" t="inlineStr">
        <is>
          <t>Gross Salary (₹)</t>
        </is>
      </c>
      <c r="H4" s="25" t="inlineStr">
        <is>
          <t>Tax (₹)</t>
        </is>
      </c>
      <c r="I4" s="25" t="inlineStr">
        <is>
          <t>Net Salary (₹)</t>
        </is>
      </c>
    </row>
    <row r="5">
      <c r="A5" s="22" t="inlineStr">
        <is>
          <t>E001</t>
        </is>
      </c>
      <c r="B5" s="22" t="inlineStr">
        <is>
          <t>Aakash Sharma</t>
        </is>
      </c>
      <c r="C5" s="22" t="inlineStr">
        <is>
          <t>IT</t>
        </is>
      </c>
      <c r="D5" s="22" t="n">
        <v>45000</v>
      </c>
      <c r="E5" s="22">
        <f>D5*20%</f>
        <v/>
      </c>
      <c r="F5" s="22">
        <f>D5*15%</f>
        <v/>
      </c>
      <c r="G5" s="22">
        <f>D5+E5+F5</f>
        <v/>
      </c>
      <c r="H5" s="22">
        <f>IF(G5&gt;50000,G5*10%,G5*5%)</f>
        <v/>
      </c>
      <c r="I5" s="22">
        <f>G5-H5</f>
        <v/>
      </c>
    </row>
    <row r="6">
      <c r="A6" s="26" t="inlineStr">
        <is>
          <t>E002</t>
        </is>
      </c>
      <c r="B6" s="26" t="inlineStr">
        <is>
          <t>Priya Verma</t>
        </is>
      </c>
      <c r="C6" s="26" t="inlineStr">
        <is>
          <t>HR</t>
        </is>
      </c>
      <c r="D6" s="26" t="n">
        <v>38000</v>
      </c>
      <c r="E6" s="26">
        <f>D6*20%</f>
        <v/>
      </c>
      <c r="F6" s="26">
        <f>D6*15%</f>
        <v/>
      </c>
      <c r="G6" s="26">
        <f>D6+E6+F6</f>
        <v/>
      </c>
      <c r="H6" s="26">
        <f>IF(G6&gt;50000,G6*10%,G6*5%)</f>
        <v/>
      </c>
      <c r="I6" s="26">
        <f>G6-H6</f>
        <v/>
      </c>
    </row>
    <row r="7">
      <c r="A7" s="22" t="inlineStr">
        <is>
          <t>E003</t>
        </is>
      </c>
      <c r="B7" s="22" t="inlineStr">
        <is>
          <t>Rohit Gupta</t>
        </is>
      </c>
      <c r="C7" s="22" t="inlineStr">
        <is>
          <t>Finance</t>
        </is>
      </c>
      <c r="D7" s="22" t="n">
        <v>55000</v>
      </c>
      <c r="E7" s="22">
        <f>D7*20%</f>
        <v/>
      </c>
      <c r="F7" s="22">
        <f>D7*15%</f>
        <v/>
      </c>
      <c r="G7" s="22">
        <f>D7+E7+F7</f>
        <v/>
      </c>
      <c r="H7" s="22">
        <f>IF(G7&gt;50000,G7*10%,G7*5%)</f>
        <v/>
      </c>
      <c r="I7" s="22">
        <f>G7-H7</f>
        <v/>
      </c>
    </row>
    <row r="8">
      <c r="A8" s="26" t="inlineStr">
        <is>
          <t>E004</t>
        </is>
      </c>
      <c r="B8" s="26" t="inlineStr">
        <is>
          <t>Sneha Patel</t>
        </is>
      </c>
      <c r="C8" s="26" t="inlineStr">
        <is>
          <t>IT</t>
        </is>
      </c>
      <c r="D8" s="26" t="n">
        <v>62000</v>
      </c>
      <c r="E8" s="26">
        <f>D8*20%</f>
        <v/>
      </c>
      <c r="F8" s="26">
        <f>D8*15%</f>
        <v/>
      </c>
      <c r="G8" s="26">
        <f>D8+E8+F8</f>
        <v/>
      </c>
      <c r="H8" s="26">
        <f>IF(G8&gt;50000,G8*10%,G8*5%)</f>
        <v/>
      </c>
      <c r="I8" s="26">
        <f>G8-H8</f>
        <v/>
      </c>
    </row>
    <row r="9">
      <c r="A9" s="22" t="inlineStr">
        <is>
          <t>E005</t>
        </is>
      </c>
      <c r="B9" s="22" t="inlineStr">
        <is>
          <t>Amita Singh</t>
        </is>
      </c>
      <c r="C9" s="22" t="inlineStr">
        <is>
          <t>Marketing</t>
        </is>
      </c>
      <c r="D9" s="22" t="n">
        <v>41000</v>
      </c>
      <c r="E9" s="22">
        <f>D9*20%</f>
        <v/>
      </c>
      <c r="F9" s="22">
        <f>D9*15%</f>
        <v/>
      </c>
      <c r="G9" s="22">
        <f>D9+E9+F9</f>
        <v/>
      </c>
      <c r="H9" s="22">
        <f>IF(G9&gt;50000,G9*10%,G9*5%)</f>
        <v/>
      </c>
      <c r="I9" s="22">
        <f>G9-H9</f>
        <v/>
      </c>
    </row>
    <row r="10">
      <c r="A10" s="26" t="inlineStr">
        <is>
          <t>E006</t>
        </is>
      </c>
      <c r="B10" s="26" t="inlineStr">
        <is>
          <t>Vikram Rao</t>
        </is>
      </c>
      <c r="C10" s="26" t="inlineStr">
        <is>
          <t>Finance</t>
        </is>
      </c>
      <c r="D10" s="26" t="n">
        <v>70000</v>
      </c>
      <c r="E10" s="26">
        <f>D10*20%</f>
        <v/>
      </c>
      <c r="F10" s="26">
        <f>D10*15%</f>
        <v/>
      </c>
      <c r="G10" s="26">
        <f>D10+E10+F10</f>
        <v/>
      </c>
      <c r="H10" s="26">
        <f>IF(G10&gt;50000,G10*10%,G10*5%)</f>
        <v/>
      </c>
      <c r="I10" s="26">
        <f>G10-H10</f>
        <v/>
      </c>
    </row>
    <row r="11">
      <c r="A11" s="22" t="inlineStr">
        <is>
          <t>E007</t>
        </is>
      </c>
      <c r="B11" s="22" t="inlineStr">
        <is>
          <t>Divya Nair</t>
        </is>
      </c>
      <c r="C11" s="22" t="inlineStr">
        <is>
          <t>HR</t>
        </is>
      </c>
      <c r="D11" s="22" t="n">
        <v>33000</v>
      </c>
      <c r="E11" s="22">
        <f>D11*20%</f>
        <v/>
      </c>
      <c r="F11" s="22">
        <f>D11*15%</f>
        <v/>
      </c>
      <c r="G11" s="22">
        <f>D11+E11+F11</f>
        <v/>
      </c>
      <c r="H11" s="22">
        <f>IF(G11&gt;50000,G11*10%,G11*5%)</f>
        <v/>
      </c>
      <c r="I11" s="22">
        <f>G11-H11</f>
        <v/>
      </c>
    </row>
    <row r="12">
      <c r="A12" s="26" t="inlineStr">
        <is>
          <t>E008</t>
        </is>
      </c>
      <c r="B12" s="26" t="inlineStr">
        <is>
          <t>Arjun Mehta</t>
        </is>
      </c>
      <c r="C12" s="26" t="inlineStr">
        <is>
          <t>IT</t>
        </is>
      </c>
      <c r="D12" s="26" t="n">
        <v>58000</v>
      </c>
      <c r="E12" s="26">
        <f>D12*20%</f>
        <v/>
      </c>
      <c r="F12" s="26">
        <f>D12*15%</f>
        <v/>
      </c>
      <c r="G12" s="26">
        <f>D12+E12+F12</f>
        <v/>
      </c>
      <c r="H12" s="26">
        <f>IF(G12&gt;50000,G12*10%,G12*5%)</f>
        <v/>
      </c>
      <c r="I12" s="26">
        <f>G12-H12</f>
        <v/>
      </c>
    </row>
    <row r="13">
      <c r="A13" s="22" t="inlineStr">
        <is>
          <t>E009</t>
        </is>
      </c>
      <c r="B13" s="22" t="inlineStr">
        <is>
          <t>Pooja Iyer</t>
        </is>
      </c>
      <c r="C13" s="22" t="inlineStr">
        <is>
          <t>Marketing</t>
        </is>
      </c>
      <c r="D13" s="22" t="n">
        <v>47000</v>
      </c>
      <c r="E13" s="22">
        <f>D13*20%</f>
        <v/>
      </c>
      <c r="F13" s="22">
        <f>D13*15%</f>
        <v/>
      </c>
      <c r="G13" s="22">
        <f>D13+E13+F13</f>
        <v/>
      </c>
      <c r="H13" s="22">
        <f>IF(G13&gt;50000,G13*10%,G13*5%)</f>
        <v/>
      </c>
      <c r="I13" s="22">
        <f>G13-H13</f>
        <v/>
      </c>
    </row>
    <row r="14">
      <c r="A14" s="26" t="inlineStr">
        <is>
          <t>E010</t>
        </is>
      </c>
      <c r="B14" s="26" t="inlineStr">
        <is>
          <t>Kiran Desai</t>
        </is>
      </c>
      <c r="C14" s="26" t="inlineStr">
        <is>
          <t>Finance</t>
        </is>
      </c>
      <c r="D14" s="26" t="n">
        <v>85000</v>
      </c>
      <c r="E14" s="26">
        <f>D14*20%</f>
        <v/>
      </c>
      <c r="F14" s="26">
        <f>D14*15%</f>
        <v/>
      </c>
      <c r="G14" s="26">
        <f>D14+E14+F14</f>
        <v/>
      </c>
      <c r="H14" s="26">
        <f>IF(G14&gt;50000,G14*10%,G14*5%)</f>
        <v/>
      </c>
      <c r="I14" s="26">
        <f>G14-H14</f>
        <v/>
      </c>
    </row>
    <row r="15">
      <c r="A15" s="22" t="inlineStr">
        <is>
          <t>E011</t>
        </is>
      </c>
      <c r="B15" s="22" t="inlineStr">
        <is>
          <t>Manish Tiwari</t>
        </is>
      </c>
      <c r="C15" s="22" t="inlineStr">
        <is>
          <t>IT</t>
        </is>
      </c>
      <c r="D15" s="22" t="n">
        <v>40000</v>
      </c>
      <c r="E15" s="22">
        <f>D15*20%</f>
        <v/>
      </c>
      <c r="F15" s="22">
        <f>D15*15%</f>
        <v/>
      </c>
      <c r="G15" s="22">
        <f>D15+E15+F15</f>
        <v/>
      </c>
      <c r="H15" s="22">
        <f>IF(G15&gt;50000,G15*10%,G15*5%)</f>
        <v/>
      </c>
      <c r="I15" s="22">
        <f>G15-H15</f>
        <v/>
      </c>
    </row>
    <row r="16">
      <c r="A16" s="26" t="inlineStr">
        <is>
          <t>E012</t>
        </is>
      </c>
      <c r="B16" s="26" t="inlineStr">
        <is>
          <t>Suman Joshi</t>
        </is>
      </c>
      <c r="C16" s="26" t="inlineStr">
        <is>
          <t>HR</t>
        </is>
      </c>
      <c r="D16" s="26" t="n">
        <v>36000</v>
      </c>
      <c r="E16" s="26">
        <f>D16*20%</f>
        <v/>
      </c>
      <c r="F16" s="26">
        <f>D16*15%</f>
        <v/>
      </c>
      <c r="G16" s="26">
        <f>D16+E16+F16</f>
        <v/>
      </c>
      <c r="H16" s="26">
        <f>IF(G16&gt;50000,G16*10%,G16*5%)</f>
        <v/>
      </c>
      <c r="I16" s="26">
        <f>G16-H16</f>
        <v/>
      </c>
    </row>
    <row r="17">
      <c r="A17" s="22" t="inlineStr">
        <is>
          <t>E013</t>
        </is>
      </c>
      <c r="B17" s="22" t="inlineStr">
        <is>
          <t>Ravi Kumar</t>
        </is>
      </c>
      <c r="C17" s="22" t="inlineStr">
        <is>
          <t>Marketing</t>
        </is>
      </c>
      <c r="D17" s="22" t="n">
        <v>52000</v>
      </c>
      <c r="E17" s="22">
        <f>D17*20%</f>
        <v/>
      </c>
      <c r="F17" s="22">
        <f>D17*15%</f>
        <v/>
      </c>
      <c r="G17" s="22">
        <f>D17+E17+F17</f>
        <v/>
      </c>
      <c r="H17" s="22">
        <f>IF(G17&gt;50000,G17*10%,G17*5%)</f>
        <v/>
      </c>
      <c r="I17" s="22">
        <f>G17-H17</f>
        <v/>
      </c>
    </row>
    <row r="18">
      <c r="A18" s="26" t="inlineStr">
        <is>
          <t>E014</t>
        </is>
      </c>
      <c r="B18" s="26" t="inlineStr">
        <is>
          <t>Ananya Rao</t>
        </is>
      </c>
      <c r="C18" s="26" t="inlineStr">
        <is>
          <t>IT</t>
        </is>
      </c>
      <c r="D18" s="26" t="n">
        <v>67000</v>
      </c>
      <c r="E18" s="26">
        <f>D18*20%</f>
        <v/>
      </c>
      <c r="F18" s="26">
        <f>D18*15%</f>
        <v/>
      </c>
      <c r="G18" s="26">
        <f>D18+E18+F18</f>
        <v/>
      </c>
      <c r="H18" s="26">
        <f>IF(G18&gt;50000,G18*10%,G18*5%)</f>
        <v/>
      </c>
      <c r="I18" s="26">
        <f>G18-H18</f>
        <v/>
      </c>
    </row>
    <row r="19">
      <c r="A19" s="22" t="inlineStr">
        <is>
          <t>E015</t>
        </is>
      </c>
      <c r="B19" s="22" t="inlineStr">
        <is>
          <t>Suresh Menon</t>
        </is>
      </c>
      <c r="C19" s="22" t="inlineStr">
        <is>
          <t>Finance</t>
        </is>
      </c>
      <c r="D19" s="22" t="n">
        <v>48000</v>
      </c>
      <c r="E19" s="22">
        <f>D19*20%</f>
        <v/>
      </c>
      <c r="F19" s="22">
        <f>D19*15%</f>
        <v/>
      </c>
      <c r="G19" s="22">
        <f>D19+E19+F19</f>
        <v/>
      </c>
      <c r="H19" s="22">
        <f>IF(G19&gt;50000,G19*10%,G19*5%)</f>
        <v/>
      </c>
      <c r="I19" s="22">
        <f>G19-H19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4" customWidth="1" min="4" max="4"/>
    <col width="12" customWidth="1" min="5" max="5"/>
    <col width="14" customWidth="1" min="6" max="6"/>
    <col width="16" customWidth="1" min="7" max="7"/>
    <col width="12" customWidth="1" min="8" max="8"/>
  </cols>
  <sheetData>
    <row r="1" ht="32" customHeight="1">
      <c r="A1" s="1" t="inlineStr">
        <is>
          <t>Dataset 3 – GlobalTrade Quarterly Sales (Assignment 3)</t>
        </is>
      </c>
    </row>
    <row r="2" ht="22" customHeight="1">
      <c r="A2" s="2" t="inlineStr">
        <is>
          <t>Use this data for Section C Case Study</t>
        </is>
      </c>
    </row>
    <row r="4">
      <c r="A4" s="27" t="inlineStr">
        <is>
          <t>Year</t>
        </is>
      </c>
      <c r="B4" s="27" t="inlineStr">
        <is>
          <t>Quarter</t>
        </is>
      </c>
      <c r="C4" s="27" t="inlineStr">
        <is>
          <t>Region</t>
        </is>
      </c>
      <c r="D4" s="27" t="inlineStr">
        <is>
          <t>Product</t>
        </is>
      </c>
      <c r="E4" s="27" t="inlineStr">
        <is>
          <t>Units Sold</t>
        </is>
      </c>
      <c r="F4" s="27" t="inlineStr">
        <is>
          <t>Unit Price (₹)</t>
        </is>
      </c>
      <c r="G4" s="27" t="inlineStr">
        <is>
          <t>Total Sales (₹)</t>
        </is>
      </c>
      <c r="H4" s="27" t="inlineStr">
        <is>
          <t>Notes</t>
        </is>
      </c>
    </row>
    <row r="5">
      <c r="A5" s="22" t="n">
        <v>2023</v>
      </c>
      <c r="B5" s="22" t="inlineStr">
        <is>
          <t>Q1</t>
        </is>
      </c>
      <c r="C5" s="22" t="inlineStr">
        <is>
          <t>North</t>
        </is>
      </c>
      <c r="D5" s="22" t="inlineStr">
        <is>
          <t>Electronics</t>
        </is>
      </c>
      <c r="E5" s="22" t="n">
        <v>377</v>
      </c>
      <c r="F5" s="22" t="n">
        <v>12000</v>
      </c>
      <c r="G5" s="22">
        <f>E5*F5</f>
        <v/>
      </c>
      <c r="H5" s="22" t="n"/>
    </row>
    <row r="6">
      <c r="A6" s="28" t="n">
        <v>2023</v>
      </c>
      <c r="B6" s="28" t="inlineStr">
        <is>
          <t>Q1</t>
        </is>
      </c>
      <c r="C6" s="28" t="inlineStr">
        <is>
          <t>North</t>
        </is>
      </c>
      <c r="D6" s="28" t="inlineStr">
        <is>
          <t>Clothing</t>
        </is>
      </c>
      <c r="E6" s="28" t="n">
        <v>107</v>
      </c>
      <c r="F6" s="28" t="n">
        <v>1500</v>
      </c>
      <c r="G6" s="28">
        <f>E6*F6</f>
        <v/>
      </c>
      <c r="H6" s="28" t="n"/>
    </row>
    <row r="7">
      <c r="A7" s="22" t="n">
        <v>2023</v>
      </c>
      <c r="B7" s="22" t="inlineStr">
        <is>
          <t>Q1</t>
        </is>
      </c>
      <c r="C7" s="22" t="inlineStr">
        <is>
          <t>North</t>
        </is>
      </c>
      <c r="D7" s="22" t="inlineStr">
        <is>
          <t>Furniture</t>
        </is>
      </c>
      <c r="E7" s="22" t="n">
        <v>62</v>
      </c>
      <c r="F7" s="22" t="n">
        <v>8000</v>
      </c>
      <c r="G7" s="22">
        <f>E7*F7</f>
        <v/>
      </c>
      <c r="H7" s="22" t="n"/>
    </row>
    <row r="8">
      <c r="A8" s="28" t="n">
        <v>2023</v>
      </c>
      <c r="B8" s="28" t="inlineStr">
        <is>
          <t>Q1</t>
        </is>
      </c>
      <c r="C8" s="28" t="inlineStr">
        <is>
          <t>North</t>
        </is>
      </c>
      <c r="D8" s="28" t="inlineStr">
        <is>
          <t>Groceries</t>
        </is>
      </c>
      <c r="E8" s="28" t="n">
        <v>429</v>
      </c>
      <c r="F8" s="28" t="n">
        <v>200</v>
      </c>
      <c r="G8" s="28">
        <f>E8*F8</f>
        <v/>
      </c>
      <c r="H8" s="28" t="n"/>
    </row>
    <row r="9">
      <c r="A9" s="22" t="n">
        <v>2023</v>
      </c>
      <c r="B9" s="22" t="inlineStr">
        <is>
          <t>Q1</t>
        </is>
      </c>
      <c r="C9" s="22" t="inlineStr">
        <is>
          <t>South</t>
        </is>
      </c>
      <c r="D9" s="22" t="inlineStr">
        <is>
          <t>Electronics</t>
        </is>
      </c>
      <c r="E9" s="22" t="n">
        <v>190</v>
      </c>
      <c r="F9" s="22" t="n">
        <v>12000</v>
      </c>
      <c r="G9" s="22">
        <f>E9*F9</f>
        <v/>
      </c>
      <c r="H9" s="22" t="n"/>
    </row>
    <row r="10">
      <c r="A10" s="28" t="n">
        <v>2023</v>
      </c>
      <c r="B10" s="28" t="inlineStr">
        <is>
          <t>Q1</t>
        </is>
      </c>
      <c r="C10" s="28" t="inlineStr">
        <is>
          <t>South</t>
        </is>
      </c>
      <c r="D10" s="28" t="inlineStr">
        <is>
          <t>Clothing</t>
        </is>
      </c>
      <c r="E10" s="28" t="n">
        <v>175</v>
      </c>
      <c r="F10" s="28" t="n">
        <v>1500</v>
      </c>
      <c r="G10" s="28">
        <f>E10*F10</f>
        <v/>
      </c>
      <c r="H10" s="28" t="n"/>
    </row>
    <row r="11">
      <c r="A11" s="22" t="n">
        <v>2023</v>
      </c>
      <c r="B11" s="22" t="inlineStr">
        <is>
          <t>Q1</t>
        </is>
      </c>
      <c r="C11" s="22" t="inlineStr">
        <is>
          <t>South</t>
        </is>
      </c>
      <c r="D11" s="22" t="inlineStr">
        <is>
          <t>Furniture</t>
        </is>
      </c>
      <c r="E11" s="22" t="n">
        <v>164</v>
      </c>
      <c r="F11" s="22" t="n">
        <v>8000</v>
      </c>
      <c r="G11" s="22">
        <f>E11*F11</f>
        <v/>
      </c>
      <c r="H11" s="22" t="n"/>
    </row>
    <row r="12">
      <c r="A12" s="28" t="n">
        <v>2023</v>
      </c>
      <c r="B12" s="28" t="inlineStr">
        <is>
          <t>Q1</t>
        </is>
      </c>
      <c r="C12" s="28" t="inlineStr">
        <is>
          <t>South</t>
        </is>
      </c>
      <c r="D12" s="28" t="inlineStr">
        <is>
          <t>Groceries</t>
        </is>
      </c>
      <c r="E12" s="28" t="n">
        <v>121</v>
      </c>
      <c r="F12" s="28" t="n">
        <v>200</v>
      </c>
      <c r="G12" s="28">
        <f>E12*F12</f>
        <v/>
      </c>
      <c r="H12" s="28" t="n"/>
    </row>
    <row r="13">
      <c r="A13" s="22" t="n">
        <v>2023</v>
      </c>
      <c r="B13" s="22" t="inlineStr">
        <is>
          <t>Q1</t>
        </is>
      </c>
      <c r="C13" s="22" t="inlineStr">
        <is>
          <t>East</t>
        </is>
      </c>
      <c r="D13" s="22" t="inlineStr">
        <is>
          <t>Electronics</t>
        </is>
      </c>
      <c r="E13" s="22" t="n">
        <v>427</v>
      </c>
      <c r="F13" s="22" t="n">
        <v>12000</v>
      </c>
      <c r="G13" s="22">
        <f>E13*F13</f>
        <v/>
      </c>
      <c r="H13" s="22" t="n"/>
    </row>
    <row r="14">
      <c r="A14" s="28" t="n">
        <v>2023</v>
      </c>
      <c r="B14" s="28" t="inlineStr">
        <is>
          <t>Q1</t>
        </is>
      </c>
      <c r="C14" s="28" t="inlineStr">
        <is>
          <t>East</t>
        </is>
      </c>
      <c r="D14" s="28" t="inlineStr">
        <is>
          <t>Clothing</t>
        </is>
      </c>
      <c r="E14" s="28" t="n">
        <v>102</v>
      </c>
      <c r="F14" s="28" t="n">
        <v>1500</v>
      </c>
      <c r="G14" s="28">
        <f>E14*F14</f>
        <v/>
      </c>
      <c r="H14" s="28" t="n"/>
    </row>
    <row r="15">
      <c r="A15" s="22" t="n">
        <v>2023</v>
      </c>
      <c r="B15" s="22" t="inlineStr">
        <is>
          <t>Q1</t>
        </is>
      </c>
      <c r="C15" s="22" t="inlineStr">
        <is>
          <t>East</t>
        </is>
      </c>
      <c r="D15" s="22" t="inlineStr">
        <is>
          <t>Furniture</t>
        </is>
      </c>
      <c r="E15" s="22" t="n">
        <v>396</v>
      </c>
      <c r="F15" s="22" t="n">
        <v>8000</v>
      </c>
      <c r="G15" s="22">
        <f>E15*F15</f>
        <v/>
      </c>
      <c r="H15" s="22" t="n"/>
    </row>
    <row r="16">
      <c r="A16" s="28" t="n">
        <v>2023</v>
      </c>
      <c r="B16" s="28" t="inlineStr">
        <is>
          <t>Q1</t>
        </is>
      </c>
      <c r="C16" s="28" t="inlineStr">
        <is>
          <t>East</t>
        </is>
      </c>
      <c r="D16" s="28" t="inlineStr">
        <is>
          <t>Groceries</t>
        </is>
      </c>
      <c r="E16" s="28" t="n">
        <v>429</v>
      </c>
      <c r="F16" s="28" t="n">
        <v>200</v>
      </c>
      <c r="G16" s="28">
        <f>E16*F16</f>
        <v/>
      </c>
      <c r="H16" s="28" t="n"/>
    </row>
    <row r="17">
      <c r="A17" s="22" t="n">
        <v>2023</v>
      </c>
      <c r="B17" s="22" t="inlineStr">
        <is>
          <t>Q1</t>
        </is>
      </c>
      <c r="C17" s="22" t="inlineStr">
        <is>
          <t>West</t>
        </is>
      </c>
      <c r="D17" s="22" t="inlineStr">
        <is>
          <t>Electronics</t>
        </is>
      </c>
      <c r="E17" s="22" t="n">
        <v>329</v>
      </c>
      <c r="F17" s="22" t="n">
        <v>12000</v>
      </c>
      <c r="G17" s="22">
        <f>E17*F17</f>
        <v/>
      </c>
      <c r="H17" s="22" t="n"/>
    </row>
    <row r="18">
      <c r="A18" s="28" t="n">
        <v>2023</v>
      </c>
      <c r="B18" s="28" t="inlineStr">
        <is>
          <t>Q1</t>
        </is>
      </c>
      <c r="C18" s="28" t="inlineStr">
        <is>
          <t>West</t>
        </is>
      </c>
      <c r="D18" s="28" t="inlineStr">
        <is>
          <t>Clothing</t>
        </is>
      </c>
      <c r="E18" s="28" t="n">
        <v>94</v>
      </c>
      <c r="F18" s="28" t="n">
        <v>1500</v>
      </c>
      <c r="G18" s="28">
        <f>E18*F18</f>
        <v/>
      </c>
      <c r="H18" s="28" t="n"/>
    </row>
    <row r="19">
      <c r="A19" s="22" t="n">
        <v>2023</v>
      </c>
      <c r="B19" s="22" t="inlineStr">
        <is>
          <t>Q1</t>
        </is>
      </c>
      <c r="C19" s="22" t="inlineStr">
        <is>
          <t>West</t>
        </is>
      </c>
      <c r="D19" s="22" t="inlineStr">
        <is>
          <t>Furniture</t>
        </is>
      </c>
      <c r="E19" s="22" t="n">
        <v>352</v>
      </c>
      <c r="F19" s="22" t="n">
        <v>8000</v>
      </c>
      <c r="G19" s="22">
        <f>E19*F19</f>
        <v/>
      </c>
      <c r="H19" s="22" t="n"/>
    </row>
    <row r="20">
      <c r="A20" s="28" t="n">
        <v>2023</v>
      </c>
      <c r="B20" s="28" t="inlineStr">
        <is>
          <t>Q1</t>
        </is>
      </c>
      <c r="C20" s="28" t="inlineStr">
        <is>
          <t>West</t>
        </is>
      </c>
      <c r="D20" s="28" t="inlineStr">
        <is>
          <t>Groceries</t>
        </is>
      </c>
      <c r="E20" s="28" t="n">
        <v>266</v>
      </c>
      <c r="F20" s="28" t="n">
        <v>200</v>
      </c>
      <c r="G20" s="28">
        <f>E20*F20</f>
        <v/>
      </c>
      <c r="H20" s="28" t="n"/>
    </row>
    <row r="21">
      <c r="A21" s="22" t="n">
        <v>2023</v>
      </c>
      <c r="B21" s="22" t="inlineStr">
        <is>
          <t>Q2</t>
        </is>
      </c>
      <c r="C21" s="22" t="inlineStr">
        <is>
          <t>North</t>
        </is>
      </c>
      <c r="D21" s="22" t="inlineStr">
        <is>
          <t>Electronics</t>
        </is>
      </c>
      <c r="E21" s="22" t="n">
        <v>66</v>
      </c>
      <c r="F21" s="22" t="n">
        <v>12000</v>
      </c>
      <c r="G21" s="22">
        <f>E21*F21</f>
        <v/>
      </c>
      <c r="H21" s="22" t="n"/>
    </row>
    <row r="22">
      <c r="A22" s="28" t="n">
        <v>2023</v>
      </c>
      <c r="B22" s="28" t="inlineStr">
        <is>
          <t>Q2</t>
        </is>
      </c>
      <c r="C22" s="28" t="inlineStr">
        <is>
          <t>North</t>
        </is>
      </c>
      <c r="D22" s="28" t="inlineStr">
        <is>
          <t>Clothing</t>
        </is>
      </c>
      <c r="E22" s="28" t="n">
        <v>65</v>
      </c>
      <c r="F22" s="28" t="n">
        <v>1500</v>
      </c>
      <c r="G22" s="28">
        <f>E22*F22</f>
        <v/>
      </c>
      <c r="H22" s="28" t="n"/>
    </row>
    <row r="23">
      <c r="A23" s="22" t="n">
        <v>2023</v>
      </c>
      <c r="B23" s="22" t="inlineStr">
        <is>
          <t>Q2</t>
        </is>
      </c>
      <c r="C23" s="22" t="inlineStr">
        <is>
          <t>North</t>
        </is>
      </c>
      <c r="D23" s="22" t="inlineStr">
        <is>
          <t>Furniture</t>
        </is>
      </c>
      <c r="E23" s="22" t="n">
        <v>97</v>
      </c>
      <c r="F23" s="22" t="n">
        <v>8000</v>
      </c>
      <c r="G23" s="22">
        <f>E23*F23</f>
        <v/>
      </c>
      <c r="H23" s="22" t="n"/>
    </row>
    <row r="24">
      <c r="A24" s="28" t="n">
        <v>2023</v>
      </c>
      <c r="B24" s="28" t="inlineStr">
        <is>
          <t>Q2</t>
        </is>
      </c>
      <c r="C24" s="28" t="inlineStr">
        <is>
          <t>North</t>
        </is>
      </c>
      <c r="D24" s="28" t="inlineStr">
        <is>
          <t>Groceries</t>
        </is>
      </c>
      <c r="E24" s="28" t="n">
        <v>161</v>
      </c>
      <c r="F24" s="28" t="n">
        <v>200</v>
      </c>
      <c r="G24" s="28">
        <f>E24*F24</f>
        <v/>
      </c>
      <c r="H24" s="28" t="n"/>
    </row>
    <row r="25">
      <c r="A25" s="22" t="n">
        <v>2023</v>
      </c>
      <c r="B25" s="22" t="inlineStr">
        <is>
          <t>Q2</t>
        </is>
      </c>
      <c r="C25" s="22" t="inlineStr">
        <is>
          <t>South</t>
        </is>
      </c>
      <c r="D25" s="22" t="inlineStr">
        <is>
          <t>Electronics</t>
        </is>
      </c>
      <c r="E25" s="22" t="n">
        <v>169</v>
      </c>
      <c r="F25" s="22" t="n">
        <v>12000</v>
      </c>
      <c r="G25" s="22">
        <f>E25*F25</f>
        <v/>
      </c>
      <c r="H25" s="22" t="n"/>
    </row>
    <row r="26">
      <c r="A26" s="28" t="n">
        <v>2023</v>
      </c>
      <c r="B26" s="28" t="inlineStr">
        <is>
          <t>Q2</t>
        </is>
      </c>
      <c r="C26" s="28" t="inlineStr">
        <is>
          <t>South</t>
        </is>
      </c>
      <c r="D26" s="28" t="inlineStr">
        <is>
          <t>Clothing</t>
        </is>
      </c>
      <c r="E26" s="28" t="n">
        <v>308</v>
      </c>
      <c r="F26" s="28" t="n">
        <v>1500</v>
      </c>
      <c r="G26" s="28">
        <f>E26*F26</f>
        <v/>
      </c>
      <c r="H26" s="28" t="n"/>
    </row>
    <row r="27">
      <c r="A27" s="22" t="n">
        <v>2023</v>
      </c>
      <c r="B27" s="22" t="inlineStr">
        <is>
          <t>Q2</t>
        </is>
      </c>
      <c r="C27" s="22" t="inlineStr">
        <is>
          <t>South</t>
        </is>
      </c>
      <c r="D27" s="22" t="inlineStr">
        <is>
          <t>Furniture</t>
        </is>
      </c>
      <c r="E27" s="22" t="n">
        <v>358</v>
      </c>
      <c r="F27" s="22" t="n">
        <v>8000</v>
      </c>
      <c r="G27" s="22">
        <f>E27*F27</f>
        <v/>
      </c>
      <c r="H27" s="22" t="n"/>
    </row>
    <row r="28">
      <c r="A28" s="28" t="n">
        <v>2023</v>
      </c>
      <c r="B28" s="28" t="inlineStr">
        <is>
          <t>Q2</t>
        </is>
      </c>
      <c r="C28" s="28" t="inlineStr">
        <is>
          <t>South</t>
        </is>
      </c>
      <c r="D28" s="28" t="inlineStr">
        <is>
          <t>Groceries</t>
        </is>
      </c>
      <c r="E28" s="28" t="n">
        <v>63</v>
      </c>
      <c r="F28" s="28" t="n">
        <v>200</v>
      </c>
      <c r="G28" s="28">
        <f>E28*F28</f>
        <v/>
      </c>
      <c r="H28" s="28" t="n"/>
    </row>
    <row r="29">
      <c r="A29" s="22" t="n">
        <v>2023</v>
      </c>
      <c r="B29" s="22" t="inlineStr">
        <is>
          <t>Q2</t>
        </is>
      </c>
      <c r="C29" s="22" t="inlineStr">
        <is>
          <t>East</t>
        </is>
      </c>
      <c r="D29" s="22" t="inlineStr">
        <is>
          <t>Electronics</t>
        </is>
      </c>
      <c r="E29" s="22" t="n">
        <v>337</v>
      </c>
      <c r="F29" s="22" t="n">
        <v>12000</v>
      </c>
      <c r="G29" s="22">
        <f>E29*F29</f>
        <v/>
      </c>
      <c r="H29" s="22" t="n"/>
    </row>
    <row r="30">
      <c r="A30" s="28" t="n">
        <v>2023</v>
      </c>
      <c r="B30" s="28" t="inlineStr">
        <is>
          <t>Q2</t>
        </is>
      </c>
      <c r="C30" s="28" t="inlineStr">
        <is>
          <t>East</t>
        </is>
      </c>
      <c r="D30" s="28" t="inlineStr">
        <is>
          <t>Clothing</t>
        </is>
      </c>
      <c r="E30" s="28" t="n">
        <v>151</v>
      </c>
      <c r="F30" s="28" t="n">
        <v>1500</v>
      </c>
      <c r="G30" s="28">
        <f>E30*F30</f>
        <v/>
      </c>
      <c r="H30" s="28" t="n"/>
    </row>
    <row r="31">
      <c r="A31" s="22" t="n">
        <v>2023</v>
      </c>
      <c r="B31" s="22" t="inlineStr">
        <is>
          <t>Q2</t>
        </is>
      </c>
      <c r="C31" s="22" t="inlineStr">
        <is>
          <t>East</t>
        </is>
      </c>
      <c r="D31" s="22" t="inlineStr">
        <is>
          <t>Furniture</t>
        </is>
      </c>
      <c r="E31" s="22" t="n">
        <v>416</v>
      </c>
      <c r="F31" s="22" t="n">
        <v>8000</v>
      </c>
      <c r="G31" s="22">
        <f>E31*F31</f>
        <v/>
      </c>
      <c r="H31" s="22" t="n"/>
    </row>
    <row r="32">
      <c r="A32" s="28" t="n">
        <v>2023</v>
      </c>
      <c r="B32" s="28" t="inlineStr">
        <is>
          <t>Q2</t>
        </is>
      </c>
      <c r="C32" s="28" t="inlineStr">
        <is>
          <t>East</t>
        </is>
      </c>
      <c r="D32" s="28" t="inlineStr">
        <is>
          <t>Groceries</t>
        </is>
      </c>
      <c r="E32" s="28" t="n">
        <v>382</v>
      </c>
      <c r="F32" s="28" t="n">
        <v>200</v>
      </c>
      <c r="G32" s="28">
        <f>E32*F32</f>
        <v/>
      </c>
      <c r="H32" s="28" t="n"/>
    </row>
    <row r="33">
      <c r="A33" s="22" t="n">
        <v>2023</v>
      </c>
      <c r="B33" s="22" t="inlineStr">
        <is>
          <t>Q2</t>
        </is>
      </c>
      <c r="C33" s="22" t="inlineStr">
        <is>
          <t>West</t>
        </is>
      </c>
      <c r="D33" s="22" t="inlineStr">
        <is>
          <t>Electronics</t>
        </is>
      </c>
      <c r="E33" s="22" t="n">
        <v>409</v>
      </c>
      <c r="F33" s="22" t="n">
        <v>12000</v>
      </c>
      <c r="G33" s="22">
        <f>E33*F33</f>
        <v/>
      </c>
      <c r="H33" s="22" t="n"/>
    </row>
    <row r="34">
      <c r="A34" s="28" t="n">
        <v>2023</v>
      </c>
      <c r="B34" s="28" t="inlineStr">
        <is>
          <t>Q2</t>
        </is>
      </c>
      <c r="C34" s="28" t="inlineStr">
        <is>
          <t>West</t>
        </is>
      </c>
      <c r="D34" s="28" t="inlineStr">
        <is>
          <t>Clothing</t>
        </is>
      </c>
      <c r="E34" s="28" t="n">
        <v>329</v>
      </c>
      <c r="F34" s="28" t="n">
        <v>1500</v>
      </c>
      <c r="G34" s="28">
        <f>E34*F34</f>
        <v/>
      </c>
      <c r="H34" s="28" t="n"/>
    </row>
    <row r="35">
      <c r="A35" s="22" t="n">
        <v>2023</v>
      </c>
      <c r="B35" s="22" t="inlineStr">
        <is>
          <t>Q2</t>
        </is>
      </c>
      <c r="C35" s="22" t="inlineStr">
        <is>
          <t>West</t>
        </is>
      </c>
      <c r="D35" s="22" t="inlineStr">
        <is>
          <t>Furniture</t>
        </is>
      </c>
      <c r="E35" s="22" t="n">
        <v>264</v>
      </c>
      <c r="F35" s="22" t="n">
        <v>8000</v>
      </c>
      <c r="G35" s="22">
        <f>E35*F35</f>
        <v/>
      </c>
      <c r="H35" s="22" t="n"/>
    </row>
    <row r="36">
      <c r="A36" s="28" t="n">
        <v>2023</v>
      </c>
      <c r="B36" s="28" t="inlineStr">
        <is>
          <t>Q2</t>
        </is>
      </c>
      <c r="C36" s="28" t="inlineStr">
        <is>
          <t>West</t>
        </is>
      </c>
      <c r="D36" s="28" t="inlineStr">
        <is>
          <t>Groceries</t>
        </is>
      </c>
      <c r="E36" s="28" t="n">
        <v>162</v>
      </c>
      <c r="F36" s="28" t="n">
        <v>200</v>
      </c>
      <c r="G36" s="28">
        <f>E36*F36</f>
        <v/>
      </c>
      <c r="H36" s="28" t="n"/>
    </row>
    <row r="37">
      <c r="A37" s="22" t="n">
        <v>2023</v>
      </c>
      <c r="B37" s="22" t="inlineStr">
        <is>
          <t>Q3</t>
        </is>
      </c>
      <c r="C37" s="22" t="inlineStr">
        <is>
          <t>North</t>
        </is>
      </c>
      <c r="D37" s="22" t="inlineStr">
        <is>
          <t>Electronics</t>
        </is>
      </c>
      <c r="E37" s="22" t="n">
        <v>279</v>
      </c>
      <c r="F37" s="22" t="n">
        <v>12000</v>
      </c>
      <c r="G37" s="22">
        <f>E37*F37</f>
        <v/>
      </c>
      <c r="H37" s="22" t="n"/>
    </row>
    <row r="38">
      <c r="A38" s="28" t="n">
        <v>2023</v>
      </c>
      <c r="B38" s="28" t="inlineStr">
        <is>
          <t>Q3</t>
        </is>
      </c>
      <c r="C38" s="28" t="inlineStr">
        <is>
          <t>North</t>
        </is>
      </c>
      <c r="D38" s="28" t="inlineStr">
        <is>
          <t>Clothing</t>
        </is>
      </c>
      <c r="E38" s="28" t="n">
        <v>351</v>
      </c>
      <c r="F38" s="28" t="n">
        <v>1500</v>
      </c>
      <c r="G38" s="28">
        <f>E38*F38</f>
        <v/>
      </c>
      <c r="H38" s="28" t="n"/>
    </row>
    <row r="39">
      <c r="A39" s="22" t="n">
        <v>2023</v>
      </c>
      <c r="B39" s="22" t="inlineStr">
        <is>
          <t>Q3</t>
        </is>
      </c>
      <c r="C39" s="22" t="inlineStr">
        <is>
          <t>North</t>
        </is>
      </c>
      <c r="D39" s="22" t="inlineStr">
        <is>
          <t>Furniture</t>
        </is>
      </c>
      <c r="E39" s="22" t="n">
        <v>192</v>
      </c>
      <c r="F39" s="22" t="n">
        <v>8000</v>
      </c>
      <c r="G39" s="22">
        <f>E39*F39</f>
        <v/>
      </c>
      <c r="H39" s="22" t="n"/>
    </row>
    <row r="40">
      <c r="A40" s="28" t="n">
        <v>2023</v>
      </c>
      <c r="B40" s="28" t="inlineStr">
        <is>
          <t>Q3</t>
        </is>
      </c>
      <c r="C40" s="28" t="inlineStr">
        <is>
          <t>North</t>
        </is>
      </c>
      <c r="D40" s="28" t="inlineStr">
        <is>
          <t>Groceries</t>
        </is>
      </c>
      <c r="E40" s="28" t="n">
        <v>464</v>
      </c>
      <c r="F40" s="28" t="n">
        <v>200</v>
      </c>
      <c r="G40" s="28">
        <f>E40*F40</f>
        <v/>
      </c>
      <c r="H40" s="28" t="n"/>
    </row>
    <row r="41">
      <c r="A41" s="22" t="n">
        <v>2023</v>
      </c>
      <c r="B41" s="22" t="inlineStr">
        <is>
          <t>Q3</t>
        </is>
      </c>
      <c r="C41" s="22" t="inlineStr">
        <is>
          <t>South</t>
        </is>
      </c>
      <c r="D41" s="22" t="inlineStr">
        <is>
          <t>Electronics</t>
        </is>
      </c>
      <c r="E41" s="22" t="n">
        <v>495</v>
      </c>
      <c r="F41" s="22" t="n">
        <v>12000</v>
      </c>
      <c r="G41" s="22">
        <f>E41*F41</f>
        <v/>
      </c>
      <c r="H41" s="22" t="n"/>
    </row>
    <row r="42">
      <c r="A42" s="28" t="n">
        <v>2023</v>
      </c>
      <c r="B42" s="28" t="inlineStr">
        <is>
          <t>Q3</t>
        </is>
      </c>
      <c r="C42" s="28" t="inlineStr">
        <is>
          <t>South</t>
        </is>
      </c>
      <c r="D42" s="28" t="inlineStr">
        <is>
          <t>Clothing</t>
        </is>
      </c>
      <c r="E42" s="28" t="n">
        <v>53</v>
      </c>
      <c r="F42" s="28" t="n">
        <v>1500</v>
      </c>
      <c r="G42" s="28">
        <f>E42*F42</f>
        <v/>
      </c>
      <c r="H42" s="28" t="n"/>
    </row>
    <row r="43">
      <c r="A43" s="22" t="n">
        <v>2023</v>
      </c>
      <c r="B43" s="22" t="inlineStr">
        <is>
          <t>Q3</t>
        </is>
      </c>
      <c r="C43" s="22" t="inlineStr">
        <is>
          <t>South</t>
        </is>
      </c>
      <c r="D43" s="22" t="inlineStr">
        <is>
          <t>Furniture</t>
        </is>
      </c>
      <c r="E43" s="22" t="n">
        <v>438</v>
      </c>
      <c r="F43" s="22" t="n">
        <v>8000</v>
      </c>
      <c r="G43" s="22">
        <f>E43*F43</f>
        <v/>
      </c>
      <c r="H43" s="22" t="n"/>
    </row>
    <row r="44">
      <c r="A44" s="28" t="n">
        <v>2023</v>
      </c>
      <c r="B44" s="28" t="inlineStr">
        <is>
          <t>Q3</t>
        </is>
      </c>
      <c r="C44" s="28" t="inlineStr">
        <is>
          <t>South</t>
        </is>
      </c>
      <c r="D44" s="28" t="inlineStr">
        <is>
          <t>Groceries</t>
        </is>
      </c>
      <c r="E44" s="28" t="n">
        <v>462</v>
      </c>
      <c r="F44" s="28" t="n">
        <v>200</v>
      </c>
      <c r="G44" s="28">
        <f>E44*F44</f>
        <v/>
      </c>
      <c r="H44" s="28" t="n"/>
    </row>
    <row r="45">
      <c r="A45" s="22" t="n">
        <v>2023</v>
      </c>
      <c r="B45" s="22" t="inlineStr">
        <is>
          <t>Q3</t>
        </is>
      </c>
      <c r="C45" s="22" t="inlineStr">
        <is>
          <t>East</t>
        </is>
      </c>
      <c r="D45" s="22" t="inlineStr">
        <is>
          <t>Electronics</t>
        </is>
      </c>
      <c r="E45" s="22" t="n">
        <v>131</v>
      </c>
      <c r="F45" s="22" t="n">
        <v>12000</v>
      </c>
      <c r="G45" s="22">
        <f>E45*F45</f>
        <v/>
      </c>
      <c r="H45" s="22" t="n"/>
    </row>
    <row r="46">
      <c r="A46" s="28" t="n">
        <v>2023</v>
      </c>
      <c r="B46" s="28" t="inlineStr">
        <is>
          <t>Q3</t>
        </is>
      </c>
      <c r="C46" s="28" t="inlineStr">
        <is>
          <t>East</t>
        </is>
      </c>
      <c r="D46" s="28" t="inlineStr">
        <is>
          <t>Clothing</t>
        </is>
      </c>
      <c r="E46" s="28" t="n">
        <v>407</v>
      </c>
      <c r="F46" s="28" t="n">
        <v>1500</v>
      </c>
      <c r="G46" s="28">
        <f>E46*F46</f>
        <v/>
      </c>
      <c r="H46" s="28" t="n"/>
    </row>
    <row r="47">
      <c r="A47" s="22" t="n">
        <v>2023</v>
      </c>
      <c r="B47" s="22" t="inlineStr">
        <is>
          <t>Q3</t>
        </is>
      </c>
      <c r="C47" s="22" t="inlineStr">
        <is>
          <t>East</t>
        </is>
      </c>
      <c r="D47" s="22" t="inlineStr">
        <is>
          <t>Furniture</t>
        </is>
      </c>
      <c r="E47" s="22" t="n">
        <v>266</v>
      </c>
      <c r="F47" s="22" t="n">
        <v>8000</v>
      </c>
      <c r="G47" s="22">
        <f>E47*F47</f>
        <v/>
      </c>
      <c r="H47" s="22" t="n"/>
    </row>
    <row r="48">
      <c r="A48" s="28" t="n">
        <v>2023</v>
      </c>
      <c r="B48" s="28" t="inlineStr">
        <is>
          <t>Q3</t>
        </is>
      </c>
      <c r="C48" s="28" t="inlineStr">
        <is>
          <t>East</t>
        </is>
      </c>
      <c r="D48" s="28" t="inlineStr">
        <is>
          <t>Groceries</t>
        </is>
      </c>
      <c r="E48" s="28" t="n">
        <v>224</v>
      </c>
      <c r="F48" s="28" t="n">
        <v>200</v>
      </c>
      <c r="G48" s="28">
        <f>E48*F48</f>
        <v/>
      </c>
      <c r="H48" s="28" t="n"/>
    </row>
    <row r="49">
      <c r="A49" s="22" t="n">
        <v>2023</v>
      </c>
      <c r="B49" s="22" t="inlineStr">
        <is>
          <t>Q3</t>
        </is>
      </c>
      <c r="C49" s="22" t="inlineStr">
        <is>
          <t>West</t>
        </is>
      </c>
      <c r="D49" s="22" t="inlineStr">
        <is>
          <t>Electronics</t>
        </is>
      </c>
      <c r="E49" s="22" t="n">
        <v>192</v>
      </c>
      <c r="F49" s="22" t="n">
        <v>12000</v>
      </c>
      <c r="G49" s="22">
        <f>E49*F49</f>
        <v/>
      </c>
      <c r="H49" s="22" t="n"/>
    </row>
    <row r="50">
      <c r="A50" s="28" t="n">
        <v>2023</v>
      </c>
      <c r="B50" s="28" t="inlineStr">
        <is>
          <t>Q3</t>
        </is>
      </c>
      <c r="C50" s="28" t="inlineStr">
        <is>
          <t>West</t>
        </is>
      </c>
      <c r="D50" s="28" t="inlineStr">
        <is>
          <t>Clothing</t>
        </is>
      </c>
      <c r="E50" s="28" t="n">
        <v>129</v>
      </c>
      <c r="F50" s="28" t="n">
        <v>1500</v>
      </c>
      <c r="G50" s="28">
        <f>E50*F50</f>
        <v/>
      </c>
      <c r="H50" s="28" t="n"/>
    </row>
    <row r="51">
      <c r="A51" s="22" t="n">
        <v>2023</v>
      </c>
      <c r="B51" s="22" t="inlineStr">
        <is>
          <t>Q3</t>
        </is>
      </c>
      <c r="C51" s="22" t="inlineStr">
        <is>
          <t>West</t>
        </is>
      </c>
      <c r="D51" s="22" t="inlineStr">
        <is>
          <t>Furniture</t>
        </is>
      </c>
      <c r="E51" s="22" t="n">
        <v>160</v>
      </c>
      <c r="F51" s="22" t="n">
        <v>8000</v>
      </c>
      <c r="G51" s="22">
        <f>E51*F51</f>
        <v/>
      </c>
      <c r="H51" s="22" t="n"/>
    </row>
    <row r="52">
      <c r="A52" s="28" t="n">
        <v>2023</v>
      </c>
      <c r="B52" s="28" t="inlineStr">
        <is>
          <t>Q3</t>
        </is>
      </c>
      <c r="C52" s="28" t="inlineStr">
        <is>
          <t>West</t>
        </is>
      </c>
      <c r="D52" s="28" t="inlineStr">
        <is>
          <t>Groceries</t>
        </is>
      </c>
      <c r="E52" s="28" t="n">
        <v>440</v>
      </c>
      <c r="F52" s="28" t="n">
        <v>200</v>
      </c>
      <c r="G52" s="28">
        <f>E52*F52</f>
        <v/>
      </c>
      <c r="H52" s="28" t="n"/>
    </row>
    <row r="53">
      <c r="A53" s="22" t="n">
        <v>2023</v>
      </c>
      <c r="B53" s="22" t="inlineStr">
        <is>
          <t>Q4</t>
        </is>
      </c>
      <c r="C53" s="22" t="inlineStr">
        <is>
          <t>North</t>
        </is>
      </c>
      <c r="D53" s="22" t="inlineStr">
        <is>
          <t>Electronics</t>
        </is>
      </c>
      <c r="E53" s="22" t="n">
        <v>222</v>
      </c>
      <c r="F53" s="22" t="n">
        <v>12000</v>
      </c>
      <c r="G53" s="22">
        <f>E53*F53</f>
        <v/>
      </c>
      <c r="H53" s="22" t="n"/>
    </row>
    <row r="54">
      <c r="A54" s="28" t="n">
        <v>2023</v>
      </c>
      <c r="B54" s="28" t="inlineStr">
        <is>
          <t>Q4</t>
        </is>
      </c>
      <c r="C54" s="28" t="inlineStr">
        <is>
          <t>North</t>
        </is>
      </c>
      <c r="D54" s="28" t="inlineStr">
        <is>
          <t>Clothing</t>
        </is>
      </c>
      <c r="E54" s="28" t="n">
        <v>102</v>
      </c>
      <c r="F54" s="28" t="n">
        <v>1500</v>
      </c>
      <c r="G54" s="28">
        <f>E54*F54</f>
        <v/>
      </c>
      <c r="H54" s="28" t="n"/>
    </row>
    <row r="55">
      <c r="A55" s="22" t="n">
        <v>2023</v>
      </c>
      <c r="B55" s="22" t="inlineStr">
        <is>
          <t>Q4</t>
        </is>
      </c>
      <c r="C55" s="22" t="inlineStr">
        <is>
          <t>North</t>
        </is>
      </c>
      <c r="D55" s="22" t="inlineStr">
        <is>
          <t>Furniture</t>
        </is>
      </c>
      <c r="E55" s="22" t="n">
        <v>97</v>
      </c>
      <c r="F55" s="22" t="n">
        <v>8000</v>
      </c>
      <c r="G55" s="22">
        <f>E55*F55</f>
        <v/>
      </c>
      <c r="H55" s="22" t="n"/>
    </row>
    <row r="56">
      <c r="A56" s="28" t="n">
        <v>2023</v>
      </c>
      <c r="B56" s="28" t="inlineStr">
        <is>
          <t>Q4</t>
        </is>
      </c>
      <c r="C56" s="28" t="inlineStr">
        <is>
          <t>North</t>
        </is>
      </c>
      <c r="D56" s="28" t="inlineStr">
        <is>
          <t>Groceries</t>
        </is>
      </c>
      <c r="E56" s="28" t="n">
        <v>244</v>
      </c>
      <c r="F56" s="28" t="n">
        <v>200</v>
      </c>
      <c r="G56" s="28">
        <f>E56*F56</f>
        <v/>
      </c>
      <c r="H56" s="28" t="n"/>
    </row>
    <row r="57">
      <c r="A57" s="22" t="n">
        <v>2023</v>
      </c>
      <c r="B57" s="22" t="inlineStr">
        <is>
          <t>Q4</t>
        </is>
      </c>
      <c r="C57" s="22" t="inlineStr">
        <is>
          <t>South</t>
        </is>
      </c>
      <c r="D57" s="22" t="inlineStr">
        <is>
          <t>Electronics</t>
        </is>
      </c>
      <c r="E57" s="22" t="n">
        <v>99</v>
      </c>
      <c r="F57" s="22" t="n">
        <v>12000</v>
      </c>
      <c r="G57" s="22">
        <f>E57*F57</f>
        <v/>
      </c>
      <c r="H57" s="22" t="n"/>
    </row>
    <row r="58">
      <c r="A58" s="28" t="n">
        <v>2023</v>
      </c>
      <c r="B58" s="28" t="inlineStr">
        <is>
          <t>Q4</t>
        </is>
      </c>
      <c r="C58" s="28" t="inlineStr">
        <is>
          <t>South</t>
        </is>
      </c>
      <c r="D58" s="28" t="inlineStr">
        <is>
          <t>Clothing</t>
        </is>
      </c>
      <c r="E58" s="28" t="n">
        <v>233</v>
      </c>
      <c r="F58" s="28" t="n">
        <v>1500</v>
      </c>
      <c r="G58" s="28">
        <f>E58*F58</f>
        <v/>
      </c>
      <c r="H58" s="28" t="n"/>
    </row>
    <row r="59">
      <c r="A59" s="22" t="n">
        <v>2023</v>
      </c>
      <c r="B59" s="22" t="inlineStr">
        <is>
          <t>Q4</t>
        </is>
      </c>
      <c r="C59" s="22" t="inlineStr">
        <is>
          <t>South</t>
        </is>
      </c>
      <c r="D59" s="22" t="inlineStr">
        <is>
          <t>Furniture</t>
        </is>
      </c>
      <c r="E59" s="22" t="n">
        <v>483</v>
      </c>
      <c r="F59" s="22" t="n">
        <v>8000</v>
      </c>
      <c r="G59" s="22">
        <f>E59*F59</f>
        <v/>
      </c>
      <c r="H59" s="22" t="n"/>
    </row>
    <row r="60">
      <c r="A60" s="28" t="n">
        <v>2023</v>
      </c>
      <c r="B60" s="28" t="inlineStr">
        <is>
          <t>Q4</t>
        </is>
      </c>
      <c r="C60" s="28" t="inlineStr">
        <is>
          <t>South</t>
        </is>
      </c>
      <c r="D60" s="28" t="inlineStr">
        <is>
          <t>Groceries</t>
        </is>
      </c>
      <c r="E60" s="28" t="n">
        <v>226</v>
      </c>
      <c r="F60" s="28" t="n">
        <v>200</v>
      </c>
      <c r="G60" s="28">
        <f>E60*F60</f>
        <v/>
      </c>
      <c r="H60" s="28" t="n"/>
    </row>
    <row r="61">
      <c r="A61" s="22" t="n">
        <v>2023</v>
      </c>
      <c r="B61" s="22" t="inlineStr">
        <is>
          <t>Q4</t>
        </is>
      </c>
      <c r="C61" s="22" t="inlineStr">
        <is>
          <t>East</t>
        </is>
      </c>
      <c r="D61" s="22" t="inlineStr">
        <is>
          <t>Electronics</t>
        </is>
      </c>
      <c r="E61" s="22" t="n">
        <v>359</v>
      </c>
      <c r="F61" s="22" t="n">
        <v>12000</v>
      </c>
      <c r="G61" s="22">
        <f>E61*F61</f>
        <v/>
      </c>
      <c r="H61" s="22" t="n"/>
    </row>
    <row r="62">
      <c r="A62" s="28" t="n">
        <v>2023</v>
      </c>
      <c r="B62" s="28" t="inlineStr">
        <is>
          <t>Q4</t>
        </is>
      </c>
      <c r="C62" s="28" t="inlineStr">
        <is>
          <t>East</t>
        </is>
      </c>
      <c r="D62" s="28" t="inlineStr">
        <is>
          <t>Clothing</t>
        </is>
      </c>
      <c r="E62" s="28" t="n">
        <v>185</v>
      </c>
      <c r="F62" s="28" t="n">
        <v>1500</v>
      </c>
      <c r="G62" s="28">
        <f>E62*F62</f>
        <v/>
      </c>
      <c r="H62" s="28" t="n"/>
    </row>
    <row r="63">
      <c r="A63" s="22" t="n">
        <v>2023</v>
      </c>
      <c r="B63" s="22" t="inlineStr">
        <is>
          <t>Q4</t>
        </is>
      </c>
      <c r="C63" s="22" t="inlineStr">
        <is>
          <t>East</t>
        </is>
      </c>
      <c r="D63" s="22" t="inlineStr">
        <is>
          <t>Furniture</t>
        </is>
      </c>
      <c r="E63" s="22" t="n">
        <v>463</v>
      </c>
      <c r="F63" s="22" t="n">
        <v>8000</v>
      </c>
      <c r="G63" s="22">
        <f>E63*F63</f>
        <v/>
      </c>
      <c r="H63" s="22" t="n"/>
    </row>
    <row r="64">
      <c r="A64" s="28" t="n">
        <v>2023</v>
      </c>
      <c r="B64" s="28" t="inlineStr">
        <is>
          <t>Q4</t>
        </is>
      </c>
      <c r="C64" s="28" t="inlineStr">
        <is>
          <t>East</t>
        </is>
      </c>
      <c r="D64" s="28" t="inlineStr">
        <is>
          <t>Groceries</t>
        </is>
      </c>
      <c r="E64" s="28" t="n">
        <v>72</v>
      </c>
      <c r="F64" s="28" t="n">
        <v>200</v>
      </c>
      <c r="G64" s="28">
        <f>E64*F64</f>
        <v/>
      </c>
      <c r="H64" s="28" t="n"/>
    </row>
    <row r="65">
      <c r="A65" s="22" t="n">
        <v>2023</v>
      </c>
      <c r="B65" s="22" t="inlineStr">
        <is>
          <t>Q4</t>
        </is>
      </c>
      <c r="C65" s="22" t="inlineStr">
        <is>
          <t>West</t>
        </is>
      </c>
      <c r="D65" s="22" t="inlineStr">
        <is>
          <t>Electronics</t>
        </is>
      </c>
      <c r="E65" s="22" t="n">
        <v>423</v>
      </c>
      <c r="F65" s="22" t="n">
        <v>12000</v>
      </c>
      <c r="G65" s="22">
        <f>E65*F65</f>
        <v/>
      </c>
      <c r="H65" s="22" t="n"/>
    </row>
    <row r="66">
      <c r="A66" s="28" t="n">
        <v>2023</v>
      </c>
      <c r="B66" s="28" t="inlineStr">
        <is>
          <t>Q4</t>
        </is>
      </c>
      <c r="C66" s="28" t="inlineStr">
        <is>
          <t>West</t>
        </is>
      </c>
      <c r="D66" s="28" t="inlineStr">
        <is>
          <t>Clothing</t>
        </is>
      </c>
      <c r="E66" s="28" t="n">
        <v>285</v>
      </c>
      <c r="F66" s="28" t="n">
        <v>1500</v>
      </c>
      <c r="G66" s="28">
        <f>E66*F66</f>
        <v/>
      </c>
      <c r="H66" s="28" t="n"/>
    </row>
    <row r="67">
      <c r="A67" s="22" t="n">
        <v>2023</v>
      </c>
      <c r="B67" s="22" t="inlineStr">
        <is>
          <t>Q4</t>
        </is>
      </c>
      <c r="C67" s="22" t="inlineStr">
        <is>
          <t>West</t>
        </is>
      </c>
      <c r="D67" s="22" t="inlineStr">
        <is>
          <t>Furniture</t>
        </is>
      </c>
      <c r="E67" s="22" t="n">
        <v>324</v>
      </c>
      <c r="F67" s="22" t="n">
        <v>8000</v>
      </c>
      <c r="G67" s="22">
        <f>E67*F67</f>
        <v/>
      </c>
      <c r="H67" s="22" t="n"/>
    </row>
    <row r="68">
      <c r="A68" s="28" t="n">
        <v>2023</v>
      </c>
      <c r="B68" s="28" t="inlineStr">
        <is>
          <t>Q4</t>
        </is>
      </c>
      <c r="C68" s="28" t="inlineStr">
        <is>
          <t>West</t>
        </is>
      </c>
      <c r="D68" s="28" t="inlineStr">
        <is>
          <t>Groceries</t>
        </is>
      </c>
      <c r="E68" s="28" t="n">
        <v>113</v>
      </c>
      <c r="F68" s="28" t="n">
        <v>200</v>
      </c>
      <c r="G68" s="28">
        <f>E68*F68</f>
        <v/>
      </c>
      <c r="H68" s="28" t="n"/>
    </row>
    <row r="69">
      <c r="A69" s="22" t="n">
        <v>2024</v>
      </c>
      <c r="B69" s="22" t="inlineStr">
        <is>
          <t>Q1</t>
        </is>
      </c>
      <c r="C69" s="22" t="inlineStr">
        <is>
          <t>North</t>
        </is>
      </c>
      <c r="D69" s="22" t="inlineStr">
        <is>
          <t>Electronics</t>
        </is>
      </c>
      <c r="E69" s="22" t="n">
        <v>243</v>
      </c>
      <c r="F69" s="22" t="n">
        <v>12000</v>
      </c>
      <c r="G69" s="22">
        <f>E69*F69</f>
        <v/>
      </c>
      <c r="H69" s="22" t="n"/>
    </row>
    <row r="70">
      <c r="A70" s="28" t="n">
        <v>2024</v>
      </c>
      <c r="B70" s="28" t="inlineStr">
        <is>
          <t>Q1</t>
        </is>
      </c>
      <c r="C70" s="28" t="inlineStr">
        <is>
          <t>North</t>
        </is>
      </c>
      <c r="D70" s="28" t="inlineStr">
        <is>
          <t>Clothing</t>
        </is>
      </c>
      <c r="E70" s="28" t="n">
        <v>90</v>
      </c>
      <c r="F70" s="28" t="n">
        <v>1500</v>
      </c>
      <c r="G70" s="28">
        <f>E70*F70</f>
        <v/>
      </c>
      <c r="H70" s="28" t="n"/>
    </row>
    <row r="71">
      <c r="A71" s="22" t="n">
        <v>2024</v>
      </c>
      <c r="B71" s="22" t="inlineStr">
        <is>
          <t>Q1</t>
        </is>
      </c>
      <c r="C71" s="22" t="inlineStr">
        <is>
          <t>North</t>
        </is>
      </c>
      <c r="D71" s="22" t="inlineStr">
        <is>
          <t>Furniture</t>
        </is>
      </c>
      <c r="E71" s="22" t="n">
        <v>332</v>
      </c>
      <c r="F71" s="22" t="n">
        <v>8000</v>
      </c>
      <c r="G71" s="22">
        <f>E71*F71</f>
        <v/>
      </c>
      <c r="H71" s="22" t="n"/>
    </row>
    <row r="72">
      <c r="A72" s="28" t="n">
        <v>2024</v>
      </c>
      <c r="B72" s="28" t="inlineStr">
        <is>
          <t>Q1</t>
        </is>
      </c>
      <c r="C72" s="28" t="inlineStr">
        <is>
          <t>North</t>
        </is>
      </c>
      <c r="D72" s="28" t="inlineStr">
        <is>
          <t>Groceries</t>
        </is>
      </c>
      <c r="E72" s="28" t="n">
        <v>200</v>
      </c>
      <c r="F72" s="28" t="n">
        <v>200</v>
      </c>
      <c r="G72" s="28">
        <f>E72*F72</f>
        <v/>
      </c>
      <c r="H72" s="28" t="n"/>
    </row>
    <row r="73">
      <c r="A73" s="22" t="n">
        <v>2024</v>
      </c>
      <c r="B73" s="22" t="inlineStr">
        <is>
          <t>Q1</t>
        </is>
      </c>
      <c r="C73" s="22" t="inlineStr">
        <is>
          <t>South</t>
        </is>
      </c>
      <c r="D73" s="22" t="inlineStr">
        <is>
          <t>Electronics</t>
        </is>
      </c>
      <c r="E73" s="22" t="n">
        <v>474</v>
      </c>
      <c r="F73" s="22" t="n">
        <v>12000</v>
      </c>
      <c r="G73" s="22">
        <f>E73*F73</f>
        <v/>
      </c>
      <c r="H73" s="22" t="n"/>
    </row>
    <row r="74">
      <c r="A74" s="28" t="n">
        <v>2024</v>
      </c>
      <c r="B74" s="28" t="inlineStr">
        <is>
          <t>Q1</t>
        </is>
      </c>
      <c r="C74" s="28" t="inlineStr">
        <is>
          <t>South</t>
        </is>
      </c>
      <c r="D74" s="28" t="inlineStr">
        <is>
          <t>Clothing</t>
        </is>
      </c>
      <c r="E74" s="28" t="n">
        <v>371</v>
      </c>
      <c r="F74" s="28" t="n">
        <v>1500</v>
      </c>
      <c r="G74" s="28">
        <f>E74*F74</f>
        <v/>
      </c>
      <c r="H74" s="28" t="n"/>
    </row>
    <row r="75">
      <c r="A75" s="22" t="n">
        <v>2024</v>
      </c>
      <c r="B75" s="22" t="inlineStr">
        <is>
          <t>Q1</t>
        </is>
      </c>
      <c r="C75" s="22" t="inlineStr">
        <is>
          <t>South</t>
        </is>
      </c>
      <c r="D75" s="22" t="inlineStr">
        <is>
          <t>Furniture</t>
        </is>
      </c>
      <c r="E75" s="22" t="n">
        <v>366</v>
      </c>
      <c r="F75" s="22" t="n">
        <v>8000</v>
      </c>
      <c r="G75" s="22">
        <f>E75*F75</f>
        <v/>
      </c>
      <c r="H75" s="22" t="n"/>
    </row>
    <row r="76">
      <c r="A76" s="28" t="n">
        <v>2024</v>
      </c>
      <c r="B76" s="28" t="inlineStr">
        <is>
          <t>Q1</t>
        </is>
      </c>
      <c r="C76" s="28" t="inlineStr">
        <is>
          <t>South</t>
        </is>
      </c>
      <c r="D76" s="28" t="inlineStr">
        <is>
          <t>Groceries</t>
        </is>
      </c>
      <c r="E76" s="28" t="n">
        <v>491</v>
      </c>
      <c r="F76" s="28" t="n">
        <v>200</v>
      </c>
      <c r="G76" s="28">
        <f>E76*F76</f>
        <v/>
      </c>
      <c r="H76" s="28" t="n"/>
    </row>
    <row r="77">
      <c r="A77" s="22" t="n">
        <v>2024</v>
      </c>
      <c r="B77" s="22" t="inlineStr">
        <is>
          <t>Q1</t>
        </is>
      </c>
      <c r="C77" s="22" t="inlineStr">
        <is>
          <t>East</t>
        </is>
      </c>
      <c r="D77" s="22" t="inlineStr">
        <is>
          <t>Electronics</t>
        </is>
      </c>
      <c r="E77" s="22" t="n">
        <v>235</v>
      </c>
      <c r="F77" s="22" t="n">
        <v>12000</v>
      </c>
      <c r="G77" s="22">
        <f>E77*F77</f>
        <v/>
      </c>
      <c r="H77" s="22" t="n"/>
    </row>
    <row r="78">
      <c r="A78" s="28" t="n">
        <v>2024</v>
      </c>
      <c r="B78" s="28" t="inlineStr">
        <is>
          <t>Q1</t>
        </is>
      </c>
      <c r="C78" s="28" t="inlineStr">
        <is>
          <t>East</t>
        </is>
      </c>
      <c r="D78" s="28" t="inlineStr">
        <is>
          <t>Clothing</t>
        </is>
      </c>
      <c r="E78" s="28" t="n">
        <v>345</v>
      </c>
      <c r="F78" s="28" t="n">
        <v>1500</v>
      </c>
      <c r="G78" s="28">
        <f>E78*F78</f>
        <v/>
      </c>
      <c r="H78" s="28" t="n"/>
    </row>
    <row r="79">
      <c r="A79" s="22" t="n">
        <v>2024</v>
      </c>
      <c r="B79" s="22" t="inlineStr">
        <is>
          <t>Q1</t>
        </is>
      </c>
      <c r="C79" s="22" t="inlineStr">
        <is>
          <t>East</t>
        </is>
      </c>
      <c r="D79" s="22" t="inlineStr">
        <is>
          <t>Furniture</t>
        </is>
      </c>
      <c r="E79" s="22" t="n">
        <v>148</v>
      </c>
      <c r="F79" s="22" t="n">
        <v>8000</v>
      </c>
      <c r="G79" s="22">
        <f>E79*F79</f>
        <v/>
      </c>
      <c r="H79" s="22" t="n"/>
    </row>
    <row r="80">
      <c r="A80" s="28" t="n">
        <v>2024</v>
      </c>
      <c r="B80" s="28" t="inlineStr">
        <is>
          <t>Q1</t>
        </is>
      </c>
      <c r="C80" s="28" t="inlineStr">
        <is>
          <t>East</t>
        </is>
      </c>
      <c r="D80" s="28" t="inlineStr">
        <is>
          <t>Groceries</t>
        </is>
      </c>
      <c r="E80" s="28" t="n">
        <v>410</v>
      </c>
      <c r="F80" s="28" t="n">
        <v>200</v>
      </c>
      <c r="G80" s="28">
        <f>E80*F80</f>
        <v/>
      </c>
      <c r="H80" s="28" t="n"/>
    </row>
    <row r="81">
      <c r="A81" s="22" t="n">
        <v>2024</v>
      </c>
      <c r="B81" s="22" t="inlineStr">
        <is>
          <t>Q1</t>
        </is>
      </c>
      <c r="C81" s="22" t="inlineStr">
        <is>
          <t>West</t>
        </is>
      </c>
      <c r="D81" s="22" t="inlineStr">
        <is>
          <t>Electronics</t>
        </is>
      </c>
      <c r="E81" s="22" t="n">
        <v>85</v>
      </c>
      <c r="F81" s="22" t="n">
        <v>12000</v>
      </c>
      <c r="G81" s="22">
        <f>E81*F81</f>
        <v/>
      </c>
      <c r="H81" s="22" t="n"/>
    </row>
    <row r="82">
      <c r="A82" s="28" t="n">
        <v>2024</v>
      </c>
      <c r="B82" s="28" t="inlineStr">
        <is>
          <t>Q1</t>
        </is>
      </c>
      <c r="C82" s="28" t="inlineStr">
        <is>
          <t>West</t>
        </is>
      </c>
      <c r="D82" s="28" t="inlineStr">
        <is>
          <t>Clothing</t>
        </is>
      </c>
      <c r="E82" s="28" t="n">
        <v>73</v>
      </c>
      <c r="F82" s="28" t="n">
        <v>1500</v>
      </c>
      <c r="G82" s="28">
        <f>E82*F82</f>
        <v/>
      </c>
      <c r="H82" s="28" t="n"/>
    </row>
    <row r="83">
      <c r="A83" s="22" t="n">
        <v>2024</v>
      </c>
      <c r="B83" s="22" t="inlineStr">
        <is>
          <t>Q1</t>
        </is>
      </c>
      <c r="C83" s="22" t="inlineStr">
        <is>
          <t>West</t>
        </is>
      </c>
      <c r="D83" s="22" t="inlineStr">
        <is>
          <t>Furniture</t>
        </is>
      </c>
      <c r="E83" s="22" t="n">
        <v>388</v>
      </c>
      <c r="F83" s="22" t="n">
        <v>8000</v>
      </c>
      <c r="G83" s="22">
        <f>E83*F83</f>
        <v/>
      </c>
      <c r="H83" s="22" t="n"/>
    </row>
    <row r="84">
      <c r="A84" s="28" t="n">
        <v>2024</v>
      </c>
      <c r="B84" s="28" t="inlineStr">
        <is>
          <t>Q1</t>
        </is>
      </c>
      <c r="C84" s="28" t="inlineStr">
        <is>
          <t>West</t>
        </is>
      </c>
      <c r="D84" s="28" t="inlineStr">
        <is>
          <t>Groceries</t>
        </is>
      </c>
      <c r="E84" s="28" t="n">
        <v>166</v>
      </c>
      <c r="F84" s="28" t="n">
        <v>200</v>
      </c>
      <c r="G84" s="28">
        <f>E84*F84</f>
        <v/>
      </c>
      <c r="H84" s="28" t="n"/>
    </row>
    <row r="85">
      <c r="A85" s="22" t="n">
        <v>2024</v>
      </c>
      <c r="B85" s="22" t="inlineStr">
        <is>
          <t>Q2</t>
        </is>
      </c>
      <c r="C85" s="22" t="inlineStr">
        <is>
          <t>North</t>
        </is>
      </c>
      <c r="D85" s="22" t="inlineStr">
        <is>
          <t>Electronics</t>
        </is>
      </c>
      <c r="E85" s="22" t="n">
        <v>445</v>
      </c>
      <c r="F85" s="22" t="n">
        <v>12000</v>
      </c>
      <c r="G85" s="22">
        <f>E85*F85</f>
        <v/>
      </c>
      <c r="H85" s="22" t="n"/>
    </row>
    <row r="86">
      <c r="A86" s="28" t="n">
        <v>2024</v>
      </c>
      <c r="B86" s="28" t="inlineStr">
        <is>
          <t>Q2</t>
        </is>
      </c>
      <c r="C86" s="28" t="inlineStr">
        <is>
          <t>North</t>
        </is>
      </c>
      <c r="D86" s="28" t="inlineStr">
        <is>
          <t>Clothing</t>
        </is>
      </c>
      <c r="E86" s="28" t="n">
        <v>198</v>
      </c>
      <c r="F86" s="28" t="n">
        <v>1500</v>
      </c>
      <c r="G86" s="28">
        <f>E86*F86</f>
        <v/>
      </c>
      <c r="H86" s="28" t="n"/>
    </row>
    <row r="87">
      <c r="A87" s="22" t="n">
        <v>2024</v>
      </c>
      <c r="B87" s="22" t="inlineStr">
        <is>
          <t>Q2</t>
        </is>
      </c>
      <c r="C87" s="22" t="inlineStr">
        <is>
          <t>North</t>
        </is>
      </c>
      <c r="D87" s="22" t="inlineStr">
        <is>
          <t>Furniture</t>
        </is>
      </c>
      <c r="E87" s="22" t="n">
        <v>90</v>
      </c>
      <c r="F87" s="22" t="n">
        <v>8000</v>
      </c>
      <c r="G87" s="22">
        <f>E87*F87</f>
        <v/>
      </c>
      <c r="H87" s="22" t="n"/>
    </row>
    <row r="88">
      <c r="A88" s="28" t="n">
        <v>2024</v>
      </c>
      <c r="B88" s="28" t="inlineStr">
        <is>
          <t>Q2</t>
        </is>
      </c>
      <c r="C88" s="28" t="inlineStr">
        <is>
          <t>North</t>
        </is>
      </c>
      <c r="D88" s="28" t="inlineStr">
        <is>
          <t>Groceries</t>
        </is>
      </c>
      <c r="E88" s="28" t="n">
        <v>487</v>
      </c>
      <c r="F88" s="28" t="n">
        <v>200</v>
      </c>
      <c r="G88" s="28">
        <f>E88*F88</f>
        <v/>
      </c>
      <c r="H88" s="28" t="n"/>
    </row>
    <row r="89">
      <c r="A89" s="22" t="n">
        <v>2024</v>
      </c>
      <c r="B89" s="22" t="inlineStr">
        <is>
          <t>Q2</t>
        </is>
      </c>
      <c r="C89" s="22" t="inlineStr">
        <is>
          <t>South</t>
        </is>
      </c>
      <c r="D89" s="22" t="inlineStr">
        <is>
          <t>Electronics</t>
        </is>
      </c>
      <c r="E89" s="22" t="n">
        <v>169</v>
      </c>
      <c r="F89" s="22" t="n">
        <v>12000</v>
      </c>
      <c r="G89" s="22">
        <f>E89*F89</f>
        <v/>
      </c>
      <c r="H89" s="22" t="n"/>
    </row>
    <row r="90">
      <c r="A90" s="28" t="n">
        <v>2024</v>
      </c>
      <c r="B90" s="28" t="inlineStr">
        <is>
          <t>Q2</t>
        </is>
      </c>
      <c r="C90" s="28" t="inlineStr">
        <is>
          <t>South</t>
        </is>
      </c>
      <c r="D90" s="28" t="inlineStr">
        <is>
          <t>Clothing</t>
        </is>
      </c>
      <c r="E90" s="28" t="n">
        <v>493</v>
      </c>
      <c r="F90" s="28" t="n">
        <v>1500</v>
      </c>
      <c r="G90" s="28">
        <f>E90*F90</f>
        <v/>
      </c>
      <c r="H90" s="28" t="n"/>
    </row>
    <row r="91">
      <c r="A91" s="22" t="n">
        <v>2024</v>
      </c>
      <c r="B91" s="22" t="inlineStr">
        <is>
          <t>Q2</t>
        </is>
      </c>
      <c r="C91" s="22" t="inlineStr">
        <is>
          <t>South</t>
        </is>
      </c>
      <c r="D91" s="22" t="inlineStr">
        <is>
          <t>Furniture</t>
        </is>
      </c>
      <c r="E91" s="22" t="n">
        <v>101</v>
      </c>
      <c r="F91" s="22" t="n">
        <v>8000</v>
      </c>
      <c r="G91" s="22">
        <f>E91*F91</f>
        <v/>
      </c>
      <c r="H91" s="22" t="n"/>
    </row>
    <row r="92">
      <c r="A92" s="28" t="n">
        <v>2024</v>
      </c>
      <c r="B92" s="28" t="inlineStr">
        <is>
          <t>Q2</t>
        </is>
      </c>
      <c r="C92" s="28" t="inlineStr">
        <is>
          <t>South</t>
        </is>
      </c>
      <c r="D92" s="28" t="inlineStr">
        <is>
          <t>Groceries</t>
        </is>
      </c>
      <c r="E92" s="28" t="n">
        <v>244</v>
      </c>
      <c r="F92" s="28" t="n">
        <v>200</v>
      </c>
      <c r="G92" s="28">
        <f>E92*F92</f>
        <v/>
      </c>
      <c r="H92" s="28" t="n"/>
    </row>
    <row r="93">
      <c r="A93" s="22" t="n">
        <v>2024</v>
      </c>
      <c r="B93" s="22" t="inlineStr">
        <is>
          <t>Q2</t>
        </is>
      </c>
      <c r="C93" s="22" t="inlineStr">
        <is>
          <t>East</t>
        </is>
      </c>
      <c r="D93" s="22" t="inlineStr">
        <is>
          <t>Electronics</t>
        </is>
      </c>
      <c r="E93" s="22" t="n">
        <v>192</v>
      </c>
      <c r="F93" s="22" t="n">
        <v>12000</v>
      </c>
      <c r="G93" s="22">
        <f>E93*F93</f>
        <v/>
      </c>
      <c r="H93" s="22" t="n"/>
    </row>
    <row r="94">
      <c r="A94" s="28" t="n">
        <v>2024</v>
      </c>
      <c r="B94" s="28" t="inlineStr">
        <is>
          <t>Q2</t>
        </is>
      </c>
      <c r="C94" s="28" t="inlineStr">
        <is>
          <t>East</t>
        </is>
      </c>
      <c r="D94" s="28" t="inlineStr">
        <is>
          <t>Clothing</t>
        </is>
      </c>
      <c r="E94" s="28" t="n">
        <v>282</v>
      </c>
      <c r="F94" s="28" t="n">
        <v>1500</v>
      </c>
      <c r="G94" s="28">
        <f>E94*F94</f>
        <v/>
      </c>
      <c r="H94" s="28" t="n"/>
    </row>
    <row r="95">
      <c r="A95" s="22" t="n">
        <v>2024</v>
      </c>
      <c r="B95" s="22" t="inlineStr">
        <is>
          <t>Q2</t>
        </is>
      </c>
      <c r="C95" s="22" t="inlineStr">
        <is>
          <t>East</t>
        </is>
      </c>
      <c r="D95" s="22" t="inlineStr">
        <is>
          <t>Furniture</t>
        </is>
      </c>
      <c r="E95" s="22" t="n">
        <v>375</v>
      </c>
      <c r="F95" s="22" t="n">
        <v>8000</v>
      </c>
      <c r="G95" s="22">
        <f>E95*F95</f>
        <v/>
      </c>
      <c r="H95" s="22" t="n"/>
    </row>
    <row r="96">
      <c r="A96" s="28" t="n">
        <v>2024</v>
      </c>
      <c r="B96" s="28" t="inlineStr">
        <is>
          <t>Q2</t>
        </is>
      </c>
      <c r="C96" s="28" t="inlineStr">
        <is>
          <t>East</t>
        </is>
      </c>
      <c r="D96" s="28" t="inlineStr">
        <is>
          <t>Groceries</t>
        </is>
      </c>
      <c r="E96" s="28" t="n">
        <v>477</v>
      </c>
      <c r="F96" s="28" t="n">
        <v>200</v>
      </c>
      <c r="G96" s="28">
        <f>E96*F96</f>
        <v/>
      </c>
      <c r="H96" s="28" t="n"/>
    </row>
    <row r="97">
      <c r="A97" s="22" t="n">
        <v>2024</v>
      </c>
      <c r="B97" s="22" t="inlineStr">
        <is>
          <t>Q2</t>
        </is>
      </c>
      <c r="C97" s="22" t="inlineStr">
        <is>
          <t>West</t>
        </is>
      </c>
      <c r="D97" s="22" t="inlineStr">
        <is>
          <t>Electronics</t>
        </is>
      </c>
      <c r="E97" s="22" t="n">
        <v>236</v>
      </c>
      <c r="F97" s="22" t="n">
        <v>12000</v>
      </c>
      <c r="G97" s="22">
        <f>E97*F97</f>
        <v/>
      </c>
      <c r="H97" s="22" t="n"/>
    </row>
    <row r="98">
      <c r="A98" s="28" t="n">
        <v>2024</v>
      </c>
      <c r="B98" s="28" t="inlineStr">
        <is>
          <t>Q2</t>
        </is>
      </c>
      <c r="C98" s="28" t="inlineStr">
        <is>
          <t>West</t>
        </is>
      </c>
      <c r="D98" s="28" t="inlineStr">
        <is>
          <t>Clothing</t>
        </is>
      </c>
      <c r="E98" s="28" t="n">
        <v>133</v>
      </c>
      <c r="F98" s="28" t="n">
        <v>1500</v>
      </c>
      <c r="G98" s="28">
        <f>E98*F98</f>
        <v/>
      </c>
      <c r="H98" s="28" t="n"/>
    </row>
    <row r="99">
      <c r="A99" s="22" t="n">
        <v>2024</v>
      </c>
      <c r="B99" s="22" t="inlineStr">
        <is>
          <t>Q2</t>
        </is>
      </c>
      <c r="C99" s="22" t="inlineStr">
        <is>
          <t>West</t>
        </is>
      </c>
      <c r="D99" s="22" t="inlineStr">
        <is>
          <t>Furniture</t>
        </is>
      </c>
      <c r="E99" s="22" t="n">
        <v>239</v>
      </c>
      <c r="F99" s="22" t="n">
        <v>8000</v>
      </c>
      <c r="G99" s="22">
        <f>E99*F99</f>
        <v/>
      </c>
      <c r="H99" s="22" t="n"/>
    </row>
    <row r="100">
      <c r="A100" s="28" t="n">
        <v>2024</v>
      </c>
      <c r="B100" s="28" t="inlineStr">
        <is>
          <t>Q2</t>
        </is>
      </c>
      <c r="C100" s="28" t="inlineStr">
        <is>
          <t>West</t>
        </is>
      </c>
      <c r="D100" s="28" t="inlineStr">
        <is>
          <t>Groceries</t>
        </is>
      </c>
      <c r="E100" s="28" t="n">
        <v>231</v>
      </c>
      <c r="F100" s="28" t="n">
        <v>200</v>
      </c>
      <c r="G100" s="28">
        <f>E100*F100</f>
        <v/>
      </c>
      <c r="H100" s="28" t="n"/>
    </row>
    <row r="101">
      <c r="A101" s="22" t="n">
        <v>2024</v>
      </c>
      <c r="B101" s="22" t="inlineStr">
        <is>
          <t>Q3</t>
        </is>
      </c>
      <c r="C101" s="22" t="inlineStr">
        <is>
          <t>North</t>
        </is>
      </c>
      <c r="D101" s="22" t="inlineStr">
        <is>
          <t>Electronics</t>
        </is>
      </c>
      <c r="E101" s="22" t="n">
        <v>157</v>
      </c>
      <c r="F101" s="22" t="n">
        <v>12000</v>
      </c>
      <c r="G101" s="22">
        <f>E101*F101</f>
        <v/>
      </c>
      <c r="H101" s="22" t="n"/>
    </row>
    <row r="102">
      <c r="A102" s="28" t="n">
        <v>2024</v>
      </c>
      <c r="B102" s="28" t="inlineStr">
        <is>
          <t>Q3</t>
        </is>
      </c>
      <c r="C102" s="28" t="inlineStr">
        <is>
          <t>North</t>
        </is>
      </c>
      <c r="D102" s="28" t="inlineStr">
        <is>
          <t>Clothing</t>
        </is>
      </c>
      <c r="E102" s="28" t="n">
        <v>393</v>
      </c>
      <c r="F102" s="28" t="n">
        <v>1500</v>
      </c>
      <c r="G102" s="28">
        <f>E102*F102</f>
        <v/>
      </c>
      <c r="H102" s="28" t="n"/>
    </row>
    <row r="103">
      <c r="A103" s="22" t="n">
        <v>2024</v>
      </c>
      <c r="B103" s="22" t="inlineStr">
        <is>
          <t>Q3</t>
        </is>
      </c>
      <c r="C103" s="22" t="inlineStr">
        <is>
          <t>North</t>
        </is>
      </c>
      <c r="D103" s="22" t="inlineStr">
        <is>
          <t>Furniture</t>
        </is>
      </c>
      <c r="E103" s="22" t="n">
        <v>186</v>
      </c>
      <c r="F103" s="22" t="n">
        <v>8000</v>
      </c>
      <c r="G103" s="22">
        <f>E103*F103</f>
        <v/>
      </c>
      <c r="H103" s="22" t="n"/>
    </row>
    <row r="104">
      <c r="A104" s="28" t="n">
        <v>2024</v>
      </c>
      <c r="B104" s="28" t="inlineStr">
        <is>
          <t>Q3</t>
        </is>
      </c>
      <c r="C104" s="28" t="inlineStr">
        <is>
          <t>North</t>
        </is>
      </c>
      <c r="D104" s="28" t="inlineStr">
        <is>
          <t>Groceries</t>
        </is>
      </c>
      <c r="E104" s="28" t="n">
        <v>409</v>
      </c>
      <c r="F104" s="28" t="n">
        <v>200</v>
      </c>
      <c r="G104" s="28">
        <f>E104*F104</f>
        <v/>
      </c>
      <c r="H104" s="28" t="n"/>
    </row>
    <row r="105">
      <c r="A105" s="22" t="n">
        <v>2024</v>
      </c>
      <c r="B105" s="22" t="inlineStr">
        <is>
          <t>Q3</t>
        </is>
      </c>
      <c r="C105" s="22" t="inlineStr">
        <is>
          <t>South</t>
        </is>
      </c>
      <c r="D105" s="22" t="inlineStr">
        <is>
          <t>Electronics</t>
        </is>
      </c>
      <c r="E105" s="22" t="n">
        <v>399</v>
      </c>
      <c r="F105" s="22" t="n">
        <v>12000</v>
      </c>
      <c r="G105" s="22">
        <f>E105*F105</f>
        <v/>
      </c>
      <c r="H105" s="22" t="n"/>
    </row>
    <row r="106">
      <c r="A106" s="28" t="n">
        <v>2024</v>
      </c>
      <c r="B106" s="28" t="inlineStr">
        <is>
          <t>Q3</t>
        </is>
      </c>
      <c r="C106" s="28" t="inlineStr">
        <is>
          <t>South</t>
        </is>
      </c>
      <c r="D106" s="28" t="inlineStr">
        <is>
          <t>Clothing</t>
        </is>
      </c>
      <c r="E106" s="28" t="n">
        <v>381</v>
      </c>
      <c r="F106" s="28" t="n">
        <v>1500</v>
      </c>
      <c r="G106" s="28">
        <f>E106*F106</f>
        <v/>
      </c>
      <c r="H106" s="28" t="n"/>
    </row>
    <row r="107">
      <c r="A107" s="22" t="n">
        <v>2024</v>
      </c>
      <c r="B107" s="22" t="inlineStr">
        <is>
          <t>Q3</t>
        </is>
      </c>
      <c r="C107" s="22" t="inlineStr">
        <is>
          <t>South</t>
        </is>
      </c>
      <c r="D107" s="22" t="inlineStr">
        <is>
          <t>Furniture</t>
        </is>
      </c>
      <c r="E107" s="22" t="n">
        <v>86</v>
      </c>
      <c r="F107" s="22" t="n">
        <v>8000</v>
      </c>
      <c r="G107" s="22">
        <f>E107*F107</f>
        <v/>
      </c>
      <c r="H107" s="22" t="n"/>
    </row>
    <row r="108">
      <c r="A108" s="28" t="n">
        <v>2024</v>
      </c>
      <c r="B108" s="28" t="inlineStr">
        <is>
          <t>Q3</t>
        </is>
      </c>
      <c r="C108" s="28" t="inlineStr">
        <is>
          <t>South</t>
        </is>
      </c>
      <c r="D108" s="28" t="inlineStr">
        <is>
          <t>Groceries</t>
        </is>
      </c>
      <c r="E108" s="28" t="n">
        <v>361</v>
      </c>
      <c r="F108" s="28" t="n">
        <v>200</v>
      </c>
      <c r="G108" s="28">
        <f>E108*F108</f>
        <v/>
      </c>
      <c r="H108" s="28" t="n"/>
    </row>
    <row r="109">
      <c r="A109" s="22" t="n">
        <v>2024</v>
      </c>
      <c r="B109" s="22" t="inlineStr">
        <is>
          <t>Q3</t>
        </is>
      </c>
      <c r="C109" s="22" t="inlineStr">
        <is>
          <t>East</t>
        </is>
      </c>
      <c r="D109" s="22" t="inlineStr">
        <is>
          <t>Electronics</t>
        </is>
      </c>
      <c r="E109" s="22" t="n">
        <v>375</v>
      </c>
      <c r="F109" s="22" t="n">
        <v>12000</v>
      </c>
      <c r="G109" s="22">
        <f>E109*F109</f>
        <v/>
      </c>
      <c r="H109" s="22" t="n"/>
    </row>
    <row r="110">
      <c r="A110" s="28" t="n">
        <v>2024</v>
      </c>
      <c r="B110" s="28" t="inlineStr">
        <is>
          <t>Q3</t>
        </is>
      </c>
      <c r="C110" s="28" t="inlineStr">
        <is>
          <t>East</t>
        </is>
      </c>
      <c r="D110" s="28" t="inlineStr">
        <is>
          <t>Clothing</t>
        </is>
      </c>
      <c r="E110" s="28" t="n">
        <v>137</v>
      </c>
      <c r="F110" s="28" t="n">
        <v>1500</v>
      </c>
      <c r="G110" s="28">
        <f>E110*F110</f>
        <v/>
      </c>
      <c r="H110" s="28" t="n"/>
    </row>
    <row r="111">
      <c r="A111" s="22" t="n">
        <v>2024</v>
      </c>
      <c r="B111" s="22" t="inlineStr">
        <is>
          <t>Q3</t>
        </is>
      </c>
      <c r="C111" s="22" t="inlineStr">
        <is>
          <t>East</t>
        </is>
      </c>
      <c r="D111" s="22" t="inlineStr">
        <is>
          <t>Furniture</t>
        </is>
      </c>
      <c r="E111" s="22" t="n">
        <v>323</v>
      </c>
      <c r="F111" s="22" t="n">
        <v>8000</v>
      </c>
      <c r="G111" s="22">
        <f>E111*F111</f>
        <v/>
      </c>
      <c r="H111" s="22" t="n"/>
    </row>
    <row r="112">
      <c r="A112" s="28" t="n">
        <v>2024</v>
      </c>
      <c r="B112" s="28" t="inlineStr">
        <is>
          <t>Q3</t>
        </is>
      </c>
      <c r="C112" s="28" t="inlineStr">
        <is>
          <t>East</t>
        </is>
      </c>
      <c r="D112" s="28" t="inlineStr">
        <is>
          <t>Groceries</t>
        </is>
      </c>
      <c r="E112" s="28" t="n">
        <v>423</v>
      </c>
      <c r="F112" s="28" t="n">
        <v>200</v>
      </c>
      <c r="G112" s="28">
        <f>E112*F112</f>
        <v/>
      </c>
      <c r="H112" s="28" t="n"/>
    </row>
    <row r="113">
      <c r="A113" s="22" t="n">
        <v>2024</v>
      </c>
      <c r="B113" s="22" t="inlineStr">
        <is>
          <t>Q3</t>
        </is>
      </c>
      <c r="C113" s="22" t="inlineStr">
        <is>
          <t>West</t>
        </is>
      </c>
      <c r="D113" s="22" t="inlineStr">
        <is>
          <t>Electronics</t>
        </is>
      </c>
      <c r="E113" s="22" t="n">
        <v>175</v>
      </c>
      <c r="F113" s="22" t="n">
        <v>12000</v>
      </c>
      <c r="G113" s="22">
        <f>E113*F113</f>
        <v/>
      </c>
      <c r="H113" s="22" t="n"/>
    </row>
    <row r="114">
      <c r="A114" s="28" t="n">
        <v>2024</v>
      </c>
      <c r="B114" s="28" t="inlineStr">
        <is>
          <t>Q3</t>
        </is>
      </c>
      <c r="C114" s="28" t="inlineStr">
        <is>
          <t>West</t>
        </is>
      </c>
      <c r="D114" s="28" t="inlineStr">
        <is>
          <t>Clothing</t>
        </is>
      </c>
      <c r="E114" s="28" t="n">
        <v>133</v>
      </c>
      <c r="F114" s="28" t="n">
        <v>1500</v>
      </c>
      <c r="G114" s="28">
        <f>E114*F114</f>
        <v/>
      </c>
      <c r="H114" s="28" t="n"/>
    </row>
    <row r="115">
      <c r="A115" s="22" t="n">
        <v>2024</v>
      </c>
      <c r="B115" s="22" t="inlineStr">
        <is>
          <t>Q3</t>
        </is>
      </c>
      <c r="C115" s="22" t="inlineStr">
        <is>
          <t>West</t>
        </is>
      </c>
      <c r="D115" s="22" t="inlineStr">
        <is>
          <t>Furniture</t>
        </is>
      </c>
      <c r="E115" s="22" t="n">
        <v>286</v>
      </c>
      <c r="F115" s="22" t="n">
        <v>8000</v>
      </c>
      <c r="G115" s="22">
        <f>E115*F115</f>
        <v/>
      </c>
      <c r="H115" s="22" t="n"/>
    </row>
    <row r="116">
      <c r="A116" s="28" t="n">
        <v>2024</v>
      </c>
      <c r="B116" s="28" t="inlineStr">
        <is>
          <t>Q3</t>
        </is>
      </c>
      <c r="C116" s="28" t="inlineStr">
        <is>
          <t>West</t>
        </is>
      </c>
      <c r="D116" s="28" t="inlineStr">
        <is>
          <t>Groceries</t>
        </is>
      </c>
      <c r="E116" s="28" t="n">
        <v>244</v>
      </c>
      <c r="F116" s="28" t="n">
        <v>200</v>
      </c>
      <c r="G116" s="28">
        <f>E116*F116</f>
        <v/>
      </c>
      <c r="H116" s="28" t="n"/>
    </row>
    <row r="117">
      <c r="A117" s="22" t="n">
        <v>2024</v>
      </c>
      <c r="B117" s="22" t="inlineStr">
        <is>
          <t>Q4</t>
        </is>
      </c>
      <c r="C117" s="22" t="inlineStr">
        <is>
          <t>North</t>
        </is>
      </c>
      <c r="D117" s="22" t="inlineStr">
        <is>
          <t>Electronics</t>
        </is>
      </c>
      <c r="E117" s="22" t="n">
        <v>188</v>
      </c>
      <c r="F117" s="22" t="n">
        <v>12000</v>
      </c>
      <c r="G117" s="22">
        <f>E117*F117</f>
        <v/>
      </c>
      <c r="H117" s="22" t="n"/>
    </row>
    <row r="118">
      <c r="A118" s="28" t="n">
        <v>2024</v>
      </c>
      <c r="B118" s="28" t="inlineStr">
        <is>
          <t>Q4</t>
        </is>
      </c>
      <c r="C118" s="28" t="inlineStr">
        <is>
          <t>North</t>
        </is>
      </c>
      <c r="D118" s="28" t="inlineStr">
        <is>
          <t>Clothing</t>
        </is>
      </c>
      <c r="E118" s="28" t="n">
        <v>377</v>
      </c>
      <c r="F118" s="28" t="n">
        <v>1500</v>
      </c>
      <c r="G118" s="28">
        <f>E118*F118</f>
        <v/>
      </c>
      <c r="H118" s="28" t="n"/>
    </row>
    <row r="119">
      <c r="A119" s="22" t="n">
        <v>2024</v>
      </c>
      <c r="B119" s="22" t="inlineStr">
        <is>
          <t>Q4</t>
        </is>
      </c>
      <c r="C119" s="22" t="inlineStr">
        <is>
          <t>North</t>
        </is>
      </c>
      <c r="D119" s="22" t="inlineStr">
        <is>
          <t>Furniture</t>
        </is>
      </c>
      <c r="E119" s="22" t="n">
        <v>402</v>
      </c>
      <c r="F119" s="22" t="n">
        <v>8000</v>
      </c>
      <c r="G119" s="22">
        <f>E119*F119</f>
        <v/>
      </c>
      <c r="H119" s="22" t="n"/>
    </row>
    <row r="120">
      <c r="A120" s="28" t="n">
        <v>2024</v>
      </c>
      <c r="B120" s="28" t="inlineStr">
        <is>
          <t>Q4</t>
        </is>
      </c>
      <c r="C120" s="28" t="inlineStr">
        <is>
          <t>North</t>
        </is>
      </c>
      <c r="D120" s="28" t="inlineStr">
        <is>
          <t>Groceries</t>
        </is>
      </c>
      <c r="E120" s="28" t="n">
        <v>335</v>
      </c>
      <c r="F120" s="28" t="n">
        <v>200</v>
      </c>
      <c r="G120" s="28">
        <f>E120*F120</f>
        <v/>
      </c>
      <c r="H120" s="28" t="n"/>
    </row>
    <row r="121">
      <c r="A121" s="22" t="n">
        <v>2024</v>
      </c>
      <c r="B121" s="22" t="inlineStr">
        <is>
          <t>Q4</t>
        </is>
      </c>
      <c r="C121" s="22" t="inlineStr">
        <is>
          <t>South</t>
        </is>
      </c>
      <c r="D121" s="22" t="inlineStr">
        <is>
          <t>Electronics</t>
        </is>
      </c>
      <c r="E121" s="22" t="n">
        <v>162</v>
      </c>
      <c r="F121" s="22" t="n">
        <v>12000</v>
      </c>
      <c r="G121" s="22">
        <f>E121*F121</f>
        <v/>
      </c>
      <c r="H121" s="22" t="n"/>
    </row>
    <row r="122">
      <c r="A122" s="28" t="n">
        <v>2024</v>
      </c>
      <c r="B122" s="28" t="inlineStr">
        <is>
          <t>Q4</t>
        </is>
      </c>
      <c r="C122" s="28" t="inlineStr">
        <is>
          <t>South</t>
        </is>
      </c>
      <c r="D122" s="28" t="inlineStr">
        <is>
          <t>Clothing</t>
        </is>
      </c>
      <c r="E122" s="28" t="n">
        <v>400</v>
      </c>
      <c r="F122" s="28" t="n">
        <v>1500</v>
      </c>
      <c r="G122" s="28">
        <f>E122*F122</f>
        <v/>
      </c>
      <c r="H122" s="28" t="n"/>
    </row>
    <row r="123">
      <c r="A123" s="22" t="n">
        <v>2024</v>
      </c>
      <c r="B123" s="22" t="inlineStr">
        <is>
          <t>Q4</t>
        </is>
      </c>
      <c r="C123" s="22" t="inlineStr">
        <is>
          <t>South</t>
        </is>
      </c>
      <c r="D123" s="22" t="inlineStr">
        <is>
          <t>Furniture</t>
        </is>
      </c>
      <c r="E123" s="22" t="n">
        <v>216</v>
      </c>
      <c r="F123" s="22" t="n">
        <v>8000</v>
      </c>
      <c r="G123" s="22">
        <f>E123*F123</f>
        <v/>
      </c>
      <c r="H123" s="22" t="n"/>
    </row>
    <row r="124">
      <c r="A124" s="28" t="n">
        <v>2024</v>
      </c>
      <c r="B124" s="28" t="inlineStr">
        <is>
          <t>Q4</t>
        </is>
      </c>
      <c r="C124" s="28" t="inlineStr">
        <is>
          <t>South</t>
        </is>
      </c>
      <c r="D124" s="28" t="inlineStr">
        <is>
          <t>Groceries</t>
        </is>
      </c>
      <c r="E124" s="28" t="n">
        <v>481</v>
      </c>
      <c r="F124" s="28" t="n">
        <v>200</v>
      </c>
      <c r="G124" s="28">
        <f>E124*F124</f>
        <v/>
      </c>
      <c r="H124" s="28" t="n"/>
    </row>
    <row r="125">
      <c r="A125" s="22" t="n">
        <v>2024</v>
      </c>
      <c r="B125" s="22" t="inlineStr">
        <is>
          <t>Q4</t>
        </is>
      </c>
      <c r="C125" s="22" t="inlineStr">
        <is>
          <t>East</t>
        </is>
      </c>
      <c r="D125" s="22" t="inlineStr">
        <is>
          <t>Electronics</t>
        </is>
      </c>
      <c r="E125" s="22" t="n">
        <v>443</v>
      </c>
      <c r="F125" s="22" t="n">
        <v>12000</v>
      </c>
      <c r="G125" s="22">
        <f>E125*F125</f>
        <v/>
      </c>
      <c r="H125" s="22" t="n"/>
    </row>
    <row r="126">
      <c r="A126" s="28" t="n">
        <v>2024</v>
      </c>
      <c r="B126" s="28" t="inlineStr">
        <is>
          <t>Q4</t>
        </is>
      </c>
      <c r="C126" s="28" t="inlineStr">
        <is>
          <t>East</t>
        </is>
      </c>
      <c r="D126" s="28" t="inlineStr">
        <is>
          <t>Clothing</t>
        </is>
      </c>
      <c r="E126" s="28" t="n">
        <v>447</v>
      </c>
      <c r="F126" s="28" t="n">
        <v>1500</v>
      </c>
      <c r="G126" s="28">
        <f>E126*F126</f>
        <v/>
      </c>
      <c r="H126" s="28" t="n"/>
    </row>
    <row r="127">
      <c r="A127" s="22" t="n">
        <v>2024</v>
      </c>
      <c r="B127" s="22" t="inlineStr">
        <is>
          <t>Q4</t>
        </is>
      </c>
      <c r="C127" s="22" t="inlineStr">
        <is>
          <t>East</t>
        </is>
      </c>
      <c r="D127" s="22" t="inlineStr">
        <is>
          <t>Furniture</t>
        </is>
      </c>
      <c r="E127" s="22" t="n">
        <v>78</v>
      </c>
      <c r="F127" s="22" t="n">
        <v>8000</v>
      </c>
      <c r="G127" s="22">
        <f>E127*F127</f>
        <v/>
      </c>
      <c r="H127" s="22" t="n"/>
    </row>
    <row r="128">
      <c r="A128" s="28" t="n">
        <v>2024</v>
      </c>
      <c r="B128" s="28" t="inlineStr">
        <is>
          <t>Q4</t>
        </is>
      </c>
      <c r="C128" s="28" t="inlineStr">
        <is>
          <t>East</t>
        </is>
      </c>
      <c r="D128" s="28" t="inlineStr">
        <is>
          <t>Groceries</t>
        </is>
      </c>
      <c r="E128" s="28" t="n">
        <v>167</v>
      </c>
      <c r="F128" s="28" t="n">
        <v>200</v>
      </c>
      <c r="G128" s="28">
        <f>E128*F128</f>
        <v/>
      </c>
      <c r="H128" s="28" t="n"/>
    </row>
    <row r="129">
      <c r="A129" s="22" t="n">
        <v>2024</v>
      </c>
      <c r="B129" s="22" t="inlineStr">
        <is>
          <t>Q4</t>
        </is>
      </c>
      <c r="C129" s="22" t="inlineStr">
        <is>
          <t>West</t>
        </is>
      </c>
      <c r="D129" s="22" t="inlineStr">
        <is>
          <t>Electronics</t>
        </is>
      </c>
      <c r="E129" s="22" t="n">
        <v>470</v>
      </c>
      <c r="F129" s="22" t="n">
        <v>12000</v>
      </c>
      <c r="G129" s="22">
        <f>E129*F129</f>
        <v/>
      </c>
      <c r="H129" s="22" t="n"/>
    </row>
    <row r="130">
      <c r="A130" s="28" t="n">
        <v>2024</v>
      </c>
      <c r="B130" s="28" t="inlineStr">
        <is>
          <t>Q4</t>
        </is>
      </c>
      <c r="C130" s="28" t="inlineStr">
        <is>
          <t>West</t>
        </is>
      </c>
      <c r="D130" s="28" t="inlineStr">
        <is>
          <t>Clothing</t>
        </is>
      </c>
      <c r="E130" s="28" t="n">
        <v>66</v>
      </c>
      <c r="F130" s="28" t="n">
        <v>1500</v>
      </c>
      <c r="G130" s="28">
        <f>E130*F130</f>
        <v/>
      </c>
      <c r="H130" s="28" t="n"/>
    </row>
    <row r="131">
      <c r="A131" s="22" t="n">
        <v>2024</v>
      </c>
      <c r="B131" s="22" t="inlineStr">
        <is>
          <t>Q4</t>
        </is>
      </c>
      <c r="C131" s="22" t="inlineStr">
        <is>
          <t>West</t>
        </is>
      </c>
      <c r="D131" s="22" t="inlineStr">
        <is>
          <t>Furniture</t>
        </is>
      </c>
      <c r="E131" s="22" t="n">
        <v>462</v>
      </c>
      <c r="F131" s="22" t="n">
        <v>8000</v>
      </c>
      <c r="G131" s="22">
        <f>E131*F131</f>
        <v/>
      </c>
      <c r="H131" s="22" t="n"/>
    </row>
    <row r="132">
      <c r="A132" s="28" t="n">
        <v>2024</v>
      </c>
      <c r="B132" s="28" t="inlineStr">
        <is>
          <t>Q4</t>
        </is>
      </c>
      <c r="C132" s="28" t="inlineStr">
        <is>
          <t>West</t>
        </is>
      </c>
      <c r="D132" s="28" t="inlineStr">
        <is>
          <t>Groceries</t>
        </is>
      </c>
      <c r="E132" s="28" t="n">
        <v>211</v>
      </c>
      <c r="F132" s="28" t="n">
        <v>200</v>
      </c>
      <c r="G132" s="28">
        <f>E132*F132</f>
        <v/>
      </c>
      <c r="H132" s="28" t="n"/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0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32" customHeight="1">
      <c r="A1" s="1" t="inlineStr">
        <is>
          <t>Dataset 4 – MedPlus Pharmacy Inventory (Assignment 4)</t>
        </is>
      </c>
    </row>
    <row r="2" ht="22" customHeight="1">
      <c r="A2" s="2" t="inlineStr">
        <is>
          <t>Use this data for Section C Case Study</t>
        </is>
      </c>
    </row>
    <row r="4" ht="28" customHeight="1">
      <c r="A4" s="29" t="inlineStr">
        <is>
          <t>Med ID</t>
        </is>
      </c>
      <c r="B4" s="29" t="inlineStr">
        <is>
          <t>Medicine Name</t>
        </is>
      </c>
      <c r="C4" s="29" t="inlineStr">
        <is>
          <t>Category</t>
        </is>
      </c>
      <c r="D4" s="29" t="inlineStr">
        <is>
          <t>Stock Qty</t>
        </is>
      </c>
      <c r="E4" s="29" t="inlineStr">
        <is>
          <t>Reorder Level</t>
        </is>
      </c>
      <c r="F4" s="29" t="inlineStr">
        <is>
          <t>Unit Cost (₹)</t>
        </is>
      </c>
      <c r="G4" s="29" t="inlineStr">
        <is>
          <t>Total Value (₹)</t>
        </is>
      </c>
      <c r="H4" s="29" t="inlineStr">
        <is>
          <t>Expiry Date</t>
        </is>
      </c>
      <c r="I4" s="29" t="inlineStr">
        <is>
          <t>Status</t>
        </is>
      </c>
    </row>
    <row r="5">
      <c r="A5" s="22" t="inlineStr">
        <is>
          <t>M001</t>
        </is>
      </c>
      <c r="B5" s="22" t="inlineStr">
        <is>
          <t>Paracetamol 500mg</t>
        </is>
      </c>
      <c r="C5" s="22" t="inlineStr">
        <is>
          <t>Analgesic</t>
        </is>
      </c>
      <c r="D5" s="22" t="n">
        <v>500</v>
      </c>
      <c r="E5" s="22" t="n">
        <v>100</v>
      </c>
      <c r="F5" s="22" t="n">
        <v>5</v>
      </c>
      <c r="G5" s="22">
        <f>D5*F5</f>
        <v/>
      </c>
      <c r="H5" s="30" t="n">
        <v>45838</v>
      </c>
      <c r="I5" s="22">
        <f>IF(D5=0,"Out of Stock",IF(D5&lt;=E5,"Low Stock","In Stock"))</f>
        <v/>
      </c>
    </row>
    <row r="6">
      <c r="A6" s="31" t="inlineStr">
        <is>
          <t>M002</t>
        </is>
      </c>
      <c r="B6" s="31" t="inlineStr">
        <is>
          <t>Amoxicillin 250mg</t>
        </is>
      </c>
      <c r="C6" s="31" t="inlineStr">
        <is>
          <t>Antibiotic</t>
        </is>
      </c>
      <c r="D6" s="31" t="n">
        <v>80</v>
      </c>
      <c r="E6" s="31" t="n">
        <v>150</v>
      </c>
      <c r="F6" s="31" t="n">
        <v>45</v>
      </c>
      <c r="G6" s="31">
        <f>D6*F6</f>
        <v/>
      </c>
      <c r="H6" s="32" t="n">
        <v>45657</v>
      </c>
      <c r="I6" s="31">
        <f>IF(D6=0,"Out of Stock",IF(D6&lt;=E6,"Low Stock","In Stock"))</f>
        <v/>
      </c>
    </row>
    <row r="7">
      <c r="A7" s="22" t="inlineStr">
        <is>
          <t>M003</t>
        </is>
      </c>
      <c r="B7" s="22" t="inlineStr">
        <is>
          <t>Metformin 500mg</t>
        </is>
      </c>
      <c r="C7" s="22" t="inlineStr">
        <is>
          <t>Antidiabetic</t>
        </is>
      </c>
      <c r="D7" s="22" t="n">
        <v>200</v>
      </c>
      <c r="E7" s="22" t="n">
        <v>80</v>
      </c>
      <c r="F7" s="22" t="n">
        <v>12</v>
      </c>
      <c r="G7" s="22">
        <f>D7*F7</f>
        <v/>
      </c>
      <c r="H7" s="30" t="n">
        <v>45915</v>
      </c>
      <c r="I7" s="22">
        <f>IF(D7=0,"Out of Stock",IF(D7&lt;=E7,"Low Stock","In Stock"))</f>
        <v/>
      </c>
    </row>
    <row r="8">
      <c r="A8" s="31" t="inlineStr">
        <is>
          <t>M004</t>
        </is>
      </c>
      <c r="B8" s="31" t="inlineStr">
        <is>
          <t>Atorvastatin 10mg</t>
        </is>
      </c>
      <c r="C8" s="31" t="inlineStr">
        <is>
          <t>Cardiac</t>
        </is>
      </c>
      <c r="D8" s="31" t="n">
        <v>0</v>
      </c>
      <c r="E8" s="31" t="n">
        <v>50</v>
      </c>
      <c r="F8" s="31" t="n">
        <v>35</v>
      </c>
      <c r="G8" s="31">
        <f>D8*F8</f>
        <v/>
      </c>
      <c r="H8" s="32" t="n">
        <v>45747</v>
      </c>
      <c r="I8" s="31">
        <f>IF(D8=0,"Out of Stock",IF(D8&lt;=E8,"Low Stock","In Stock"))</f>
        <v/>
      </c>
    </row>
    <row r="9">
      <c r="A9" s="22" t="inlineStr">
        <is>
          <t>M005</t>
        </is>
      </c>
      <c r="B9" s="22" t="inlineStr">
        <is>
          <t>Omeprazole 20mg</t>
        </is>
      </c>
      <c r="C9" s="22" t="inlineStr">
        <is>
          <t>Antacid</t>
        </is>
      </c>
      <c r="D9" s="22" t="n">
        <v>320</v>
      </c>
      <c r="E9" s="22" t="n">
        <v>100</v>
      </c>
      <c r="F9" s="22" t="n">
        <v>8</v>
      </c>
      <c r="G9" s="22">
        <f>D9*F9</f>
        <v/>
      </c>
      <c r="H9" s="30" t="n">
        <v>46037</v>
      </c>
      <c r="I9" s="22">
        <f>IF(D9=0,"Out of Stock",IF(D9&lt;=E9,"Low Stock","In Stock"))</f>
        <v/>
      </c>
    </row>
    <row r="10">
      <c r="A10" s="31" t="inlineStr">
        <is>
          <t>M006</t>
        </is>
      </c>
      <c r="B10" s="31" t="inlineStr">
        <is>
          <t>Cetirizine 10mg</t>
        </is>
      </c>
      <c r="C10" s="31" t="inlineStr">
        <is>
          <t>Antihistamine</t>
        </is>
      </c>
      <c r="D10" s="31" t="n">
        <v>45</v>
      </c>
      <c r="E10" s="31" t="n">
        <v>60</v>
      </c>
      <c r="F10" s="31" t="n">
        <v>6</v>
      </c>
      <c r="G10" s="31">
        <f>D10*F10</f>
        <v/>
      </c>
      <c r="H10" s="32" t="n">
        <v>45991</v>
      </c>
      <c r="I10" s="31">
        <f>IF(D10=0,"Out of Stock",IF(D10&lt;=E10,"Low Stock","In Stock"))</f>
        <v/>
      </c>
    </row>
    <row r="11">
      <c r="A11" s="22" t="inlineStr">
        <is>
          <t>M007</t>
        </is>
      </c>
      <c r="B11" s="22" t="inlineStr">
        <is>
          <t>Azithromycin 500mg</t>
        </is>
      </c>
      <c r="C11" s="22" t="inlineStr">
        <is>
          <t>Antibiotic</t>
        </is>
      </c>
      <c r="D11" s="22" t="n">
        <v>150</v>
      </c>
      <c r="E11" s="22" t="n">
        <v>80</v>
      </c>
      <c r="F11" s="22" t="n">
        <v>55</v>
      </c>
      <c r="G11" s="22">
        <f>D11*F11</f>
        <v/>
      </c>
      <c r="H11" s="30" t="n">
        <v>45858</v>
      </c>
      <c r="I11" s="22">
        <f>IF(D11=0,"Out of Stock",IF(D11&lt;=E11,"Low Stock","In Stock"))</f>
        <v/>
      </c>
    </row>
    <row r="12">
      <c r="A12" s="31" t="inlineStr">
        <is>
          <t>M008</t>
        </is>
      </c>
      <c r="B12" s="31" t="inlineStr">
        <is>
          <t>Pantoprazole 40mg</t>
        </is>
      </c>
      <c r="C12" s="31" t="inlineStr">
        <is>
          <t>Antacid</t>
        </is>
      </c>
      <c r="D12" s="31" t="n">
        <v>0</v>
      </c>
      <c r="E12" s="31" t="n">
        <v>60</v>
      </c>
      <c r="F12" s="31" t="n">
        <v>15</v>
      </c>
      <c r="G12" s="31">
        <f>D12*F12</f>
        <v/>
      </c>
      <c r="H12" s="32" t="n">
        <v>45757</v>
      </c>
      <c r="I12" s="31">
        <f>IF(D12=0,"Out of Stock",IF(D12&lt;=E12,"Low Stock","In Stock"))</f>
        <v/>
      </c>
    </row>
    <row r="13">
      <c r="A13" s="22" t="inlineStr">
        <is>
          <t>M009</t>
        </is>
      </c>
      <c r="B13" s="22" t="inlineStr">
        <is>
          <t>Losartan 50mg</t>
        </is>
      </c>
      <c r="C13" s="22" t="inlineStr">
        <is>
          <t>Cardiac</t>
        </is>
      </c>
      <c r="D13" s="22" t="n">
        <v>90</v>
      </c>
      <c r="E13" s="22" t="n">
        <v>100</v>
      </c>
      <c r="F13" s="22" t="n">
        <v>22</v>
      </c>
      <c r="G13" s="22">
        <f>D13*F13</f>
        <v/>
      </c>
      <c r="H13" s="30" t="n">
        <v>45894</v>
      </c>
      <c r="I13" s="22">
        <f>IF(D13=0,"Out of Stock",IF(D13&lt;=E13,"Low Stock","In Stock"))</f>
        <v/>
      </c>
    </row>
    <row r="14">
      <c r="A14" s="31" t="inlineStr">
        <is>
          <t>M010</t>
        </is>
      </c>
      <c r="B14" s="31" t="inlineStr">
        <is>
          <t>Vitamin D3 1000IU</t>
        </is>
      </c>
      <c r="C14" s="31" t="inlineStr">
        <is>
          <t>Supplement</t>
        </is>
      </c>
      <c r="D14" s="31" t="n">
        <v>400</v>
      </c>
      <c r="E14" s="31" t="n">
        <v>120</v>
      </c>
      <c r="F14" s="31" t="n">
        <v>18</v>
      </c>
      <c r="G14" s="31">
        <f>D14*F14</f>
        <v/>
      </c>
      <c r="H14" s="32" t="n">
        <v>46112</v>
      </c>
      <c r="I14" s="31">
        <f>IF(D14=0,"Out of Stock",IF(D14&lt;=E14,"Low Stock","In Stock"))</f>
        <v/>
      </c>
    </row>
    <row r="15">
      <c r="A15" s="22" t="inlineStr">
        <is>
          <t>M011</t>
        </is>
      </c>
      <c r="B15" s="22" t="inlineStr">
        <is>
          <t>Ibuprofen 400mg</t>
        </is>
      </c>
      <c r="C15" s="22" t="inlineStr">
        <is>
          <t>Analgesic</t>
        </is>
      </c>
      <c r="D15" s="22" t="n">
        <v>260</v>
      </c>
      <c r="E15" s="22" t="n">
        <v>100</v>
      </c>
      <c r="F15" s="22" t="n">
        <v>7</v>
      </c>
      <c r="G15" s="22">
        <f>D15*F15</f>
        <v/>
      </c>
      <c r="H15" s="30" t="n">
        <v>45945</v>
      </c>
      <c r="I15" s="22">
        <f>IF(D15=0,"Out of Stock",IF(D15&lt;=E15,"Low Stock","In Stock"))</f>
        <v/>
      </c>
    </row>
    <row r="16">
      <c r="A16" s="31" t="inlineStr">
        <is>
          <t>M012</t>
        </is>
      </c>
      <c r="B16" s="31" t="inlineStr">
        <is>
          <t>Clopidogrel 75mg</t>
        </is>
      </c>
      <c r="C16" s="31" t="inlineStr">
        <is>
          <t>Cardiac</t>
        </is>
      </c>
      <c r="D16" s="31" t="n">
        <v>30</v>
      </c>
      <c r="E16" s="31" t="n">
        <v>50</v>
      </c>
      <c r="F16" s="31" t="n">
        <v>48</v>
      </c>
      <c r="G16" s="31">
        <f>D16*F16</f>
        <v/>
      </c>
      <c r="H16" s="32" t="n">
        <v>45797</v>
      </c>
      <c r="I16" s="31">
        <f>IF(D16=0,"Out of Stock",IF(D16&lt;=E16,"Low Stock","In Stock"))</f>
        <v/>
      </c>
    </row>
    <row r="17">
      <c r="A17" s="22" t="inlineStr">
        <is>
          <t>M013</t>
        </is>
      </c>
      <c r="B17" s="22" t="inlineStr">
        <is>
          <t>Salbutamol Inhaler</t>
        </is>
      </c>
      <c r="C17" s="22" t="inlineStr">
        <is>
          <t>Respiratory</t>
        </is>
      </c>
      <c r="D17" s="22" t="n">
        <v>60</v>
      </c>
      <c r="E17" s="22" t="n">
        <v>40</v>
      </c>
      <c r="F17" s="22" t="n">
        <v>185</v>
      </c>
      <c r="G17" s="22">
        <f>D17*F17</f>
        <v/>
      </c>
      <c r="H17" s="30" t="n">
        <v>46022</v>
      </c>
      <c r="I17" s="22">
        <f>IF(D17=0,"Out of Stock",IF(D17&lt;=E17,"Low Stock","In Stock"))</f>
        <v/>
      </c>
    </row>
    <row r="18">
      <c r="A18" s="31" t="inlineStr">
        <is>
          <t>M014</t>
        </is>
      </c>
      <c r="B18" s="31" t="inlineStr">
        <is>
          <t>Insulin Glargine</t>
        </is>
      </c>
      <c r="C18" s="31" t="inlineStr">
        <is>
          <t>Antidiabetic</t>
        </is>
      </c>
      <c r="D18" s="31" t="n">
        <v>20</v>
      </c>
      <c r="E18" s="31" t="n">
        <v>30</v>
      </c>
      <c r="F18" s="31" t="n">
        <v>450</v>
      </c>
      <c r="G18" s="31">
        <f>D18*F18</f>
        <v/>
      </c>
      <c r="H18" s="32" t="n">
        <v>45626</v>
      </c>
      <c r="I18" s="31">
        <f>IF(D18=0,"Out of Stock",IF(D18&lt;=E18,"Low Stock","In Stock"))</f>
        <v/>
      </c>
    </row>
    <row r="19">
      <c r="A19" s="22" t="inlineStr">
        <is>
          <t>M015</t>
        </is>
      </c>
      <c r="B19" s="22" t="inlineStr">
        <is>
          <t>Doxycycline 100mg</t>
        </is>
      </c>
      <c r="C19" s="22" t="inlineStr">
        <is>
          <t>Antibiotic</t>
        </is>
      </c>
      <c r="D19" s="22" t="n">
        <v>110</v>
      </c>
      <c r="E19" s="22" t="n">
        <v>80</v>
      </c>
      <c r="F19" s="22" t="n">
        <v>28</v>
      </c>
      <c r="G19" s="22">
        <f>D19*F19</f>
        <v/>
      </c>
      <c r="H19" s="30" t="n">
        <v>45823</v>
      </c>
      <c r="I19" s="22">
        <f>IF(D19=0,"Out of Stock",IF(D19&lt;=E19,"Low Stock","In Stock"))</f>
        <v/>
      </c>
    </row>
    <row r="20">
      <c r="A20" s="31" t="inlineStr">
        <is>
          <t>M016</t>
        </is>
      </c>
      <c r="B20" s="31" t="inlineStr">
        <is>
          <t>Folic Acid 5mg</t>
        </is>
      </c>
      <c r="C20" s="31" t="inlineStr">
        <is>
          <t>Supplement</t>
        </is>
      </c>
      <c r="D20" s="31" t="n">
        <v>500</v>
      </c>
      <c r="E20" s="31" t="n">
        <v>150</v>
      </c>
      <c r="F20" s="31" t="n">
        <v>3</v>
      </c>
      <c r="G20" s="31">
        <f>D20*F20</f>
        <v/>
      </c>
      <c r="H20" s="32" t="n">
        <v>46203</v>
      </c>
      <c r="I20" s="31">
        <f>IF(D20=0,"Out of Stock",IF(D20&lt;=E20,"Low Stock","In Stock"))</f>
        <v/>
      </c>
    </row>
    <row r="21">
      <c r="A21" s="22" t="inlineStr">
        <is>
          <t>M017</t>
        </is>
      </c>
      <c r="B21" s="22" t="inlineStr">
        <is>
          <t>Metronidazole 400mg</t>
        </is>
      </c>
      <c r="C21" s="22" t="inlineStr">
        <is>
          <t>Antibiotic</t>
        </is>
      </c>
      <c r="D21" s="22" t="n">
        <v>0</v>
      </c>
      <c r="E21" s="22" t="n">
        <v>60</v>
      </c>
      <c r="F21" s="22" t="n">
        <v>9</v>
      </c>
      <c r="G21" s="22">
        <f>D21*F21</f>
        <v/>
      </c>
      <c r="H21" s="30" t="n">
        <v>45716</v>
      </c>
      <c r="I21" s="22">
        <f>IF(D21=0,"Out of Stock",IF(D21&lt;=E21,"Low Stock","In Stock"))</f>
        <v/>
      </c>
    </row>
    <row r="22">
      <c r="A22" s="31" t="inlineStr">
        <is>
          <t>M018</t>
        </is>
      </c>
      <c r="B22" s="31" t="inlineStr">
        <is>
          <t>Rabeprazole 20mg</t>
        </is>
      </c>
      <c r="C22" s="31" t="inlineStr">
        <is>
          <t>Antacid</t>
        </is>
      </c>
      <c r="D22" s="31" t="n">
        <v>85</v>
      </c>
      <c r="E22" s="31" t="n">
        <v>70</v>
      </c>
      <c r="F22" s="31" t="n">
        <v>16</v>
      </c>
      <c r="G22" s="31">
        <f>D22*F22</f>
        <v/>
      </c>
      <c r="H22" s="32" t="n">
        <v>45930</v>
      </c>
      <c r="I22" s="31">
        <f>IF(D22=0,"Out of Stock",IF(D22&lt;=E22,"Low Stock","In Stock"))</f>
        <v/>
      </c>
    </row>
    <row r="23">
      <c r="A23" s="22" t="inlineStr">
        <is>
          <t>M019</t>
        </is>
      </c>
      <c r="B23" s="22" t="inlineStr">
        <is>
          <t>Telmisartan 40mg</t>
        </is>
      </c>
      <c r="C23" s="22" t="inlineStr">
        <is>
          <t>Cardiac</t>
        </is>
      </c>
      <c r="D23" s="22" t="n">
        <v>140</v>
      </c>
      <c r="E23" s="22" t="n">
        <v>80</v>
      </c>
      <c r="F23" s="22" t="n">
        <v>32</v>
      </c>
      <c r="G23" s="22">
        <f>D23*F23</f>
        <v/>
      </c>
      <c r="H23" s="30" t="n">
        <v>46081</v>
      </c>
      <c r="I23" s="22">
        <f>IF(D23=0,"Out of Stock",IF(D23&lt;=E23,"Low Stock","In Stock"))</f>
        <v/>
      </c>
    </row>
    <row r="24">
      <c r="A24" s="31" t="inlineStr">
        <is>
          <t>M020</t>
        </is>
      </c>
      <c r="B24" s="31" t="inlineStr">
        <is>
          <t>Levocetirizine 5mg</t>
        </is>
      </c>
      <c r="C24" s="31" t="inlineStr">
        <is>
          <t>Antihistamine</t>
        </is>
      </c>
      <c r="D24" s="31" t="n">
        <v>55</v>
      </c>
      <c r="E24" s="31" t="n">
        <v>60</v>
      </c>
      <c r="F24" s="31" t="n">
        <v>10</v>
      </c>
      <c r="G24" s="31">
        <f>D24*F24</f>
        <v/>
      </c>
      <c r="H24" s="32" t="n">
        <v>45853</v>
      </c>
      <c r="I24" s="31">
        <f>IF(D24=0,"Out of Stock",IF(D24&lt;=E24,"Low Stock","In Stock"))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" t="inlineStr">
        <is>
          <t>Dataset 5 – StartupX Financial Projections (Assignment 5)</t>
        </is>
      </c>
    </row>
    <row r="2" ht="22" customHeight="1">
      <c r="A2" s="2" t="inlineStr">
        <is>
          <t>Use this data for Section C Case Study</t>
        </is>
      </c>
    </row>
    <row r="4" ht="20" customHeight="1">
      <c r="A4" s="4" t="inlineStr">
        <is>
          <t>Key Assumptions</t>
        </is>
      </c>
    </row>
    <row r="5">
      <c r="A5" s="17" t="inlineStr">
        <is>
          <t>Discount Rate (WACC)</t>
        </is>
      </c>
      <c r="B5" s="8" t="n">
        <v>0.12</v>
      </c>
    </row>
    <row r="6">
      <c r="A6" s="17" t="inlineStr">
        <is>
          <t>Revenue Growth Rate (YoY)</t>
        </is>
      </c>
      <c r="B6" s="8" t="n">
        <v>0.2</v>
      </c>
    </row>
    <row r="7">
      <c r="A7" s="17" t="inlineStr">
        <is>
          <t>Variable Cost % of Revenue</t>
        </is>
      </c>
      <c r="B7" s="8" t="n">
        <v>0.4</v>
      </c>
    </row>
    <row r="8">
      <c r="A8" s="17" t="inlineStr">
        <is>
          <t>Fixed Cost (Annual ₹ Lakhs)</t>
        </is>
      </c>
      <c r="B8" s="8" t="n">
        <v>8</v>
      </c>
    </row>
    <row r="9">
      <c r="A9" s="17" t="inlineStr">
        <is>
          <t>Tax Rate</t>
        </is>
      </c>
      <c r="B9" s="8" t="n">
        <v>0.25</v>
      </c>
    </row>
    <row r="10">
      <c r="A10" s="17" t="inlineStr">
        <is>
          <t>Initial Investment (₹ Lakhs)</t>
        </is>
      </c>
      <c r="B10" s="8" t="n">
        <v>-50</v>
      </c>
    </row>
    <row r="12" ht="20" customHeight="1">
      <c r="A12" s="9" t="inlineStr">
        <is>
          <t>5-Year Financial Projections (₹ in Lakhs)</t>
        </is>
      </c>
    </row>
    <row r="13">
      <c r="A13" s="33" t="inlineStr">
        <is>
          <t>Metric</t>
        </is>
      </c>
      <c r="B13" s="33" t="inlineStr">
        <is>
          <t>Year 1</t>
        </is>
      </c>
      <c r="C13" s="33" t="inlineStr">
        <is>
          <t>Year 2</t>
        </is>
      </c>
      <c r="D13" s="33" t="inlineStr">
        <is>
          <t>Year 3</t>
        </is>
      </c>
      <c r="E13" s="33" t="inlineStr">
        <is>
          <t>Year 4</t>
        </is>
      </c>
      <c r="F13" s="33" t="inlineStr">
        <is>
          <t>Year 5</t>
        </is>
      </c>
    </row>
    <row r="14">
      <c r="A14" s="8" t="inlineStr">
        <is>
          <t>Revenue</t>
        </is>
      </c>
      <c r="B14" s="8" t="n">
        <v>20</v>
      </c>
      <c r="C14" s="8" t="n">
        <v>24</v>
      </c>
      <c r="D14" s="8" t="n">
        <v>28.8</v>
      </c>
      <c r="E14" s="8" t="n">
        <v>34.56</v>
      </c>
      <c r="F14" s="8" t="n">
        <v>41.47</v>
      </c>
    </row>
    <row r="15">
      <c r="A15" s="8" t="inlineStr">
        <is>
          <t>Variable Cost (40%)</t>
        </is>
      </c>
      <c r="B15" s="8" t="n">
        <v>8</v>
      </c>
      <c r="C15" s="8" t="n">
        <v>9.6</v>
      </c>
      <c r="D15" s="8" t="n">
        <v>11.52</v>
      </c>
      <c r="E15" s="8" t="n">
        <v>13.82</v>
      </c>
      <c r="F15" s="8" t="n">
        <v>16.59</v>
      </c>
    </row>
    <row r="16">
      <c r="A16" s="8" t="inlineStr">
        <is>
          <t>Fixed Cost</t>
        </is>
      </c>
      <c r="B16" s="8" t="n">
        <v>8</v>
      </c>
      <c r="C16" s="8" t="n">
        <v>8</v>
      </c>
      <c r="D16" s="8" t="n">
        <v>8</v>
      </c>
      <c r="E16" s="8" t="n">
        <v>8</v>
      </c>
      <c r="F16" s="8" t="n">
        <v>8</v>
      </c>
    </row>
    <row r="17">
      <c r="A17" s="17" t="inlineStr">
        <is>
          <t>EBITDA</t>
        </is>
      </c>
      <c r="B17" s="8" t="n">
        <v>4</v>
      </c>
      <c r="C17" s="8" t="n">
        <v>6.4</v>
      </c>
      <c r="D17" s="8" t="n">
        <v>9.279999999999999</v>
      </c>
      <c r="E17" s="8" t="n">
        <v>12.74</v>
      </c>
      <c r="F17" s="8" t="n">
        <v>16.88</v>
      </c>
    </row>
    <row r="18">
      <c r="A18" s="8" t="inlineStr">
        <is>
          <t>Tax (25% of EBITDA)</t>
        </is>
      </c>
      <c r="B18" s="8" t="n">
        <v>1</v>
      </c>
      <c r="C18" s="8" t="n">
        <v>1.6</v>
      </c>
      <c r="D18" s="8" t="n">
        <v>2.32</v>
      </c>
      <c r="E18" s="8" t="n">
        <v>3.19</v>
      </c>
      <c r="F18" s="8" t="n">
        <v>4.22</v>
      </c>
    </row>
    <row r="19">
      <c r="A19" s="17" t="inlineStr">
        <is>
          <t>Profit After Tax</t>
        </is>
      </c>
      <c r="B19" s="8" t="n">
        <v>3</v>
      </c>
      <c r="C19" s="8" t="n">
        <v>4.8</v>
      </c>
      <c r="D19" s="8" t="n">
        <v>6.96</v>
      </c>
      <c r="E19" s="8" t="n">
        <v>9.550000000000001</v>
      </c>
      <c r="F19" s="8" t="n">
        <v>12.66</v>
      </c>
    </row>
    <row r="20">
      <c r="A20" s="17" t="inlineStr">
        <is>
          <t>Free Cash Flow (FCF)</t>
        </is>
      </c>
      <c r="B20" s="8" t="n">
        <v>2.55</v>
      </c>
      <c r="C20" s="8" t="n">
        <v>4.08</v>
      </c>
      <c r="D20" s="8" t="n">
        <v>5.92</v>
      </c>
      <c r="E20" s="8" t="n">
        <v>8.119999999999999</v>
      </c>
      <c r="F20" s="8" t="n">
        <v>10.76</v>
      </c>
    </row>
    <row r="22" ht="20" customHeight="1">
      <c r="A22" s="12" t="inlineStr">
        <is>
          <t>Cash Flow for NPV/IRR (Include Initial Investment in Year 0)</t>
        </is>
      </c>
    </row>
    <row r="23">
      <c r="A23" s="17" t="inlineStr">
        <is>
          <t>Year 0 (Investment)</t>
        </is>
      </c>
      <c r="B23" s="8" t="n">
        <v>-50</v>
      </c>
    </row>
    <row r="24">
      <c r="A24" s="17" t="inlineStr">
        <is>
          <t>Year 1 FCF</t>
        </is>
      </c>
      <c r="B24" s="8" t="n">
        <v>2.55</v>
      </c>
    </row>
    <row r="25">
      <c r="A25" s="17" t="inlineStr">
        <is>
          <t>Year 2 FCF</t>
        </is>
      </c>
      <c r="B25" s="8" t="n">
        <v>4.08</v>
      </c>
    </row>
    <row r="26">
      <c r="A26" s="17" t="inlineStr">
        <is>
          <t>Year 3 FCF</t>
        </is>
      </c>
      <c r="B26" s="8" t="n">
        <v>5.92</v>
      </c>
    </row>
    <row r="27">
      <c r="A27" s="17" t="inlineStr">
        <is>
          <t>Year 4 FCF</t>
        </is>
      </c>
      <c r="B27" s="8" t="n">
        <v>8.119999999999999</v>
      </c>
    </row>
    <row r="28">
      <c r="A28" s="17" t="inlineStr">
        <is>
          <t>Year 5 FCF</t>
        </is>
      </c>
      <c r="B28" s="8" t="n">
        <v>10.76</v>
      </c>
    </row>
    <row r="30">
      <c r="A30" s="10" t="inlineStr">
        <is>
          <t>NPV (at 12% WACC)</t>
        </is>
      </c>
      <c r="B30" s="34">
        <f>NPV(B5,B24:B28)+B23</f>
        <v/>
      </c>
    </row>
    <row r="31">
      <c r="A31" s="10" t="inlineStr">
        <is>
          <t>IRR</t>
        </is>
      </c>
      <c r="B31" s="34">
        <f>IRR(B23:B28)</f>
        <v/>
      </c>
    </row>
  </sheetData>
  <mergeCells count="5">
    <mergeCell ref="A22:J22"/>
    <mergeCell ref="A2:H2"/>
    <mergeCell ref="A12:J12"/>
    <mergeCell ref="A4:J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2026-04-18T10:15:34Z</dcterms:created>
  <dcterms:modified xmlns:dcterms="http://purl.org/dc/terms/" xmlns:xsi="http://www.w3.org/2001/XMLSchema-instance" xsi:type="dcterms:W3CDTF">2026-04-18T10:15:34Z</dcterms:modified>
</cp:coreProperties>
</file>