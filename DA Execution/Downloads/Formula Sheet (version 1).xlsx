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drawings/drawing2.xml" ContentType="application/vnd.openxmlformats-officedocument.drawing+xml"/>
  <Override PartName="/xl/ink/ink21.xml" ContentType="application/inkml+xml"/>
  <Override PartName="/xl/drawings/drawing3.xml" ContentType="application/vnd.openxmlformats-officedocument.drawing+xml"/>
  <Override PartName="/xl/ink/ink22.xml" ContentType="application/inkml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fc502276e7e6e8/Desktop/Excel Zero to Hero tutorial 2026/"/>
    </mc:Choice>
  </mc:AlternateContent>
  <xr:revisionPtr revIDLastSave="0" documentId="8_{0DE0C8FE-20BF-4518-B879-A736719C7CD8}" xr6:coauthVersionLast="47" xr6:coauthVersionMax="47" xr10:uidLastSave="{00000000-0000-0000-0000-000000000000}"/>
  <bookViews>
    <workbookView xWindow="-110" yWindow="-110" windowWidth="25820" windowHeight="15500" xr2:uid="{4CF3B6BA-188E-4ABD-BB26-C6DD13F1FCE9}"/>
  </bookViews>
  <sheets>
    <sheet name="Cell Referencing (2)" sheetId="5" r:id="rId1"/>
    <sheet name="Cell Referencing" sheetId="1" r:id="rId2"/>
    <sheet name="Text Formulas (2)" sheetId="4" r:id="rId3"/>
    <sheet name="Text Formulas" sheetId="3" r:id="rId4"/>
    <sheet name="Notes" sheetId="2" r:id="rId5"/>
    <sheet name="Logical Formulas" sheetId="9" r:id="rId6"/>
    <sheet name="Date n Time Formulas (2)" sheetId="8" r:id="rId7"/>
    <sheet name="Date n Time Formulas" sheetId="7" r:id="rId8"/>
    <sheet name="Number Formulas" sheetId="6" r:id="rId9"/>
    <sheet name="Sumif etc (2)" sheetId="11" r:id="rId10"/>
    <sheet name="Sumif etc" sheetId="10" r:id="rId11"/>
    <sheet name="Master data" sheetId="12" r:id="rId12"/>
    <sheet name="Sumifs" sheetId="14" r:id="rId13"/>
    <sheet name="Lookup &amp; Refrence" sheetId="15" r:id="rId14"/>
    <sheet name="Sheet7" sheetId="21" r:id="rId15"/>
    <sheet name="Filter Formula" sheetId="17" r:id="rId16"/>
    <sheet name="Financial Formulas" sheetId="18" r:id="rId17"/>
    <sheet name="Formula 365" sheetId="19" r:id="rId18"/>
    <sheet name="QR Code" sheetId="20" r:id="rId19"/>
    <sheet name="Partywise Monthly Sale" sheetId="22" r:id="rId20"/>
  </sheets>
  <definedNames>
    <definedName name="_xlnm._FilterDatabase" localSheetId="15" hidden="1">'Filter Formula'!$B$57:$E$67</definedName>
    <definedName name="_xlnm._FilterDatabase" localSheetId="11" hidden="1">'Master data'!$A$1:$M$295</definedName>
    <definedName name="_xlnm._FilterDatabase" localSheetId="4" hidden="1">Notes!$A$2:$F$23</definedName>
    <definedName name="_xlnm._FilterDatabase" localSheetId="10" hidden="1">'Sumif etc'!$A$1:$B$339</definedName>
    <definedName name="_xlnm.Criteria" localSheetId="15">'Filter Formula'!$G$57:$G$58</definedName>
    <definedName name="_xlnm.Extract" localSheetId="15">'Filter Formula'!$G$60:$J$60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1" i="22" l="1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N150" i="22" s="1"/>
  <c r="M149" i="22"/>
  <c r="L149" i="22"/>
  <c r="K149" i="22"/>
  <c r="J149" i="22"/>
  <c r="I149" i="22"/>
  <c r="H149" i="22"/>
  <c r="G149" i="22"/>
  <c r="F149" i="22"/>
  <c r="E149" i="22"/>
  <c r="D149" i="22"/>
  <c r="N149" i="22" s="1"/>
  <c r="C149" i="22"/>
  <c r="B149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N148" i="22" s="1"/>
  <c r="M147" i="22"/>
  <c r="L147" i="22"/>
  <c r="K147" i="22"/>
  <c r="J147" i="22"/>
  <c r="I147" i="22"/>
  <c r="H147" i="22"/>
  <c r="G147" i="22"/>
  <c r="N147" i="22" s="1"/>
  <c r="F147" i="22"/>
  <c r="E147" i="22"/>
  <c r="D147" i="22"/>
  <c r="C147" i="22"/>
  <c r="B147" i="22"/>
  <c r="M146" i="22"/>
  <c r="L146" i="22"/>
  <c r="K146" i="22"/>
  <c r="J146" i="22"/>
  <c r="I146" i="22"/>
  <c r="H146" i="22"/>
  <c r="G146" i="22"/>
  <c r="F146" i="22"/>
  <c r="E146" i="22"/>
  <c r="D146" i="22"/>
  <c r="C146" i="22"/>
  <c r="B146" i="22"/>
  <c r="N146" i="22" s="1"/>
  <c r="M145" i="22"/>
  <c r="L145" i="22"/>
  <c r="K145" i="22"/>
  <c r="J145" i="22"/>
  <c r="I145" i="22"/>
  <c r="N145" i="22" s="1"/>
  <c r="H145" i="22"/>
  <c r="G145" i="22"/>
  <c r="F145" i="22"/>
  <c r="E145" i="22"/>
  <c r="D145" i="22"/>
  <c r="C145" i="22"/>
  <c r="B145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N144" i="22" s="1"/>
  <c r="M143" i="22"/>
  <c r="L143" i="22"/>
  <c r="K143" i="22"/>
  <c r="N143" i="22" s="1"/>
  <c r="J143" i="22"/>
  <c r="I143" i="22"/>
  <c r="H143" i="22"/>
  <c r="G143" i="22"/>
  <c r="F143" i="22"/>
  <c r="E143" i="22"/>
  <c r="D143" i="22"/>
  <c r="C143" i="22"/>
  <c r="B143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N142" i="22" s="1"/>
  <c r="M141" i="22"/>
  <c r="N141" i="22" s="1"/>
  <c r="L141" i="22"/>
  <c r="K141" i="22"/>
  <c r="J141" i="22"/>
  <c r="I141" i="22"/>
  <c r="H141" i="22"/>
  <c r="G141" i="22"/>
  <c r="F141" i="22"/>
  <c r="E141" i="22"/>
  <c r="D141" i="22"/>
  <c r="C141" i="22"/>
  <c r="B141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N140" i="22" s="1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N139" i="22" s="1"/>
  <c r="M138" i="22"/>
  <c r="L138" i="22"/>
  <c r="K138" i="22"/>
  <c r="J138" i="22"/>
  <c r="I138" i="22"/>
  <c r="H138" i="22"/>
  <c r="G138" i="22"/>
  <c r="F138" i="22"/>
  <c r="E138" i="22"/>
  <c r="D138" i="22"/>
  <c r="C138" i="22"/>
  <c r="N138" i="22" s="1"/>
  <c r="B138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N137" i="22" s="1"/>
  <c r="M136" i="22"/>
  <c r="L136" i="22"/>
  <c r="K136" i="22"/>
  <c r="J136" i="22"/>
  <c r="I136" i="22"/>
  <c r="H136" i="22"/>
  <c r="G136" i="22"/>
  <c r="F136" i="22"/>
  <c r="E136" i="22"/>
  <c r="N136" i="22" s="1"/>
  <c r="D136" i="22"/>
  <c r="C136" i="22"/>
  <c r="B136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N135" i="22" s="1"/>
  <c r="M134" i="22"/>
  <c r="L134" i="22"/>
  <c r="K134" i="22"/>
  <c r="J134" i="22"/>
  <c r="I134" i="22"/>
  <c r="H134" i="22"/>
  <c r="G134" i="22"/>
  <c r="N134" i="22" s="1"/>
  <c r="F134" i="22"/>
  <c r="E134" i="22"/>
  <c r="D134" i="22"/>
  <c r="C134" i="22"/>
  <c r="B134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N133" i="22" s="1"/>
  <c r="M132" i="22"/>
  <c r="L132" i="22"/>
  <c r="K132" i="22"/>
  <c r="J132" i="22"/>
  <c r="I132" i="22"/>
  <c r="N132" i="22" s="1"/>
  <c r="H132" i="22"/>
  <c r="G132" i="22"/>
  <c r="F132" i="22"/>
  <c r="E132" i="22"/>
  <c r="D132" i="22"/>
  <c r="C132" i="22"/>
  <c r="B132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N131" i="22" s="1"/>
  <c r="M130" i="22"/>
  <c r="L130" i="22"/>
  <c r="K130" i="22"/>
  <c r="N130" i="22" s="1"/>
  <c r="J130" i="22"/>
  <c r="I130" i="22"/>
  <c r="H130" i="22"/>
  <c r="G130" i="22"/>
  <c r="F130" i="22"/>
  <c r="E130" i="22"/>
  <c r="D130" i="22"/>
  <c r="C130" i="22"/>
  <c r="B130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N129" i="22" s="1"/>
  <c r="M128" i="22"/>
  <c r="N128" i="22" s="1"/>
  <c r="L128" i="22"/>
  <c r="K128" i="22"/>
  <c r="J128" i="22"/>
  <c r="I128" i="22"/>
  <c r="H128" i="22"/>
  <c r="G128" i="22"/>
  <c r="F128" i="22"/>
  <c r="E128" i="22"/>
  <c r="D128" i="22"/>
  <c r="C128" i="22"/>
  <c r="B128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N127" i="22" s="1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N126" i="22" s="1"/>
  <c r="M125" i="22"/>
  <c r="L125" i="22"/>
  <c r="K125" i="22"/>
  <c r="J125" i="22"/>
  <c r="I125" i="22"/>
  <c r="H125" i="22"/>
  <c r="G125" i="22"/>
  <c r="F125" i="22"/>
  <c r="E125" i="22"/>
  <c r="D125" i="22"/>
  <c r="N125" i="22" s="1"/>
  <c r="C125" i="22"/>
  <c r="B125" i="22"/>
  <c r="M124" i="22"/>
  <c r="L124" i="22"/>
  <c r="K124" i="22"/>
  <c r="J124" i="22"/>
  <c r="I124" i="22"/>
  <c r="H124" i="22"/>
  <c r="G124" i="22"/>
  <c r="F124" i="22"/>
  <c r="E124" i="22"/>
  <c r="D124" i="22"/>
  <c r="C124" i="22"/>
  <c r="B124" i="22"/>
  <c r="N124" i="22" s="1"/>
  <c r="M123" i="22"/>
  <c r="L123" i="22"/>
  <c r="K123" i="22"/>
  <c r="J123" i="22"/>
  <c r="I123" i="22"/>
  <c r="H123" i="22"/>
  <c r="G123" i="22"/>
  <c r="F123" i="22"/>
  <c r="N123" i="22" s="1"/>
  <c r="E123" i="22"/>
  <c r="D123" i="22"/>
  <c r="C123" i="22"/>
  <c r="B123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M121" i="22"/>
  <c r="L121" i="22"/>
  <c r="K121" i="22"/>
  <c r="J121" i="22"/>
  <c r="I121" i="22"/>
  <c r="H121" i="22"/>
  <c r="N121" i="22" s="1"/>
  <c r="G121" i="22"/>
  <c r="F121" i="22"/>
  <c r="E121" i="22"/>
  <c r="D121" i="22"/>
  <c r="C121" i="22"/>
  <c r="B121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N120" i="22" s="1"/>
  <c r="M119" i="22"/>
  <c r="L119" i="22"/>
  <c r="K119" i="22"/>
  <c r="J119" i="22"/>
  <c r="N119" i="22" s="1"/>
  <c r="I119" i="22"/>
  <c r="H119" i="22"/>
  <c r="G119" i="22"/>
  <c r="F119" i="22"/>
  <c r="E119" i="22"/>
  <c r="D119" i="22"/>
  <c r="C119" i="22"/>
  <c r="B119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N118" i="22" s="1"/>
  <c r="M117" i="22"/>
  <c r="L117" i="22"/>
  <c r="N117" i="22" s="1"/>
  <c r="K117" i="22"/>
  <c r="J117" i="22"/>
  <c r="I117" i="22"/>
  <c r="H117" i="22"/>
  <c r="G117" i="22"/>
  <c r="F117" i="22"/>
  <c r="E117" i="22"/>
  <c r="D117" i="22"/>
  <c r="C117" i="22"/>
  <c r="B117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N116" i="22" s="1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M114" i="22"/>
  <c r="L114" i="22"/>
  <c r="K114" i="22"/>
  <c r="J114" i="22"/>
  <c r="I114" i="22"/>
  <c r="H114" i="22"/>
  <c r="G114" i="22"/>
  <c r="F114" i="22"/>
  <c r="E114" i="22"/>
  <c r="D114" i="22"/>
  <c r="C114" i="22"/>
  <c r="N114" i="22" s="1"/>
  <c r="B114" i="22"/>
  <c r="M113" i="22"/>
  <c r="L113" i="22"/>
  <c r="K113" i="22"/>
  <c r="J113" i="22"/>
  <c r="I113" i="22"/>
  <c r="H113" i="22"/>
  <c r="G113" i="22"/>
  <c r="F113" i="22"/>
  <c r="E113" i="22"/>
  <c r="D113" i="22"/>
  <c r="C113" i="22"/>
  <c r="B113" i="22"/>
  <c r="N113" i="22" s="1"/>
  <c r="M112" i="22"/>
  <c r="L112" i="22"/>
  <c r="K112" i="22"/>
  <c r="J112" i="22"/>
  <c r="I112" i="22"/>
  <c r="H112" i="22"/>
  <c r="G112" i="22"/>
  <c r="F112" i="22"/>
  <c r="E112" i="22"/>
  <c r="N112" i="22" s="1"/>
  <c r="D112" i="22"/>
  <c r="C112" i="22"/>
  <c r="B112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N111" i="22" s="1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N110" i="22" s="1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N109" i="22" s="1"/>
  <c r="M108" i="22"/>
  <c r="L108" i="22"/>
  <c r="K108" i="22"/>
  <c r="J108" i="22"/>
  <c r="I108" i="22"/>
  <c r="N108" i="22" s="1"/>
  <c r="H108" i="22"/>
  <c r="G108" i="22"/>
  <c r="F108" i="22"/>
  <c r="E108" i="22"/>
  <c r="D108" i="22"/>
  <c r="C108" i="22"/>
  <c r="B108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N107" i="22" s="1"/>
  <c r="M106" i="22"/>
  <c r="L106" i="22"/>
  <c r="K106" i="22"/>
  <c r="N106" i="22" s="1"/>
  <c r="J106" i="22"/>
  <c r="I106" i="22"/>
  <c r="H106" i="22"/>
  <c r="G106" i="22"/>
  <c r="F106" i="22"/>
  <c r="E106" i="22"/>
  <c r="D106" i="22"/>
  <c r="C106" i="22"/>
  <c r="B106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N105" i="22" s="1"/>
  <c r="M104" i="22"/>
  <c r="N104" i="22" s="1"/>
  <c r="L104" i="22"/>
  <c r="K104" i="22"/>
  <c r="J104" i="22"/>
  <c r="I104" i="22"/>
  <c r="H104" i="22"/>
  <c r="G104" i="22"/>
  <c r="F104" i="22"/>
  <c r="E104" i="22"/>
  <c r="D104" i="22"/>
  <c r="C104" i="22"/>
  <c r="B104" i="22"/>
  <c r="M103" i="22"/>
  <c r="L103" i="22"/>
  <c r="K103" i="22"/>
  <c r="J103" i="22"/>
  <c r="I103" i="22"/>
  <c r="H103" i="22"/>
  <c r="G103" i="22"/>
  <c r="F103" i="22"/>
  <c r="E103" i="22"/>
  <c r="D103" i="22"/>
  <c r="C103" i="22"/>
  <c r="B103" i="22"/>
  <c r="N103" i="22" s="1"/>
  <c r="M102" i="22"/>
  <c r="L102" i="22"/>
  <c r="K102" i="22"/>
  <c r="J102" i="22"/>
  <c r="I102" i="22"/>
  <c r="H102" i="22"/>
  <c r="G102" i="22"/>
  <c r="F102" i="22"/>
  <c r="E102" i="22"/>
  <c r="D102" i="22"/>
  <c r="C102" i="22"/>
  <c r="B102" i="22"/>
  <c r="N102" i="22" s="1"/>
  <c r="M101" i="22"/>
  <c r="L101" i="22"/>
  <c r="K101" i="22"/>
  <c r="J101" i="22"/>
  <c r="I101" i="22"/>
  <c r="H101" i="22"/>
  <c r="G101" i="22"/>
  <c r="F101" i="22"/>
  <c r="E101" i="22"/>
  <c r="D101" i="22"/>
  <c r="N101" i="22" s="1"/>
  <c r="C101" i="22"/>
  <c r="B101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N100" i="22" s="1"/>
  <c r="M99" i="22"/>
  <c r="L99" i="22"/>
  <c r="K99" i="22"/>
  <c r="J99" i="22"/>
  <c r="I99" i="22"/>
  <c r="H99" i="22"/>
  <c r="G99" i="22"/>
  <c r="F99" i="22"/>
  <c r="N99" i="22" s="1"/>
  <c r="E99" i="22"/>
  <c r="D99" i="22"/>
  <c r="C99" i="22"/>
  <c r="B99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M97" i="22"/>
  <c r="L97" i="22"/>
  <c r="K97" i="22"/>
  <c r="J97" i="22"/>
  <c r="I97" i="22"/>
  <c r="H97" i="22"/>
  <c r="N97" i="22" s="1"/>
  <c r="G97" i="22"/>
  <c r="F97" i="22"/>
  <c r="E97" i="22"/>
  <c r="D97" i="22"/>
  <c r="C97" i="22"/>
  <c r="B97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N96" i="22" s="1"/>
  <c r="M95" i="22"/>
  <c r="L95" i="22"/>
  <c r="K95" i="22"/>
  <c r="J95" i="22"/>
  <c r="N95" i="22" s="1"/>
  <c r="I95" i="22"/>
  <c r="H95" i="22"/>
  <c r="G95" i="22"/>
  <c r="F95" i="22"/>
  <c r="E95" i="22"/>
  <c r="D95" i="22"/>
  <c r="C95" i="22"/>
  <c r="B95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N94" i="22" s="1"/>
  <c r="M93" i="22"/>
  <c r="L93" i="22"/>
  <c r="N93" i="22" s="1"/>
  <c r="K93" i="22"/>
  <c r="J93" i="22"/>
  <c r="I93" i="22"/>
  <c r="H93" i="22"/>
  <c r="G93" i="22"/>
  <c r="F93" i="22"/>
  <c r="E93" i="22"/>
  <c r="D93" i="22"/>
  <c r="C93" i="22"/>
  <c r="B93" i="22"/>
  <c r="M92" i="22"/>
  <c r="L92" i="22"/>
  <c r="K92" i="22"/>
  <c r="J92" i="22"/>
  <c r="I92" i="22"/>
  <c r="H92" i="22"/>
  <c r="G92" i="22"/>
  <c r="F92" i="22"/>
  <c r="E92" i="22"/>
  <c r="D92" i="22"/>
  <c r="C92" i="22"/>
  <c r="B92" i="22"/>
  <c r="N92" i="22" s="1"/>
  <c r="N91" i="22"/>
  <c r="M91" i="22"/>
  <c r="L91" i="22"/>
  <c r="K91" i="22"/>
  <c r="J91" i="22"/>
  <c r="I91" i="22"/>
  <c r="H91" i="22"/>
  <c r="G91" i="22"/>
  <c r="F91" i="22"/>
  <c r="E91" i="22"/>
  <c r="D91" i="22"/>
  <c r="C91" i="22"/>
  <c r="B91" i="22"/>
  <c r="M90" i="22"/>
  <c r="L90" i="22"/>
  <c r="K90" i="22"/>
  <c r="J90" i="22"/>
  <c r="I90" i="22"/>
  <c r="H90" i="22"/>
  <c r="G90" i="22"/>
  <c r="F90" i="22"/>
  <c r="E90" i="22"/>
  <c r="D90" i="22"/>
  <c r="C90" i="22"/>
  <c r="N90" i="22" s="1"/>
  <c r="B90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N89" i="22" s="1"/>
  <c r="M88" i="22"/>
  <c r="L88" i="22"/>
  <c r="K88" i="22"/>
  <c r="J88" i="22"/>
  <c r="I88" i="22"/>
  <c r="H88" i="22"/>
  <c r="G88" i="22"/>
  <c r="F88" i="22"/>
  <c r="E88" i="22"/>
  <c r="N88" i="22" s="1"/>
  <c r="D88" i="22"/>
  <c r="C88" i="22"/>
  <c r="B88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N87" i="22" s="1"/>
  <c r="M86" i="22"/>
  <c r="L86" i="22"/>
  <c r="K86" i="22"/>
  <c r="J86" i="22"/>
  <c r="I86" i="22"/>
  <c r="H86" i="22"/>
  <c r="G86" i="22"/>
  <c r="F86" i="22"/>
  <c r="E86" i="22"/>
  <c r="D86" i="22"/>
  <c r="C86" i="22"/>
  <c r="B86" i="22"/>
  <c r="N86" i="22" s="1"/>
  <c r="M85" i="22"/>
  <c r="L85" i="22"/>
  <c r="K85" i="22"/>
  <c r="J85" i="22"/>
  <c r="I85" i="22"/>
  <c r="H85" i="22"/>
  <c r="G85" i="22"/>
  <c r="F85" i="22"/>
  <c r="E85" i="22"/>
  <c r="D85" i="22"/>
  <c r="C85" i="22"/>
  <c r="B85" i="22"/>
  <c r="N85" i="22" s="1"/>
  <c r="M84" i="22"/>
  <c r="L84" i="22"/>
  <c r="K84" i="22"/>
  <c r="J84" i="22"/>
  <c r="I84" i="22"/>
  <c r="N84" i="22" s="1"/>
  <c r="H84" i="22"/>
  <c r="G84" i="22"/>
  <c r="F84" i="22"/>
  <c r="E84" i="22"/>
  <c r="D84" i="22"/>
  <c r="C84" i="22"/>
  <c r="B84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N83" i="22" s="1"/>
  <c r="M82" i="22"/>
  <c r="L82" i="22"/>
  <c r="K82" i="22"/>
  <c r="N82" i="22" s="1"/>
  <c r="J82" i="22"/>
  <c r="I82" i="22"/>
  <c r="H82" i="22"/>
  <c r="G82" i="22"/>
  <c r="F82" i="22"/>
  <c r="E82" i="22"/>
  <c r="D82" i="22"/>
  <c r="C82" i="22"/>
  <c r="B82" i="22"/>
  <c r="M81" i="22"/>
  <c r="L81" i="22"/>
  <c r="K81" i="22"/>
  <c r="J81" i="22"/>
  <c r="I81" i="22"/>
  <c r="H81" i="22"/>
  <c r="G81" i="22"/>
  <c r="F81" i="22"/>
  <c r="E81" i="22"/>
  <c r="D81" i="22"/>
  <c r="C81" i="22"/>
  <c r="B81" i="22"/>
  <c r="N81" i="22" s="1"/>
  <c r="M80" i="22"/>
  <c r="N80" i="22" s="1"/>
  <c r="L80" i="22"/>
  <c r="K80" i="22"/>
  <c r="J80" i="22"/>
  <c r="I80" i="22"/>
  <c r="H80" i="22"/>
  <c r="G80" i="22"/>
  <c r="F80" i="22"/>
  <c r="E80" i="22"/>
  <c r="D80" i="22"/>
  <c r="C80" i="22"/>
  <c r="B80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N79" i="22" s="1"/>
  <c r="M78" i="22"/>
  <c r="L78" i="22"/>
  <c r="K78" i="22"/>
  <c r="J78" i="22"/>
  <c r="I78" i="22"/>
  <c r="H78" i="22"/>
  <c r="G78" i="22"/>
  <c r="F78" i="22"/>
  <c r="E78" i="22"/>
  <c r="D78" i="22"/>
  <c r="C78" i="22"/>
  <c r="B78" i="22"/>
  <c r="N78" i="22" s="1"/>
  <c r="M77" i="22"/>
  <c r="L77" i="22"/>
  <c r="K77" i="22"/>
  <c r="J77" i="22"/>
  <c r="I77" i="22"/>
  <c r="H77" i="22"/>
  <c r="G77" i="22"/>
  <c r="F77" i="22"/>
  <c r="E77" i="22"/>
  <c r="D77" i="22"/>
  <c r="N77" i="22" s="1"/>
  <c r="C77" i="22"/>
  <c r="B77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N76" i="22" s="1"/>
  <c r="M75" i="22"/>
  <c r="L75" i="22"/>
  <c r="K75" i="22"/>
  <c r="J75" i="22"/>
  <c r="I75" i="22"/>
  <c r="H75" i="22"/>
  <c r="G75" i="22"/>
  <c r="F75" i="22"/>
  <c r="N75" i="22" s="1"/>
  <c r="E75" i="22"/>
  <c r="D75" i="22"/>
  <c r="C75" i="22"/>
  <c r="B75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M73" i="22"/>
  <c r="L73" i="22"/>
  <c r="K73" i="22"/>
  <c r="J73" i="22"/>
  <c r="I73" i="22"/>
  <c r="H73" i="22"/>
  <c r="N73" i="22" s="1"/>
  <c r="G73" i="22"/>
  <c r="F73" i="22"/>
  <c r="E73" i="22"/>
  <c r="D73" i="22"/>
  <c r="C73" i="22"/>
  <c r="B73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N72" i="22" s="1"/>
  <c r="M71" i="22"/>
  <c r="L71" i="22"/>
  <c r="K71" i="22"/>
  <c r="J71" i="22"/>
  <c r="N71" i="22" s="1"/>
  <c r="I71" i="22"/>
  <c r="H71" i="22"/>
  <c r="G71" i="22"/>
  <c r="F71" i="22"/>
  <c r="E71" i="22"/>
  <c r="D71" i="22"/>
  <c r="C71" i="22"/>
  <c r="B71" i="22"/>
  <c r="M70" i="22"/>
  <c r="L70" i="22"/>
  <c r="K70" i="22"/>
  <c r="J70" i="22"/>
  <c r="I70" i="22"/>
  <c r="H70" i="22"/>
  <c r="G70" i="22"/>
  <c r="F70" i="22"/>
  <c r="E70" i="22"/>
  <c r="D70" i="22"/>
  <c r="C70" i="22"/>
  <c r="B70" i="22"/>
  <c r="N70" i="22" s="1"/>
  <c r="M69" i="22"/>
  <c r="L69" i="22"/>
  <c r="N69" i="22" s="1"/>
  <c r="K69" i="22"/>
  <c r="J69" i="22"/>
  <c r="I69" i="22"/>
  <c r="H69" i="22"/>
  <c r="G69" i="22"/>
  <c r="F69" i="22"/>
  <c r="E69" i="22"/>
  <c r="D69" i="22"/>
  <c r="C69" i="22"/>
  <c r="B69" i="22"/>
  <c r="M68" i="22"/>
  <c r="L68" i="22"/>
  <c r="K68" i="22"/>
  <c r="J68" i="22"/>
  <c r="I68" i="22"/>
  <c r="H68" i="22"/>
  <c r="G68" i="22"/>
  <c r="F68" i="22"/>
  <c r="E68" i="22"/>
  <c r="D68" i="22"/>
  <c r="C68" i="22"/>
  <c r="B68" i="22"/>
  <c r="N68" i="22" s="1"/>
  <c r="N67" i="22"/>
  <c r="M67" i="22"/>
  <c r="L67" i="22"/>
  <c r="K67" i="22"/>
  <c r="J67" i="22"/>
  <c r="I67" i="22"/>
  <c r="H67" i="22"/>
  <c r="G67" i="22"/>
  <c r="F67" i="22"/>
  <c r="E67" i="22"/>
  <c r="D67" i="22"/>
  <c r="C67" i="22"/>
  <c r="B67" i="22"/>
  <c r="M66" i="22"/>
  <c r="L66" i="22"/>
  <c r="K66" i="22"/>
  <c r="J66" i="22"/>
  <c r="I66" i="22"/>
  <c r="H66" i="22"/>
  <c r="G66" i="22"/>
  <c r="F66" i="22"/>
  <c r="E66" i="22"/>
  <c r="D66" i="22"/>
  <c r="C66" i="22"/>
  <c r="N66" i="22" s="1"/>
  <c r="B66" i="22"/>
  <c r="M65" i="22"/>
  <c r="L65" i="22"/>
  <c r="K65" i="22"/>
  <c r="J65" i="22"/>
  <c r="I65" i="22"/>
  <c r="H65" i="22"/>
  <c r="G65" i="22"/>
  <c r="F65" i="22"/>
  <c r="E65" i="22"/>
  <c r="D65" i="22"/>
  <c r="C65" i="22"/>
  <c r="B65" i="22"/>
  <c r="N65" i="22" s="1"/>
  <c r="M64" i="22"/>
  <c r="L64" i="22"/>
  <c r="K64" i="22"/>
  <c r="J64" i="22"/>
  <c r="I64" i="22"/>
  <c r="H64" i="22"/>
  <c r="G64" i="22"/>
  <c r="F64" i="22"/>
  <c r="E64" i="22"/>
  <c r="N64" i="22" s="1"/>
  <c r="D64" i="22"/>
  <c r="C64" i="22"/>
  <c r="B64" i="22"/>
  <c r="M63" i="22"/>
  <c r="L63" i="22"/>
  <c r="K63" i="22"/>
  <c r="J63" i="22"/>
  <c r="I63" i="22"/>
  <c r="H63" i="22"/>
  <c r="G63" i="22"/>
  <c r="F63" i="22"/>
  <c r="E63" i="22"/>
  <c r="D63" i="22"/>
  <c r="C63" i="22"/>
  <c r="B63" i="22"/>
  <c r="N63" i="22" s="1"/>
  <c r="M62" i="22"/>
  <c r="L62" i="22"/>
  <c r="K62" i="22"/>
  <c r="J62" i="22"/>
  <c r="I62" i="22"/>
  <c r="H62" i="22"/>
  <c r="G62" i="22"/>
  <c r="F62" i="22"/>
  <c r="E62" i="22"/>
  <c r="D62" i="22"/>
  <c r="C62" i="22"/>
  <c r="B62" i="22"/>
  <c r="N62" i="22" s="1"/>
  <c r="M61" i="22"/>
  <c r="L61" i="22"/>
  <c r="K61" i="22"/>
  <c r="J61" i="22"/>
  <c r="I61" i="22"/>
  <c r="H61" i="22"/>
  <c r="G61" i="22"/>
  <c r="F61" i="22"/>
  <c r="E61" i="22"/>
  <c r="D61" i="22"/>
  <c r="C61" i="22"/>
  <c r="B61" i="22"/>
  <c r="N61" i="22" s="1"/>
  <c r="M60" i="22"/>
  <c r="L60" i="22"/>
  <c r="K60" i="22"/>
  <c r="J60" i="22"/>
  <c r="I60" i="22"/>
  <c r="N60" i="22" s="1"/>
  <c r="H60" i="22"/>
  <c r="G60" i="22"/>
  <c r="F60" i="22"/>
  <c r="E60" i="22"/>
  <c r="D60" i="22"/>
  <c r="C60" i="22"/>
  <c r="B60" i="22"/>
  <c r="M59" i="22"/>
  <c r="L59" i="22"/>
  <c r="K59" i="22"/>
  <c r="J59" i="22"/>
  <c r="I59" i="22"/>
  <c r="H59" i="22"/>
  <c r="G59" i="22"/>
  <c r="F59" i="22"/>
  <c r="E59" i="22"/>
  <c r="D59" i="22"/>
  <c r="C59" i="22"/>
  <c r="B59" i="22"/>
  <c r="N59" i="22" s="1"/>
  <c r="M58" i="22"/>
  <c r="L58" i="22"/>
  <c r="K58" i="22"/>
  <c r="N58" i="22" s="1"/>
  <c r="J58" i="22"/>
  <c r="I58" i="22"/>
  <c r="H58" i="22"/>
  <c r="G58" i="22"/>
  <c r="F58" i="22"/>
  <c r="E58" i="22"/>
  <c r="D58" i="22"/>
  <c r="C58" i="22"/>
  <c r="B58" i="22"/>
  <c r="M57" i="22"/>
  <c r="L57" i="22"/>
  <c r="K57" i="22"/>
  <c r="J57" i="22"/>
  <c r="I57" i="22"/>
  <c r="H57" i="22"/>
  <c r="G57" i="22"/>
  <c r="F57" i="22"/>
  <c r="E57" i="22"/>
  <c r="D57" i="22"/>
  <c r="C57" i="22"/>
  <c r="B57" i="22"/>
  <c r="N57" i="22" s="1"/>
  <c r="M56" i="22"/>
  <c r="N56" i="22" s="1"/>
  <c r="L56" i="22"/>
  <c r="K56" i="22"/>
  <c r="J56" i="22"/>
  <c r="I56" i="22"/>
  <c r="H56" i="22"/>
  <c r="G56" i="22"/>
  <c r="F56" i="22"/>
  <c r="E56" i="22"/>
  <c r="D56" i="22"/>
  <c r="C56" i="22"/>
  <c r="B56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N55" i="22" s="1"/>
  <c r="M54" i="22"/>
  <c r="L54" i="22"/>
  <c r="K54" i="22"/>
  <c r="J54" i="22"/>
  <c r="I54" i="22"/>
  <c r="H54" i="22"/>
  <c r="G54" i="22"/>
  <c r="F54" i="22"/>
  <c r="E54" i="22"/>
  <c r="D54" i="22"/>
  <c r="C54" i="22"/>
  <c r="B54" i="22"/>
  <c r="N54" i="22" s="1"/>
  <c r="M53" i="22"/>
  <c r="L53" i="22"/>
  <c r="K53" i="22"/>
  <c r="J53" i="22"/>
  <c r="I53" i="22"/>
  <c r="H53" i="22"/>
  <c r="G53" i="22"/>
  <c r="F53" i="22"/>
  <c r="E53" i="22"/>
  <c r="D53" i="22"/>
  <c r="N53" i="22" s="1"/>
  <c r="C53" i="22"/>
  <c r="B53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N52" i="22" s="1"/>
  <c r="M51" i="22"/>
  <c r="L51" i="22"/>
  <c r="K51" i="22"/>
  <c r="J51" i="22"/>
  <c r="I51" i="22"/>
  <c r="H51" i="22"/>
  <c r="G51" i="22"/>
  <c r="F51" i="22"/>
  <c r="N51" i="22" s="1"/>
  <c r="E51" i="22"/>
  <c r="D51" i="22"/>
  <c r="C51" i="22"/>
  <c r="B51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M49" i="22"/>
  <c r="L49" i="22"/>
  <c r="K49" i="22"/>
  <c r="J49" i="22"/>
  <c r="I49" i="22"/>
  <c r="H49" i="22"/>
  <c r="G49" i="22"/>
  <c r="F49" i="22"/>
  <c r="E49" i="22"/>
  <c r="D49" i="22"/>
  <c r="C49" i="22"/>
  <c r="N49" i="22" s="1"/>
  <c r="B49" i="22"/>
  <c r="M48" i="22"/>
  <c r="L48" i="22"/>
  <c r="K48" i="22"/>
  <c r="J48" i="22"/>
  <c r="I48" i="22"/>
  <c r="H48" i="22"/>
  <c r="G48" i="22"/>
  <c r="F48" i="22"/>
  <c r="E48" i="22"/>
  <c r="D48" i="22"/>
  <c r="C48" i="22"/>
  <c r="B48" i="22"/>
  <c r="N48" i="22" s="1"/>
  <c r="M47" i="22"/>
  <c r="L47" i="22"/>
  <c r="K47" i="22"/>
  <c r="J47" i="22"/>
  <c r="N47" i="22" s="1"/>
  <c r="I47" i="22"/>
  <c r="H47" i="22"/>
  <c r="G47" i="22"/>
  <c r="F47" i="22"/>
  <c r="E47" i="22"/>
  <c r="D47" i="22"/>
  <c r="C47" i="22"/>
  <c r="B47" i="22"/>
  <c r="M46" i="22"/>
  <c r="L46" i="22"/>
  <c r="K46" i="22"/>
  <c r="J46" i="22"/>
  <c r="I46" i="22"/>
  <c r="H46" i="22"/>
  <c r="G46" i="22"/>
  <c r="F46" i="22"/>
  <c r="E46" i="22"/>
  <c r="D46" i="22"/>
  <c r="C46" i="22"/>
  <c r="B46" i="22"/>
  <c r="N46" i="22" s="1"/>
  <c r="M45" i="22"/>
  <c r="L45" i="22"/>
  <c r="N45" i="22" s="1"/>
  <c r="K45" i="22"/>
  <c r="J45" i="22"/>
  <c r="I45" i="22"/>
  <c r="H45" i="22"/>
  <c r="G45" i="22"/>
  <c r="F45" i="22"/>
  <c r="E45" i="22"/>
  <c r="D45" i="22"/>
  <c r="C45" i="22"/>
  <c r="B45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N44" i="22" s="1"/>
  <c r="M43" i="22"/>
  <c r="L43" i="22"/>
  <c r="K43" i="22"/>
  <c r="J43" i="22"/>
  <c r="I43" i="22"/>
  <c r="H43" i="22"/>
  <c r="G43" i="22"/>
  <c r="N43" i="22" s="1"/>
  <c r="F43" i="22"/>
  <c r="E43" i="22"/>
  <c r="D43" i="22"/>
  <c r="C43" i="22"/>
  <c r="B43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N42" i="22" s="1"/>
  <c r="M41" i="22"/>
  <c r="L41" i="22"/>
  <c r="K41" i="22"/>
  <c r="J41" i="22"/>
  <c r="I41" i="22"/>
  <c r="H41" i="22"/>
  <c r="G41" i="22"/>
  <c r="F41" i="22"/>
  <c r="E41" i="22"/>
  <c r="D41" i="22"/>
  <c r="C41" i="22"/>
  <c r="B41" i="22"/>
  <c r="N41" i="22" s="1"/>
  <c r="M40" i="22"/>
  <c r="L40" i="22"/>
  <c r="K40" i="22"/>
  <c r="J40" i="22"/>
  <c r="I40" i="22"/>
  <c r="H40" i="22"/>
  <c r="G40" i="22"/>
  <c r="F40" i="22"/>
  <c r="E40" i="22"/>
  <c r="D40" i="22"/>
  <c r="N40" i="22" s="1"/>
  <c r="C40" i="22"/>
  <c r="B40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N39" i="22" s="1"/>
  <c r="M38" i="22"/>
  <c r="L38" i="22"/>
  <c r="K38" i="22"/>
  <c r="J38" i="22"/>
  <c r="I38" i="22"/>
  <c r="H38" i="22"/>
  <c r="G38" i="22"/>
  <c r="F38" i="22"/>
  <c r="E38" i="22"/>
  <c r="D38" i="22"/>
  <c r="C38" i="22"/>
  <c r="B38" i="22"/>
  <c r="N38" i="22" s="1"/>
  <c r="M37" i="22"/>
  <c r="L37" i="22"/>
  <c r="K37" i="22"/>
  <c r="J37" i="22"/>
  <c r="I37" i="22"/>
  <c r="H37" i="22"/>
  <c r="G37" i="22"/>
  <c r="F37" i="22"/>
  <c r="E37" i="22"/>
  <c r="D37" i="22"/>
  <c r="C37" i="22"/>
  <c r="B37" i="22"/>
  <c r="N37" i="22" s="1"/>
  <c r="M36" i="22"/>
  <c r="L36" i="22"/>
  <c r="K36" i="22"/>
  <c r="J36" i="22"/>
  <c r="I36" i="22"/>
  <c r="H36" i="22"/>
  <c r="N36" i="22" s="1"/>
  <c r="G36" i="22"/>
  <c r="F36" i="22"/>
  <c r="E36" i="22"/>
  <c r="D36" i="22"/>
  <c r="C36" i="22"/>
  <c r="B36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N35" i="22" s="1"/>
  <c r="M34" i="22"/>
  <c r="L34" i="22"/>
  <c r="K34" i="22"/>
  <c r="J34" i="22"/>
  <c r="N34" i="22" s="1"/>
  <c r="I34" i="22"/>
  <c r="H34" i="22"/>
  <c r="G34" i="22"/>
  <c r="F34" i="22"/>
  <c r="E34" i="22"/>
  <c r="D34" i="22"/>
  <c r="C34" i="22"/>
  <c r="B34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N33" i="22" s="1"/>
  <c r="M32" i="22"/>
  <c r="L32" i="22"/>
  <c r="N32" i="22" s="1"/>
  <c r="K32" i="22"/>
  <c r="J32" i="22"/>
  <c r="I32" i="22"/>
  <c r="H32" i="22"/>
  <c r="G32" i="22"/>
  <c r="F32" i="22"/>
  <c r="E32" i="22"/>
  <c r="D32" i="22"/>
  <c r="C32" i="22"/>
  <c r="B32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N31" i="22" s="1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M29" i="22"/>
  <c r="L29" i="22"/>
  <c r="K29" i="22"/>
  <c r="J29" i="22"/>
  <c r="I29" i="22"/>
  <c r="H29" i="22"/>
  <c r="G29" i="22"/>
  <c r="F29" i="22"/>
  <c r="E29" i="22"/>
  <c r="D29" i="22"/>
  <c r="C29" i="22"/>
  <c r="N29" i="22" s="1"/>
  <c r="B29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N28" i="22" s="1"/>
  <c r="M27" i="22"/>
  <c r="L27" i="22"/>
  <c r="K27" i="22"/>
  <c r="J27" i="22"/>
  <c r="I27" i="22"/>
  <c r="H27" i="22"/>
  <c r="G27" i="22"/>
  <c r="F27" i="22"/>
  <c r="E27" i="22"/>
  <c r="N27" i="22" s="1"/>
  <c r="D27" i="22"/>
  <c r="C27" i="22"/>
  <c r="B27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B26" i="22"/>
  <c r="M25" i="22"/>
  <c r="L25" i="22"/>
  <c r="K25" i="22"/>
  <c r="J25" i="22"/>
  <c r="I25" i="22"/>
  <c r="H25" i="22"/>
  <c r="G25" i="22"/>
  <c r="F25" i="22"/>
  <c r="E25" i="22"/>
  <c r="D25" i="22"/>
  <c r="C25" i="22"/>
  <c r="N25" i="22" s="1"/>
  <c r="B25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N24" i="22" s="1"/>
  <c r="M23" i="22"/>
  <c r="L23" i="22"/>
  <c r="K23" i="22"/>
  <c r="J23" i="22"/>
  <c r="I23" i="22"/>
  <c r="N23" i="22" s="1"/>
  <c r="H23" i="22"/>
  <c r="G23" i="22"/>
  <c r="F23" i="22"/>
  <c r="E23" i="22"/>
  <c r="D23" i="22"/>
  <c r="C23" i="22"/>
  <c r="B23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N22" i="22" s="1"/>
  <c r="M21" i="22"/>
  <c r="L21" i="22"/>
  <c r="K21" i="22"/>
  <c r="N21" i="22" s="1"/>
  <c r="J21" i="22"/>
  <c r="I21" i="22"/>
  <c r="H21" i="22"/>
  <c r="G21" i="22"/>
  <c r="F21" i="22"/>
  <c r="E21" i="22"/>
  <c r="D21" i="22"/>
  <c r="C21" i="22"/>
  <c r="B21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N20" i="22" s="1"/>
  <c r="M19" i="22"/>
  <c r="N19" i="22" s="1"/>
  <c r="L19" i="22"/>
  <c r="K19" i="22"/>
  <c r="J19" i="22"/>
  <c r="I19" i="22"/>
  <c r="H19" i="22"/>
  <c r="G19" i="22"/>
  <c r="F19" i="22"/>
  <c r="E19" i="22"/>
  <c r="D19" i="22"/>
  <c r="C19" i="22"/>
  <c r="B19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N18" i="22" s="1"/>
  <c r="M17" i="22"/>
  <c r="L17" i="22"/>
  <c r="K17" i="22"/>
  <c r="J17" i="22"/>
  <c r="I17" i="22"/>
  <c r="H17" i="22"/>
  <c r="G17" i="22"/>
  <c r="F17" i="22"/>
  <c r="E17" i="22"/>
  <c r="D17" i="22"/>
  <c r="C17" i="22"/>
  <c r="B17" i="22"/>
  <c r="N17" i="22" s="1"/>
  <c r="M16" i="22"/>
  <c r="L16" i="22"/>
  <c r="K16" i="22"/>
  <c r="J16" i="22"/>
  <c r="I16" i="22"/>
  <c r="H16" i="22"/>
  <c r="G16" i="22"/>
  <c r="F16" i="22"/>
  <c r="E16" i="22"/>
  <c r="D16" i="22"/>
  <c r="N16" i="22" s="1"/>
  <c r="C16" i="22"/>
  <c r="B16" i="22"/>
  <c r="M15" i="22"/>
  <c r="L15" i="22"/>
  <c r="K15" i="22"/>
  <c r="J15" i="22"/>
  <c r="I15" i="22"/>
  <c r="H15" i="22"/>
  <c r="G15" i="22"/>
  <c r="F15" i="22"/>
  <c r="E15" i="22"/>
  <c r="D15" i="22"/>
  <c r="C15" i="22"/>
  <c r="B15" i="22"/>
  <c r="N15" i="22" s="1"/>
  <c r="M14" i="22"/>
  <c r="L14" i="22"/>
  <c r="K14" i="22"/>
  <c r="J14" i="22"/>
  <c r="I14" i="22"/>
  <c r="H14" i="22"/>
  <c r="G14" i="22"/>
  <c r="F14" i="22"/>
  <c r="E14" i="22"/>
  <c r="D14" i="22"/>
  <c r="C14" i="22"/>
  <c r="B14" i="22"/>
  <c r="N14" i="22" s="1"/>
  <c r="M13" i="22"/>
  <c r="L13" i="22"/>
  <c r="K13" i="22"/>
  <c r="J13" i="22"/>
  <c r="I13" i="22"/>
  <c r="H13" i="22"/>
  <c r="G13" i="22"/>
  <c r="F13" i="22"/>
  <c r="E13" i="22"/>
  <c r="D13" i="22"/>
  <c r="C13" i="22"/>
  <c r="B13" i="22"/>
  <c r="N13" i="22" s="1"/>
  <c r="M12" i="22"/>
  <c r="L12" i="22"/>
  <c r="K12" i="22"/>
  <c r="J12" i="22"/>
  <c r="I12" i="22"/>
  <c r="H12" i="22"/>
  <c r="N12" i="22" s="1"/>
  <c r="G12" i="22"/>
  <c r="F12" i="22"/>
  <c r="E12" i="22"/>
  <c r="D12" i="22"/>
  <c r="C12" i="22"/>
  <c r="B12" i="22"/>
  <c r="M11" i="22"/>
  <c r="L11" i="22"/>
  <c r="K11" i="22"/>
  <c r="J11" i="22"/>
  <c r="I11" i="22"/>
  <c r="H11" i="22"/>
  <c r="G11" i="22"/>
  <c r="F11" i="22"/>
  <c r="E11" i="22"/>
  <c r="D11" i="22"/>
  <c r="C11" i="22"/>
  <c r="B11" i="22"/>
  <c r="N11" i="22" s="1"/>
  <c r="M10" i="22"/>
  <c r="L10" i="22"/>
  <c r="K10" i="22"/>
  <c r="J10" i="22"/>
  <c r="N10" i="22" s="1"/>
  <c r="I10" i="22"/>
  <c r="H10" i="22"/>
  <c r="G10" i="22"/>
  <c r="F10" i="22"/>
  <c r="E10" i="22"/>
  <c r="D10" i="22"/>
  <c r="C10" i="22"/>
  <c r="B10" i="22"/>
  <c r="M9" i="22"/>
  <c r="L9" i="22"/>
  <c r="K9" i="22"/>
  <c r="J9" i="22"/>
  <c r="I9" i="22"/>
  <c r="H9" i="22"/>
  <c r="G9" i="22"/>
  <c r="F9" i="22"/>
  <c r="E9" i="22"/>
  <c r="D9" i="22"/>
  <c r="C9" i="22"/>
  <c r="B9" i="22"/>
  <c r="N9" i="22" s="1"/>
  <c r="M8" i="22"/>
  <c r="L8" i="22"/>
  <c r="N8" i="22" s="1"/>
  <c r="K8" i="22"/>
  <c r="J8" i="22"/>
  <c r="I8" i="22"/>
  <c r="H8" i="22"/>
  <c r="G8" i="22"/>
  <c r="F8" i="22"/>
  <c r="E8" i="22"/>
  <c r="D8" i="22"/>
  <c r="C8" i="22"/>
  <c r="B8" i="22"/>
  <c r="M7" i="22"/>
  <c r="L7" i="22"/>
  <c r="K7" i="22"/>
  <c r="J7" i="22"/>
  <c r="I7" i="22"/>
  <c r="H7" i="22"/>
  <c r="G7" i="22"/>
  <c r="F7" i="22"/>
  <c r="E7" i="22"/>
  <c r="D7" i="22"/>
  <c r="C7" i="22"/>
  <c r="B7" i="22"/>
  <c r="N7" i="22" s="1"/>
  <c r="N6" i="22"/>
  <c r="M6" i="22"/>
  <c r="L6" i="22"/>
  <c r="K6" i="22"/>
  <c r="J6" i="22"/>
  <c r="I6" i="22"/>
  <c r="H6" i="22"/>
  <c r="G6" i="22"/>
  <c r="F6" i="22"/>
  <c r="E6" i="22"/>
  <c r="D6" i="22"/>
  <c r="C6" i="22"/>
  <c r="B6" i="22"/>
  <c r="M5" i="22"/>
  <c r="L5" i="22"/>
  <c r="K5" i="22"/>
  <c r="J5" i="22"/>
  <c r="I5" i="22"/>
  <c r="H5" i="22"/>
  <c r="G5" i="22"/>
  <c r="F5" i="22"/>
  <c r="E5" i="22"/>
  <c r="D5" i="22"/>
  <c r="C5" i="22"/>
  <c r="N5" i="22" s="1"/>
  <c r="B5" i="22"/>
  <c r="N4" i="22"/>
  <c r="M4" i="22"/>
  <c r="L4" i="22"/>
  <c r="K4" i="22"/>
  <c r="J4" i="22"/>
  <c r="I4" i="22"/>
  <c r="H4" i="22"/>
  <c r="G4" i="22"/>
  <c r="F4" i="22"/>
  <c r="E4" i="22"/>
  <c r="D4" i="22"/>
  <c r="C4" i="22"/>
  <c r="B4" i="22"/>
  <c r="F25" i="21"/>
  <c r="F24" i="21"/>
  <c r="F23" i="21"/>
  <c r="F22" i="21"/>
  <c r="G2" i="21"/>
  <c r="B9" i="19" a="1"/>
  <c r="B9" i="19" s="1"/>
  <c r="C30" i="19" a="1"/>
  <c r="C30" i="19" s="1"/>
  <c r="E9" i="19" a="1"/>
  <c r="E9" i="19" s="1"/>
  <c r="D11" i="18"/>
  <c r="D10" i="18"/>
  <c r="D8" i="18"/>
  <c r="D6" i="18"/>
  <c r="D4" i="18"/>
  <c r="D9" i="18" s="1"/>
  <c r="G36" i="17" a="1"/>
  <c r="G36" i="17" s="1"/>
  <c r="G20" i="17" a="1"/>
  <c r="G20" i="17" s="1"/>
  <c r="G5" i="17" a="1"/>
  <c r="G5" i="17" s="1"/>
  <c r="F237" i="15"/>
  <c r="F238" i="15"/>
  <c r="F239" i="15"/>
  <c r="F236" i="15"/>
  <c r="H248" i="15" a="1"/>
  <c r="H248" i="15" s="1"/>
  <c r="H249" i="15" a="1"/>
  <c r="H249" i="15" s="1"/>
  <c r="H250" i="15" a="1"/>
  <c r="H250" i="15" s="1"/>
  <c r="H251" i="15" a="1"/>
  <c r="H251" i="15" s="1"/>
  <c r="H247" i="15" a="1"/>
  <c r="H247" i="15" s="1"/>
  <c r="C237" i="15"/>
  <c r="C238" i="15"/>
  <c r="C239" i="15"/>
  <c r="C236" i="15"/>
  <c r="H204" i="15"/>
  <c r="H205" i="15"/>
  <c r="H206" i="15"/>
  <c r="H203" i="15"/>
  <c r="G204" i="15"/>
  <c r="G205" i="15"/>
  <c r="G206" i="15"/>
  <c r="G203" i="15"/>
  <c r="H179" i="15"/>
  <c r="H180" i="15"/>
  <c r="H181" i="15"/>
  <c r="H178" i="15"/>
  <c r="G179" i="15"/>
  <c r="G180" i="15"/>
  <c r="G181" i="15"/>
  <c r="G178" i="15"/>
  <c r="B191" i="15"/>
  <c r="H161" i="15"/>
  <c r="H162" i="15"/>
  <c r="H163" i="15"/>
  <c r="H164" i="15"/>
  <c r="H165" i="15"/>
  <c r="F171" i="15"/>
  <c r="G171" i="15" s="1"/>
  <c r="H171" i="15" s="1"/>
  <c r="F170" i="15"/>
  <c r="G170" i="15" s="1"/>
  <c r="H170" i="15" s="1"/>
  <c r="F169" i="15"/>
  <c r="G169" i="15" s="1"/>
  <c r="H169" i="15" s="1"/>
  <c r="F168" i="15"/>
  <c r="G168" i="15" s="1"/>
  <c r="H168" i="15" s="1"/>
  <c r="F167" i="15"/>
  <c r="G167" i="15" s="1"/>
  <c r="H167" i="15" s="1"/>
  <c r="F166" i="15"/>
  <c r="G166" i="15" s="1"/>
  <c r="H166" i="15" s="1"/>
  <c r="F165" i="15"/>
  <c r="G165" i="15" s="1"/>
  <c r="F164" i="15"/>
  <c r="G164" i="15" s="1"/>
  <c r="F163" i="15"/>
  <c r="G163" i="15" s="1"/>
  <c r="F162" i="15"/>
  <c r="G162" i="15" s="1"/>
  <c r="F161" i="15"/>
  <c r="G161" i="15" s="1"/>
  <c r="F160" i="15"/>
  <c r="G160" i="15" s="1"/>
  <c r="H160" i="15" s="1"/>
  <c r="F159" i="15"/>
  <c r="G159" i="15" s="1"/>
  <c r="H159" i="15" s="1"/>
  <c r="F158" i="15"/>
  <c r="G158" i="15" s="1"/>
  <c r="H158" i="15" s="1"/>
  <c r="F157" i="15"/>
  <c r="G157" i="15" s="1"/>
  <c r="H157" i="15" s="1"/>
  <c r="F156" i="15"/>
  <c r="G156" i="15" s="1"/>
  <c r="H156" i="15" s="1"/>
  <c r="F155" i="15"/>
  <c r="G155" i="15" s="1"/>
  <c r="H155" i="15" s="1"/>
  <c r="F154" i="15"/>
  <c r="G154" i="15" s="1"/>
  <c r="H154" i="15" s="1"/>
  <c r="F153" i="15"/>
  <c r="G153" i="15" s="1"/>
  <c r="H153" i="15" s="1"/>
  <c r="F152" i="15"/>
  <c r="G152" i="15" s="1"/>
  <c r="H152" i="15" s="1"/>
  <c r="G112" i="15" a="1"/>
  <c r="G112" i="15" s="1"/>
  <c r="G113" i="15" a="1"/>
  <c r="G113" i="15" s="1"/>
  <c r="G114" i="15" a="1"/>
  <c r="G114" i="15" s="1"/>
  <c r="G111" i="15" a="1"/>
  <c r="G111" i="15" s="1"/>
  <c r="B125" i="15" a="1"/>
  <c r="B125" i="15" s="1"/>
  <c r="G90" i="15" a="1"/>
  <c r="G90" i="15" s="1"/>
  <c r="G91" i="15" a="1"/>
  <c r="G91" i="15" s="1"/>
  <c r="G92" i="15" a="1"/>
  <c r="G92" i="15" s="1"/>
  <c r="G89" i="15" a="1"/>
  <c r="G89" i="15" s="1"/>
  <c r="G74" i="15"/>
  <c r="G52" i="15"/>
  <c r="H35" i="15"/>
  <c r="H36" i="15"/>
  <c r="H37" i="15"/>
  <c r="H34" i="15"/>
  <c r="G20" i="15"/>
  <c r="G21" i="15"/>
  <c r="G22" i="15"/>
  <c r="G19" i="15"/>
  <c r="G2" i="15"/>
  <c r="N158" i="14" l="1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157" i="14"/>
  <c r="C3" i="12"/>
  <c r="C5" i="12"/>
  <c r="C7" i="12"/>
  <c r="C9" i="12"/>
  <c r="C11" i="12"/>
  <c r="C12" i="12"/>
  <c r="C13" i="12"/>
  <c r="C14" i="12"/>
  <c r="C15" i="12"/>
  <c r="C16" i="12"/>
  <c r="C17" i="12"/>
  <c r="C18" i="12"/>
  <c r="C20" i="12"/>
  <c r="C22" i="12"/>
  <c r="C24" i="12"/>
  <c r="C25" i="12"/>
  <c r="C26" i="12"/>
  <c r="C27" i="12"/>
  <c r="C28" i="12"/>
  <c r="C30" i="12"/>
  <c r="C31" i="12"/>
  <c r="C32" i="12"/>
  <c r="C33" i="12"/>
  <c r="C34" i="12"/>
  <c r="C35" i="12"/>
  <c r="C36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1" i="12"/>
  <c r="C52" i="12"/>
  <c r="C53" i="12"/>
  <c r="C54" i="12"/>
  <c r="C55" i="12"/>
  <c r="C56" i="12"/>
  <c r="C57" i="12"/>
  <c r="C59" i="12"/>
  <c r="C60" i="12"/>
  <c r="C61" i="12"/>
  <c r="C62" i="12"/>
  <c r="C63" i="12"/>
  <c r="C64" i="12"/>
  <c r="C65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1" i="12"/>
  <c r="C82" i="12"/>
  <c r="C83" i="12"/>
  <c r="C84" i="12"/>
  <c r="C85" i="12"/>
  <c r="C86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" i="12"/>
  <c r="D4" i="12"/>
  <c r="A4" i="12"/>
  <c r="B4" i="12"/>
  <c r="C4" i="12" s="1"/>
  <c r="E4" i="12"/>
  <c r="F4" i="12"/>
  <c r="G4" i="12"/>
  <c r="H4" i="12"/>
  <c r="I4" i="12"/>
  <c r="J4" i="12"/>
  <c r="K4" i="12"/>
  <c r="L4" i="12"/>
  <c r="M4" i="12"/>
  <c r="A6" i="12"/>
  <c r="B6" i="12"/>
  <c r="C6" i="12" s="1"/>
  <c r="E6" i="12"/>
  <c r="F6" i="12"/>
  <c r="G6" i="12"/>
  <c r="H6" i="12"/>
  <c r="I6" i="12"/>
  <c r="J6" i="12"/>
  <c r="K6" i="12"/>
  <c r="L6" i="12"/>
  <c r="M6" i="12"/>
  <c r="A8" i="12"/>
  <c r="B8" i="12"/>
  <c r="C8" i="12" s="1"/>
  <c r="E8" i="12"/>
  <c r="F8" i="12"/>
  <c r="G8" i="12"/>
  <c r="H8" i="12"/>
  <c r="I8" i="12"/>
  <c r="J8" i="12"/>
  <c r="K8" i="12"/>
  <c r="L8" i="12"/>
  <c r="M8" i="12"/>
  <c r="A10" i="12"/>
  <c r="B10" i="12"/>
  <c r="C10" i="12" s="1"/>
  <c r="D10" i="12"/>
  <c r="E10" i="12"/>
  <c r="F10" i="12"/>
  <c r="G10" i="12"/>
  <c r="H10" i="12"/>
  <c r="I10" i="12"/>
  <c r="J10" i="12"/>
  <c r="K10" i="12"/>
  <c r="L10" i="12"/>
  <c r="M10" i="12"/>
  <c r="A19" i="12"/>
  <c r="B19" i="12"/>
  <c r="C19" i="12" s="1"/>
  <c r="D19" i="12"/>
  <c r="E19" i="12"/>
  <c r="F19" i="12"/>
  <c r="G19" i="12"/>
  <c r="H19" i="12"/>
  <c r="I19" i="12"/>
  <c r="J19" i="12"/>
  <c r="K19" i="12"/>
  <c r="L19" i="12"/>
  <c r="M19" i="12"/>
  <c r="A21" i="12"/>
  <c r="B21" i="12"/>
  <c r="C21" i="12" s="1"/>
  <c r="E21" i="12"/>
  <c r="F21" i="12"/>
  <c r="G21" i="12"/>
  <c r="H21" i="12"/>
  <c r="I21" i="12"/>
  <c r="J21" i="12"/>
  <c r="K21" i="12"/>
  <c r="L21" i="12"/>
  <c r="M21" i="12"/>
  <c r="A23" i="12"/>
  <c r="B23" i="12"/>
  <c r="C23" i="12" s="1"/>
  <c r="D23" i="12"/>
  <c r="E23" i="12"/>
  <c r="F23" i="12"/>
  <c r="G23" i="12"/>
  <c r="H23" i="12"/>
  <c r="I23" i="12"/>
  <c r="J23" i="12"/>
  <c r="K23" i="12"/>
  <c r="L23" i="12"/>
  <c r="M23" i="12"/>
  <c r="A25" i="12"/>
  <c r="A29" i="12"/>
  <c r="B29" i="12"/>
  <c r="C29" i="12" s="1"/>
  <c r="E29" i="12"/>
  <c r="F29" i="12"/>
  <c r="G29" i="12"/>
  <c r="H29" i="12"/>
  <c r="I29" i="12"/>
  <c r="J29" i="12"/>
  <c r="K29" i="12"/>
  <c r="L29" i="12"/>
  <c r="M29" i="12"/>
  <c r="A37" i="12"/>
  <c r="B37" i="12"/>
  <c r="C37" i="12" s="1"/>
  <c r="E37" i="12"/>
  <c r="F37" i="12"/>
  <c r="G37" i="12"/>
  <c r="H37" i="12"/>
  <c r="I37" i="12"/>
  <c r="J37" i="12"/>
  <c r="K37" i="12"/>
  <c r="L37" i="12"/>
  <c r="M37" i="12"/>
  <c r="A45" i="12"/>
  <c r="B45" i="12"/>
  <c r="D45" i="12"/>
  <c r="E45" i="12"/>
  <c r="F45" i="12"/>
  <c r="G45" i="12"/>
  <c r="H45" i="12"/>
  <c r="I45" i="12"/>
  <c r="J45" i="12"/>
  <c r="K45" i="12"/>
  <c r="L45" i="12"/>
  <c r="M45" i="12"/>
  <c r="A50" i="12"/>
  <c r="B50" i="12"/>
  <c r="C50" i="12" s="1"/>
  <c r="D50" i="12"/>
  <c r="E50" i="12"/>
  <c r="F50" i="12"/>
  <c r="G50" i="12"/>
  <c r="H50" i="12"/>
  <c r="I50" i="12"/>
  <c r="J50" i="12"/>
  <c r="K50" i="12"/>
  <c r="L50" i="12"/>
  <c r="M50" i="12"/>
  <c r="A58" i="12"/>
  <c r="B58" i="12"/>
  <c r="C58" i="12" s="1"/>
  <c r="D58" i="12"/>
  <c r="E58" i="12"/>
  <c r="F58" i="12"/>
  <c r="G58" i="12"/>
  <c r="H58" i="12"/>
  <c r="I58" i="12"/>
  <c r="J58" i="12"/>
  <c r="K58" i="12"/>
  <c r="L58" i="12"/>
  <c r="M58" i="12"/>
  <c r="A66" i="12"/>
  <c r="B66" i="12"/>
  <c r="C66" i="12" s="1"/>
  <c r="D66" i="12"/>
  <c r="E66" i="12"/>
  <c r="F66" i="12"/>
  <c r="G66" i="12"/>
  <c r="H66" i="12"/>
  <c r="I66" i="12"/>
  <c r="J66" i="12"/>
  <c r="K66" i="12"/>
  <c r="L66" i="12"/>
  <c r="M66" i="12"/>
  <c r="A80" i="12"/>
  <c r="B80" i="12"/>
  <c r="C80" i="12" s="1"/>
  <c r="D80" i="12"/>
  <c r="E80" i="12"/>
  <c r="F80" i="12"/>
  <c r="G80" i="12"/>
  <c r="H80" i="12"/>
  <c r="I80" i="12"/>
  <c r="J80" i="12"/>
  <c r="K80" i="12"/>
  <c r="L80" i="12"/>
  <c r="M80" i="12"/>
  <c r="A83" i="12"/>
  <c r="B83" i="12"/>
  <c r="D83" i="12"/>
  <c r="E83" i="12"/>
  <c r="F83" i="12"/>
  <c r="G83" i="12"/>
  <c r="H83" i="12"/>
  <c r="I83" i="12"/>
  <c r="J83" i="12"/>
  <c r="K83" i="12"/>
  <c r="L83" i="12"/>
  <c r="M83" i="12"/>
  <c r="A87" i="12"/>
  <c r="B87" i="12"/>
  <c r="C87" i="12" s="1"/>
  <c r="D87" i="12"/>
  <c r="E87" i="12"/>
  <c r="F87" i="12"/>
  <c r="G87" i="12"/>
  <c r="H87" i="12"/>
  <c r="I87" i="12"/>
  <c r="J87" i="12"/>
  <c r="K87" i="12"/>
  <c r="L87" i="12"/>
  <c r="M87" i="12"/>
  <c r="B2" i="14" l="1" a="1"/>
  <c r="M296" i="12"/>
  <c r="B2" i="14" l="1"/>
  <c r="N2" i="14" s="1"/>
  <c r="N3" i="14"/>
  <c r="N27" i="14"/>
  <c r="N51" i="14"/>
  <c r="N75" i="14"/>
  <c r="N99" i="14"/>
  <c r="N123" i="14"/>
  <c r="N147" i="14"/>
  <c r="N14" i="14"/>
  <c r="N135" i="14"/>
  <c r="N90" i="14"/>
  <c r="N67" i="14"/>
  <c r="N116" i="14"/>
  <c r="N71" i="14"/>
  <c r="N121" i="14"/>
  <c r="N4" i="14"/>
  <c r="N28" i="14"/>
  <c r="N52" i="14"/>
  <c r="N76" i="14"/>
  <c r="N100" i="14"/>
  <c r="N124" i="14"/>
  <c r="N148" i="14"/>
  <c r="N62" i="14"/>
  <c r="N63" i="14"/>
  <c r="N66" i="14"/>
  <c r="N19" i="14"/>
  <c r="N139" i="14"/>
  <c r="N20" i="14"/>
  <c r="N118" i="14"/>
  <c r="N23" i="14"/>
  <c r="N143" i="14"/>
  <c r="N48" i="14"/>
  <c r="N49" i="14"/>
  <c r="N26" i="14"/>
  <c r="N5" i="14"/>
  <c r="N29" i="14"/>
  <c r="N53" i="14"/>
  <c r="N77" i="14"/>
  <c r="N101" i="14"/>
  <c r="N125" i="14"/>
  <c r="N86" i="14"/>
  <c r="N15" i="14"/>
  <c r="N42" i="14"/>
  <c r="N6" i="14"/>
  <c r="N30" i="14"/>
  <c r="N54" i="14"/>
  <c r="N78" i="14"/>
  <c r="N102" i="14"/>
  <c r="N126" i="14"/>
  <c r="N87" i="14"/>
  <c r="N91" i="14"/>
  <c r="N68" i="14"/>
  <c r="N72" i="14"/>
  <c r="N98" i="14"/>
  <c r="N7" i="14"/>
  <c r="N31" i="14"/>
  <c r="N55" i="14"/>
  <c r="N79" i="14"/>
  <c r="N103" i="14"/>
  <c r="N127" i="14"/>
  <c r="N8" i="14"/>
  <c r="N32" i="14"/>
  <c r="N56" i="14"/>
  <c r="N80" i="14"/>
  <c r="N104" i="14"/>
  <c r="N128" i="14"/>
  <c r="N34" i="14"/>
  <c r="N58" i="14"/>
  <c r="N82" i="14"/>
  <c r="N110" i="14"/>
  <c r="N111" i="14"/>
  <c r="N138" i="14"/>
  <c r="N115" i="14"/>
  <c r="N92" i="14"/>
  <c r="N119" i="14"/>
  <c r="N145" i="14"/>
  <c r="N9" i="14"/>
  <c r="N33" i="14"/>
  <c r="N57" i="14"/>
  <c r="N81" i="14"/>
  <c r="N105" i="14"/>
  <c r="N129" i="14"/>
  <c r="N10" i="14"/>
  <c r="N106" i="14"/>
  <c r="N130" i="14"/>
  <c r="N134" i="14"/>
  <c r="N39" i="14"/>
  <c r="N18" i="14"/>
  <c r="N43" i="14"/>
  <c r="N44" i="14"/>
  <c r="N47" i="14"/>
  <c r="N96" i="14"/>
  <c r="N73" i="14"/>
  <c r="N50" i="14"/>
  <c r="N11" i="14"/>
  <c r="N35" i="14"/>
  <c r="N59" i="14"/>
  <c r="N83" i="14"/>
  <c r="N107" i="14"/>
  <c r="N131" i="14"/>
  <c r="N37" i="14"/>
  <c r="N109" i="14"/>
  <c r="N74" i="14"/>
  <c r="N12" i="14"/>
  <c r="N36" i="14"/>
  <c r="N60" i="14"/>
  <c r="N84" i="14"/>
  <c r="N108" i="14"/>
  <c r="N132" i="14"/>
  <c r="N13" i="14"/>
  <c r="N61" i="14"/>
  <c r="N85" i="14"/>
  <c r="N133" i="14"/>
  <c r="N38" i="14"/>
  <c r="N16" i="14"/>
  <c r="N40" i="14"/>
  <c r="N64" i="14"/>
  <c r="N88" i="14"/>
  <c r="N112" i="14"/>
  <c r="N136" i="14"/>
  <c r="N41" i="14"/>
  <c r="N65" i="14"/>
  <c r="N89" i="14"/>
  <c r="N113" i="14"/>
  <c r="N137" i="14"/>
  <c r="N114" i="14"/>
  <c r="N140" i="14"/>
  <c r="N120" i="14"/>
  <c r="N97" i="14"/>
  <c r="N122" i="14"/>
  <c r="N17" i="14"/>
  <c r="N21" i="14"/>
  <c r="N45" i="14"/>
  <c r="N69" i="14"/>
  <c r="N93" i="14"/>
  <c r="N117" i="14"/>
  <c r="N141" i="14"/>
  <c r="N22" i="14"/>
  <c r="N46" i="14"/>
  <c r="N70" i="14"/>
  <c r="N94" i="14"/>
  <c r="N142" i="14"/>
  <c r="N95" i="14"/>
  <c r="N144" i="14"/>
  <c r="N146" i="14"/>
  <c r="N24" i="14"/>
  <c r="N25" i="14"/>
  <c r="R16" i="10" l="1"/>
  <c r="S17" i="10"/>
  <c r="S18" i="10"/>
  <c r="S19" i="10"/>
  <c r="S20" i="10"/>
  <c r="S21" i="10"/>
  <c r="S22" i="10"/>
  <c r="S16" i="10"/>
  <c r="R17" i="10"/>
  <c r="R18" i="10"/>
  <c r="R19" i="10"/>
  <c r="R20" i="10"/>
  <c r="R21" i="10"/>
  <c r="R22" i="10"/>
  <c r="S5" i="10"/>
  <c r="S6" i="10"/>
  <c r="S7" i="10"/>
  <c r="S8" i="10"/>
  <c r="S9" i="10"/>
  <c r="S10" i="10"/>
  <c r="S4" i="10"/>
  <c r="R5" i="10"/>
  <c r="R6" i="10"/>
  <c r="R7" i="10"/>
  <c r="R8" i="10"/>
  <c r="R9" i="10"/>
  <c r="R10" i="10"/>
  <c r="R4" i="10"/>
  <c r="G3" i="10"/>
  <c r="G4" i="10"/>
  <c r="G5" i="10"/>
  <c r="G6" i="10"/>
  <c r="G7" i="10"/>
  <c r="G8" i="10"/>
  <c r="G9" i="10"/>
  <c r="G10" i="10"/>
  <c r="G11" i="10"/>
  <c r="G2" i="10"/>
  <c r="F3" i="10"/>
  <c r="F4" i="10"/>
  <c r="F5" i="10"/>
  <c r="F6" i="10"/>
  <c r="F7" i="10"/>
  <c r="F8" i="10"/>
  <c r="F9" i="10"/>
  <c r="F10" i="10"/>
  <c r="F11" i="10"/>
  <c r="F2" i="10"/>
  <c r="E3" i="10"/>
  <c r="E4" i="10"/>
  <c r="E5" i="10"/>
  <c r="E6" i="10"/>
  <c r="E7" i="10"/>
  <c r="E8" i="10"/>
  <c r="E9" i="10"/>
  <c r="E10" i="10"/>
  <c r="E11" i="10"/>
  <c r="E2" i="10"/>
  <c r="B340" i="10"/>
  <c r="B342" i="11"/>
  <c r="E12" i="10" l="1"/>
  <c r="G96" i="9" l="1"/>
  <c r="F96" i="9"/>
  <c r="G90" i="9"/>
  <c r="I59" i="9" a="1"/>
  <c r="I59" i="9" s="1"/>
  <c r="J59" i="9" s="1" a="1"/>
  <c r="J59" i="9" s="1"/>
  <c r="J60" i="9" a="1"/>
  <c r="J60" i="9" s="1"/>
  <c r="J61" i="9" a="1"/>
  <c r="J61" i="9"/>
  <c r="J62" i="9" a="1"/>
  <c r="J62" i="9" s="1"/>
  <c r="J63" i="9" a="1"/>
  <c r="J63" i="9"/>
  <c r="J64" i="9" a="1"/>
  <c r="J64" i="9"/>
  <c r="J65" i="9" a="1"/>
  <c r="J65" i="9" s="1"/>
  <c r="J66" i="9" a="1"/>
  <c r="J66" i="9" s="1"/>
  <c r="J67" i="9" a="1"/>
  <c r="J67" i="9" s="1"/>
  <c r="J68" i="9" a="1"/>
  <c r="J68" i="9" s="1"/>
  <c r="J69" i="9" a="1"/>
  <c r="J69" i="9"/>
  <c r="J71" i="9" a="1"/>
  <c r="J71" i="9" s="1"/>
  <c r="J72" i="9" a="1"/>
  <c r="J72" i="9" s="1"/>
  <c r="J73" i="9" a="1"/>
  <c r="J73" i="9"/>
  <c r="J74" i="9" a="1"/>
  <c r="J74" i="9" s="1"/>
  <c r="J76" i="9" a="1"/>
  <c r="J76" i="9" s="1"/>
  <c r="J77" i="9" a="1"/>
  <c r="J77" i="9" s="1"/>
  <c r="J78" i="9" a="1"/>
  <c r="J78" i="9" s="1"/>
  <c r="I61" i="9" a="1"/>
  <c r="I61" i="9"/>
  <c r="I62" i="9" a="1"/>
  <c r="I62" i="9" s="1"/>
  <c r="I63" i="9" a="1"/>
  <c r="I63" i="9"/>
  <c r="I64" i="9" a="1"/>
  <c r="I64" i="9" s="1"/>
  <c r="I65" i="9" a="1"/>
  <c r="I65" i="9"/>
  <c r="I66" i="9" a="1"/>
  <c r="I66" i="9" s="1"/>
  <c r="I67" i="9" a="1"/>
  <c r="I67" i="9" s="1"/>
  <c r="I68" i="9" a="1"/>
  <c r="I68" i="9" s="1"/>
  <c r="I69" i="9" a="1"/>
  <c r="I69" i="9" s="1"/>
  <c r="I71" i="9" a="1"/>
  <c r="I71" i="9" s="1"/>
  <c r="I72" i="9" a="1"/>
  <c r="I72" i="9" s="1"/>
  <c r="I73" i="9" a="1"/>
  <c r="I73" i="9"/>
  <c r="I74" i="9" a="1"/>
  <c r="I74" i="9" s="1"/>
  <c r="I76" i="9" a="1"/>
  <c r="I76" i="9" s="1"/>
  <c r="I77" i="9" a="1"/>
  <c r="I77" i="9" s="1"/>
  <c r="I78" i="9" a="1"/>
  <c r="I78" i="9" s="1"/>
  <c r="G78" i="9"/>
  <c r="H78" i="9" s="1"/>
  <c r="G77" i="9"/>
  <c r="H77" i="9" s="1"/>
  <c r="G76" i="9"/>
  <c r="H76" i="9" s="1"/>
  <c r="G75" i="9"/>
  <c r="H75" i="9" s="1"/>
  <c r="I75" i="9" s="1" a="1"/>
  <c r="I75" i="9" s="1"/>
  <c r="J75" i="9" s="1" a="1"/>
  <c r="J75" i="9" s="1"/>
  <c r="G74" i="9"/>
  <c r="H74" i="9" s="1"/>
  <c r="G73" i="9"/>
  <c r="H73" i="9" s="1"/>
  <c r="G72" i="9"/>
  <c r="H72" i="9" s="1"/>
  <c r="G71" i="9"/>
  <c r="H71" i="9" s="1"/>
  <c r="G70" i="9"/>
  <c r="H70" i="9" s="1"/>
  <c r="I70" i="9" s="1" a="1"/>
  <c r="I70" i="9" s="1"/>
  <c r="J70" i="9" s="1" a="1"/>
  <c r="J70" i="9" s="1"/>
  <c r="G69" i="9"/>
  <c r="H69" i="9" s="1"/>
  <c r="G68" i="9"/>
  <c r="H68" i="9" s="1"/>
  <c r="G67" i="9"/>
  <c r="H67" i="9" s="1"/>
  <c r="G66" i="9"/>
  <c r="H66" i="9" s="1"/>
  <c r="G65" i="9"/>
  <c r="H65" i="9" s="1"/>
  <c r="G64" i="9"/>
  <c r="H64" i="9" s="1"/>
  <c r="G63" i="9"/>
  <c r="H63" i="9" s="1"/>
  <c r="G62" i="9"/>
  <c r="H62" i="9" s="1"/>
  <c r="G61" i="9"/>
  <c r="H61" i="9" s="1"/>
  <c r="G60" i="9"/>
  <c r="H60" i="9" s="1"/>
  <c r="I60" i="9" s="1" a="1"/>
  <c r="I60" i="9" s="1"/>
  <c r="G59" i="9"/>
  <c r="H59" i="9" s="1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3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" i="9"/>
  <c r="G21" i="9"/>
  <c r="H21" i="9" s="1"/>
  <c r="G20" i="9"/>
  <c r="H20" i="9" s="1"/>
  <c r="G19" i="9"/>
  <c r="H19" i="9" s="1"/>
  <c r="H18" i="9"/>
  <c r="G18" i="9"/>
  <c r="G17" i="9"/>
  <c r="H17" i="9" s="1"/>
  <c r="G16" i="9"/>
  <c r="H16" i="9" s="1"/>
  <c r="G15" i="9"/>
  <c r="H15" i="9" s="1"/>
  <c r="G14" i="9"/>
  <c r="H14" i="9" s="1"/>
  <c r="H13" i="9"/>
  <c r="G13" i="9"/>
  <c r="H12" i="9"/>
  <c r="G12" i="9"/>
  <c r="G11" i="9"/>
  <c r="H11" i="9" s="1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G3" i="9"/>
  <c r="H3" i="9" s="1"/>
  <c r="H2" i="9"/>
  <c r="G2" i="9"/>
  <c r="C122" i="7" l="1"/>
  <c r="E119" i="7"/>
  <c r="E120" i="7"/>
  <c r="F117" i="7"/>
  <c r="E117" i="7"/>
  <c r="I45" i="7" l="1"/>
  <c r="F47" i="7"/>
  <c r="F48" i="7"/>
  <c r="F49" i="7"/>
  <c r="F50" i="7"/>
  <c r="F51" i="7"/>
  <c r="F52" i="7"/>
  <c r="F53" i="7"/>
  <c r="F54" i="7"/>
  <c r="F55" i="7"/>
  <c r="F46" i="7"/>
  <c r="E47" i="7"/>
  <c r="E48" i="7"/>
  <c r="E49" i="7"/>
  <c r="E50" i="7"/>
  <c r="E51" i="7"/>
  <c r="E52" i="7"/>
  <c r="E53" i="7"/>
  <c r="E54" i="7"/>
  <c r="E55" i="7"/>
  <c r="E46" i="7"/>
  <c r="H65" i="7"/>
  <c r="H66" i="7"/>
  <c r="H67" i="7"/>
  <c r="H68" i="7"/>
  <c r="H69" i="7"/>
  <c r="H70" i="7"/>
  <c r="H71" i="7"/>
  <c r="H72" i="7"/>
  <c r="H73" i="7"/>
  <c r="H64" i="7"/>
  <c r="G65" i="7"/>
  <c r="G66" i="7"/>
  <c r="G67" i="7"/>
  <c r="G68" i="7"/>
  <c r="G69" i="7"/>
  <c r="G70" i="7"/>
  <c r="G71" i="7"/>
  <c r="G72" i="7"/>
  <c r="G73" i="7"/>
  <c r="G64" i="7"/>
  <c r="F65" i="7"/>
  <c r="F66" i="7"/>
  <c r="F67" i="7"/>
  <c r="F68" i="7"/>
  <c r="F69" i="7"/>
  <c r="F70" i="7"/>
  <c r="F71" i="7"/>
  <c r="F72" i="7"/>
  <c r="F73" i="7"/>
  <c r="F64" i="7"/>
  <c r="E65" i="7"/>
  <c r="E66" i="7"/>
  <c r="E67" i="7"/>
  <c r="E68" i="7"/>
  <c r="E69" i="7"/>
  <c r="E70" i="7"/>
  <c r="E71" i="7"/>
  <c r="E72" i="7"/>
  <c r="E73" i="7"/>
  <c r="E64" i="7"/>
  <c r="I26" i="7"/>
  <c r="I27" i="7"/>
  <c r="I28" i="7"/>
  <c r="I29" i="7"/>
  <c r="I30" i="7"/>
  <c r="I31" i="7"/>
  <c r="I32" i="7"/>
  <c r="I33" i="7"/>
  <c r="I34" i="7"/>
  <c r="I25" i="7"/>
  <c r="H26" i="7"/>
  <c r="H27" i="7"/>
  <c r="H28" i="7"/>
  <c r="H29" i="7"/>
  <c r="H30" i="7"/>
  <c r="H31" i="7"/>
  <c r="H32" i="7"/>
  <c r="H33" i="7"/>
  <c r="H34" i="7"/>
  <c r="H25" i="7"/>
  <c r="G26" i="7"/>
  <c r="G27" i="7"/>
  <c r="G28" i="7"/>
  <c r="G29" i="7"/>
  <c r="G30" i="7"/>
  <c r="G31" i="7"/>
  <c r="G32" i="7"/>
  <c r="G33" i="7"/>
  <c r="G34" i="7"/>
  <c r="G25" i="7"/>
  <c r="F26" i="7"/>
  <c r="F27" i="7"/>
  <c r="F28" i="7"/>
  <c r="F29" i="7"/>
  <c r="F30" i="7"/>
  <c r="F31" i="7"/>
  <c r="F32" i="7"/>
  <c r="F33" i="7"/>
  <c r="F34" i="7"/>
  <c r="F25" i="7"/>
  <c r="E26" i="7"/>
  <c r="E27" i="7"/>
  <c r="E28" i="7"/>
  <c r="E29" i="7"/>
  <c r="E30" i="7"/>
  <c r="E31" i="7"/>
  <c r="E32" i="7"/>
  <c r="E33" i="7"/>
  <c r="E34" i="7"/>
  <c r="E25" i="7"/>
  <c r="D26" i="7"/>
  <c r="D27" i="7"/>
  <c r="D28" i="7"/>
  <c r="D29" i="7"/>
  <c r="D30" i="7"/>
  <c r="D31" i="7"/>
  <c r="D32" i="7"/>
  <c r="D33" i="7"/>
  <c r="D34" i="7"/>
  <c r="D25" i="7"/>
  <c r="F86" i="7"/>
  <c r="F87" i="7"/>
  <c r="F88" i="7"/>
  <c r="F89" i="7"/>
  <c r="F90" i="7"/>
  <c r="F91" i="7"/>
  <c r="F92" i="7"/>
  <c r="F93" i="7"/>
  <c r="F94" i="7"/>
  <c r="F85" i="7"/>
  <c r="E86" i="7"/>
  <c r="E87" i="7"/>
  <c r="E88" i="7"/>
  <c r="E89" i="7"/>
  <c r="E90" i="7"/>
  <c r="E91" i="7"/>
  <c r="E92" i="7"/>
  <c r="E93" i="7"/>
  <c r="E94" i="7"/>
  <c r="E85" i="7"/>
  <c r="D86" i="7"/>
  <c r="D87" i="7"/>
  <c r="D88" i="7"/>
  <c r="D89" i="7"/>
  <c r="D90" i="7"/>
  <c r="D91" i="7"/>
  <c r="D92" i="7"/>
  <c r="D93" i="7"/>
  <c r="D94" i="7"/>
  <c r="D85" i="7"/>
  <c r="C86" i="7"/>
  <c r="C87" i="7"/>
  <c r="C88" i="7"/>
  <c r="C89" i="7"/>
  <c r="C90" i="7"/>
  <c r="C91" i="7"/>
  <c r="C92" i="7"/>
  <c r="C93" i="7"/>
  <c r="C94" i="7"/>
  <c r="C85" i="7"/>
  <c r="G7" i="7"/>
  <c r="G8" i="7"/>
  <c r="G9" i="7"/>
  <c r="G10" i="7"/>
  <c r="G11" i="7"/>
  <c r="G12" i="7"/>
  <c r="G13" i="7"/>
  <c r="G14" i="7"/>
  <c r="G15" i="7"/>
  <c r="G6" i="7"/>
  <c r="F7" i="7"/>
  <c r="F8" i="7"/>
  <c r="F9" i="7"/>
  <c r="F10" i="7"/>
  <c r="F11" i="7"/>
  <c r="F12" i="7"/>
  <c r="F13" i="7"/>
  <c r="F14" i="7"/>
  <c r="F15" i="7"/>
  <c r="F6" i="7"/>
  <c r="E7" i="7"/>
  <c r="E8" i="7"/>
  <c r="E9" i="7"/>
  <c r="E10" i="7"/>
  <c r="E11" i="7"/>
  <c r="E12" i="7"/>
  <c r="E13" i="7"/>
  <c r="E14" i="7"/>
  <c r="E15" i="7"/>
  <c r="E6" i="7"/>
  <c r="D7" i="7"/>
  <c r="D8" i="7"/>
  <c r="D9" i="7"/>
  <c r="D10" i="7"/>
  <c r="D11" i="7"/>
  <c r="D12" i="7"/>
  <c r="D13" i="7"/>
  <c r="D14" i="7"/>
  <c r="D15" i="7"/>
  <c r="D6" i="7"/>
  <c r="C7" i="7"/>
  <c r="C8" i="7"/>
  <c r="C9" i="7"/>
  <c r="C10" i="7"/>
  <c r="C11" i="7"/>
  <c r="C12" i="7"/>
  <c r="C13" i="7"/>
  <c r="C14" i="7"/>
  <c r="C15" i="7"/>
  <c r="C6" i="7"/>
  <c r="H2" i="7"/>
  <c r="C2" i="7"/>
  <c r="E72" i="6" l="1"/>
  <c r="D72" i="6"/>
  <c r="C72" i="6"/>
  <c r="J57" i="6"/>
  <c r="J58" i="6"/>
  <c r="J59" i="6"/>
  <c r="J60" i="6"/>
  <c r="J61" i="6"/>
  <c r="J62" i="6"/>
  <c r="J56" i="6"/>
  <c r="I57" i="6"/>
  <c r="I58" i="6"/>
  <c r="I59" i="6"/>
  <c r="I60" i="6"/>
  <c r="I61" i="6"/>
  <c r="I62" i="6"/>
  <c r="I56" i="6"/>
  <c r="H57" i="6"/>
  <c r="H58" i="6"/>
  <c r="H59" i="6"/>
  <c r="H60" i="6"/>
  <c r="H61" i="6"/>
  <c r="H62" i="6"/>
  <c r="H56" i="6"/>
  <c r="E57" i="6"/>
  <c r="E58" i="6"/>
  <c r="E59" i="6"/>
  <c r="E60" i="6"/>
  <c r="E61" i="6"/>
  <c r="E62" i="6"/>
  <c r="E56" i="6"/>
  <c r="B57" i="6"/>
  <c r="B58" i="6"/>
  <c r="B59" i="6"/>
  <c r="B60" i="6"/>
  <c r="B61" i="6"/>
  <c r="B62" i="6"/>
  <c r="B56" i="6"/>
  <c r="F44" i="6"/>
  <c r="F45" i="6"/>
  <c r="F43" i="6"/>
  <c r="E45" i="6"/>
  <c r="E44" i="6"/>
  <c r="E43" i="6"/>
  <c r="D44" i="6"/>
  <c r="D45" i="6"/>
  <c r="D43" i="6"/>
  <c r="A23" i="6" a="1"/>
  <c r="A23" i="6" s="1"/>
  <c r="A12" i="6"/>
  <c r="B12" i="6"/>
  <c r="C12" i="6"/>
  <c r="A13" i="6"/>
  <c r="B13" i="6"/>
  <c r="C13" i="6"/>
  <c r="A14" i="6"/>
  <c r="B14" i="6"/>
  <c r="C14" i="6"/>
  <c r="A15" i="6"/>
  <c r="B15" i="6"/>
  <c r="C15" i="6"/>
  <c r="A16" i="6"/>
  <c r="B16" i="6"/>
  <c r="C16" i="6"/>
  <c r="A17" i="6"/>
  <c r="B17" i="6"/>
  <c r="C17" i="6"/>
  <c r="A18" i="6"/>
  <c r="B18" i="6"/>
  <c r="C18" i="6"/>
  <c r="B11" i="6"/>
  <c r="C11" i="6"/>
  <c r="A11" i="6"/>
  <c r="A2" i="6"/>
  <c r="B2" i="6"/>
  <c r="C2" i="6"/>
  <c r="A3" i="6"/>
  <c r="B3" i="6"/>
  <c r="C3" i="6"/>
  <c r="A4" i="6"/>
  <c r="B4" i="6"/>
  <c r="C4" i="6"/>
  <c r="A5" i="6"/>
  <c r="B5" i="6"/>
  <c r="C5" i="6"/>
  <c r="A6" i="6"/>
  <c r="B6" i="6"/>
  <c r="C6" i="6"/>
  <c r="A7" i="6"/>
  <c r="B7" i="6"/>
  <c r="C7" i="6"/>
  <c r="C150" i="3"/>
  <c r="C145" i="3"/>
  <c r="D63" i="3"/>
  <c r="D64" i="3"/>
  <c r="D65" i="3"/>
  <c r="D66" i="3"/>
  <c r="D67" i="3"/>
  <c r="D68" i="3"/>
  <c r="D69" i="3"/>
  <c r="D70" i="3"/>
  <c r="D71" i="3"/>
  <c r="D62" i="3"/>
  <c r="C63" i="3"/>
  <c r="C64" i="3"/>
  <c r="C65" i="3"/>
  <c r="C66" i="3"/>
  <c r="C67" i="3"/>
  <c r="C68" i="3"/>
  <c r="C69" i="3"/>
  <c r="C70" i="3"/>
  <c r="C71" i="3"/>
  <c r="C62" i="3"/>
  <c r="C128" i="3"/>
  <c r="C129" i="3"/>
  <c r="C130" i="3"/>
  <c r="C131" i="3"/>
  <c r="C132" i="3"/>
  <c r="C133" i="3"/>
  <c r="C134" i="3"/>
  <c r="C135" i="3"/>
  <c r="C136" i="3"/>
  <c r="C127" i="3"/>
  <c r="I128" i="3"/>
  <c r="I129" i="3"/>
  <c r="I130" i="3"/>
  <c r="I131" i="3"/>
  <c r="I132" i="3"/>
  <c r="I133" i="3"/>
  <c r="I134" i="3"/>
  <c r="I135" i="3"/>
  <c r="I136" i="3"/>
  <c r="I127" i="3"/>
  <c r="F176" i="2" l="1"/>
  <c r="F157" i="2"/>
  <c r="F159" i="2"/>
  <c r="F160" i="2"/>
  <c r="F161" i="2"/>
  <c r="F162" i="2"/>
  <c r="F163" i="2"/>
  <c r="F164" i="2"/>
  <c r="F104" i="2"/>
  <c r="F105" i="2" a="1"/>
  <c r="F105" i="2" s="1"/>
  <c r="F106" i="2"/>
  <c r="F107" i="2"/>
  <c r="F108" i="2"/>
  <c r="F109" i="2"/>
  <c r="F111" i="2" a="1"/>
  <c r="F111" i="2" s="1"/>
  <c r="F112" i="2"/>
  <c r="F113" i="2"/>
  <c r="F114" i="2"/>
  <c r="F115" i="2"/>
  <c r="F116" i="2"/>
  <c r="F117" i="2"/>
  <c r="F118" i="2"/>
  <c r="F119" i="2"/>
  <c r="F120" i="2"/>
  <c r="F121" i="2"/>
  <c r="F122" i="2"/>
  <c r="F40" i="2"/>
  <c r="F41" i="2"/>
  <c r="F42" i="2"/>
  <c r="F43" i="2"/>
  <c r="F45" i="2"/>
  <c r="F46" i="2"/>
  <c r="F47" i="2"/>
  <c r="F48" i="2"/>
  <c r="F49" i="2"/>
  <c r="F57" i="2"/>
  <c r="F58" i="2"/>
  <c r="F59" i="2" a="1"/>
  <c r="F59" i="2" s="1"/>
  <c r="G128" i="3"/>
  <c r="G129" i="3"/>
  <c r="G130" i="3"/>
  <c r="G131" i="3"/>
  <c r="G132" i="3"/>
  <c r="G133" i="3"/>
  <c r="G134" i="3"/>
  <c r="G135" i="3"/>
  <c r="G136" i="3"/>
  <c r="G127" i="3"/>
  <c r="L128" i="3"/>
  <c r="L129" i="3"/>
  <c r="L130" i="3"/>
  <c r="L131" i="3"/>
  <c r="L132" i="3"/>
  <c r="L133" i="3"/>
  <c r="L134" i="3"/>
  <c r="L135" i="3"/>
  <c r="L136" i="3"/>
  <c r="L127" i="3"/>
  <c r="F128" i="3"/>
  <c r="F129" i="3"/>
  <c r="F130" i="3"/>
  <c r="F131" i="3"/>
  <c r="F132" i="3"/>
  <c r="F133" i="3"/>
  <c r="F134" i="3"/>
  <c r="F135" i="3"/>
  <c r="F136" i="3"/>
  <c r="F127" i="3"/>
  <c r="Y103" i="3"/>
  <c r="Y104" i="3"/>
  <c r="Y105" i="3"/>
  <c r="Y106" i="3"/>
  <c r="Y107" i="3"/>
  <c r="Y108" i="3"/>
  <c r="Y109" i="3"/>
  <c r="Y110" i="3"/>
  <c r="Y111" i="3"/>
  <c r="Y102" i="3"/>
  <c r="X103" i="3"/>
  <c r="X104" i="3"/>
  <c r="X105" i="3"/>
  <c r="X106" i="3"/>
  <c r="X107" i="3"/>
  <c r="X108" i="3"/>
  <c r="X109" i="3"/>
  <c r="X110" i="3"/>
  <c r="X111" i="3"/>
  <c r="X102" i="3"/>
  <c r="K103" i="3" a="1"/>
  <c r="K103" i="3" s="1"/>
  <c r="K104" i="3" a="1"/>
  <c r="K104" i="3" s="1"/>
  <c r="K105" i="3" a="1"/>
  <c r="K105" i="3" s="1"/>
  <c r="K106" i="3" a="1"/>
  <c r="K106" i="3" s="1"/>
  <c r="K107" i="3" a="1"/>
  <c r="K107" i="3" s="1"/>
  <c r="K108" i="3" a="1"/>
  <c r="K108" i="3" s="1"/>
  <c r="K109" i="3" a="1"/>
  <c r="K109" i="3" s="1"/>
  <c r="K110" i="3" a="1"/>
  <c r="K110" i="3" s="1"/>
  <c r="K111" i="3" a="1"/>
  <c r="K111" i="3" s="1"/>
  <c r="K102" i="3" a="1"/>
  <c r="K102" i="3" s="1"/>
  <c r="U103" i="3"/>
  <c r="U104" i="3"/>
  <c r="U105" i="3"/>
  <c r="U106" i="3"/>
  <c r="U107" i="3"/>
  <c r="U108" i="3"/>
  <c r="U109" i="3"/>
  <c r="U110" i="3"/>
  <c r="U111" i="3"/>
  <c r="U102" i="3"/>
  <c r="D103" i="3"/>
  <c r="D104" i="3"/>
  <c r="D105" i="3"/>
  <c r="D106" i="3"/>
  <c r="D107" i="3"/>
  <c r="D108" i="3"/>
  <c r="D109" i="3"/>
  <c r="D110" i="3"/>
  <c r="D111" i="3"/>
  <c r="D102" i="3"/>
  <c r="T103" i="3"/>
  <c r="T104" i="3"/>
  <c r="T105" i="3"/>
  <c r="T106" i="3"/>
  <c r="T107" i="3"/>
  <c r="T108" i="3"/>
  <c r="T109" i="3"/>
  <c r="T110" i="3"/>
  <c r="T111" i="3"/>
  <c r="T102" i="3"/>
  <c r="P103" i="3"/>
  <c r="P104" i="3"/>
  <c r="P105" i="3"/>
  <c r="P106" i="3"/>
  <c r="P107" i="3"/>
  <c r="P108" i="3"/>
  <c r="P109" i="3"/>
  <c r="P110" i="3"/>
  <c r="P111" i="3"/>
  <c r="P102" i="3"/>
  <c r="I83" i="3"/>
  <c r="I84" i="3"/>
  <c r="I85" i="3"/>
  <c r="I86" i="3"/>
  <c r="I87" i="3"/>
  <c r="I88" i="3"/>
  <c r="I89" i="3"/>
  <c r="I90" i="3"/>
  <c r="I91" i="3"/>
  <c r="I82" i="3"/>
  <c r="F83" i="3"/>
  <c r="F84" i="3"/>
  <c r="F85" i="3"/>
  <c r="F86" i="3"/>
  <c r="F87" i="3"/>
  <c r="F88" i="3"/>
  <c r="F89" i="3"/>
  <c r="F90" i="3"/>
  <c r="F91" i="3"/>
  <c r="F82" i="3"/>
  <c r="C83" i="3"/>
  <c r="C84" i="3"/>
  <c r="C85" i="3"/>
  <c r="C86" i="3"/>
  <c r="C87" i="3"/>
  <c r="C88" i="3"/>
  <c r="C89" i="3"/>
  <c r="C90" i="3"/>
  <c r="C91" i="3"/>
  <c r="C82" i="3"/>
  <c r="C42" i="3"/>
  <c r="C43" i="3"/>
  <c r="C44" i="3"/>
  <c r="C45" i="3"/>
  <c r="C46" i="3"/>
  <c r="C47" i="3"/>
  <c r="C48" i="3"/>
  <c r="C49" i="3"/>
  <c r="C50" i="3"/>
  <c r="C41" i="3"/>
  <c r="C21" i="3"/>
  <c r="C22" i="3"/>
  <c r="C23" i="3"/>
  <c r="C24" i="3"/>
  <c r="C25" i="3"/>
  <c r="C26" i="3"/>
  <c r="C27" i="3"/>
  <c r="C28" i="3"/>
  <c r="C29" i="3"/>
  <c r="C20" i="3"/>
  <c r="I4" i="3"/>
  <c r="I5" i="3"/>
  <c r="I6" i="3"/>
  <c r="I7" i="3"/>
  <c r="I8" i="3"/>
  <c r="I9" i="3"/>
  <c r="I10" i="3"/>
  <c r="I11" i="3"/>
  <c r="I12" i="3"/>
  <c r="I3" i="3"/>
  <c r="F4" i="3"/>
  <c r="F5" i="3"/>
  <c r="F6" i="3"/>
  <c r="F7" i="3"/>
  <c r="F8" i="3"/>
  <c r="F9" i="3"/>
  <c r="F10" i="3"/>
  <c r="F11" i="3"/>
  <c r="F12" i="3"/>
  <c r="F3" i="3"/>
  <c r="C4" i="3"/>
  <c r="C5" i="3"/>
  <c r="C6" i="3"/>
  <c r="C7" i="3"/>
  <c r="C8" i="3"/>
  <c r="C9" i="3"/>
  <c r="C10" i="3"/>
  <c r="C11" i="3"/>
  <c r="C12" i="3"/>
  <c r="C3" i="3"/>
  <c r="H109" i="5"/>
  <c r="I109" i="5" s="1"/>
  <c r="H108" i="5"/>
  <c r="I108" i="5" s="1"/>
  <c r="I107" i="5"/>
  <c r="H107" i="5"/>
  <c r="H106" i="5"/>
  <c r="I106" i="5" s="1"/>
  <c r="H105" i="5"/>
  <c r="I105" i="5" s="1"/>
  <c r="H104" i="5"/>
  <c r="I104" i="5" s="1"/>
  <c r="H103" i="5"/>
  <c r="I103" i="5" s="1"/>
  <c r="I102" i="5"/>
  <c r="H102" i="5"/>
  <c r="I101" i="5"/>
  <c r="H101" i="5"/>
  <c r="I100" i="5"/>
  <c r="H100" i="5"/>
  <c r="I99" i="5"/>
  <c r="H99" i="5"/>
  <c r="H98" i="5"/>
  <c r="I98" i="5" s="1"/>
  <c r="H97" i="5"/>
  <c r="I97" i="5" s="1"/>
  <c r="H96" i="5"/>
  <c r="I96" i="5" s="1"/>
  <c r="H95" i="5"/>
  <c r="I95" i="5" s="1"/>
  <c r="H75" i="5"/>
  <c r="G75" i="5"/>
  <c r="H74" i="5"/>
  <c r="G74" i="5"/>
  <c r="G73" i="5"/>
  <c r="G72" i="5"/>
  <c r="H71" i="5"/>
  <c r="G71" i="5"/>
  <c r="H70" i="5"/>
  <c r="G70" i="5"/>
  <c r="G69" i="5"/>
  <c r="G68" i="5"/>
  <c r="H67" i="5"/>
  <c r="G67" i="5"/>
  <c r="H66" i="5"/>
  <c r="G66" i="5"/>
  <c r="G65" i="5"/>
  <c r="G64" i="5"/>
  <c r="H63" i="5"/>
  <c r="G63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I12" i="4"/>
  <c r="I11" i="4"/>
  <c r="I10" i="4"/>
  <c r="I9" i="4"/>
  <c r="I8" i="4"/>
  <c r="I7" i="4"/>
  <c r="I6" i="4"/>
  <c r="I5" i="4"/>
  <c r="I4" i="4"/>
  <c r="I3" i="4"/>
  <c r="F12" i="2"/>
  <c r="F13" i="2"/>
  <c r="F16" i="2"/>
  <c r="F17" i="2"/>
  <c r="F20" i="2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95" i="1"/>
  <c r="H109" i="1"/>
  <c r="H108" i="1"/>
  <c r="I108" i="1" s="1"/>
  <c r="H107" i="1"/>
  <c r="H106" i="1"/>
  <c r="I106" i="1" s="1"/>
  <c r="H105" i="1"/>
  <c r="I105" i="1" s="1"/>
  <c r="H104" i="1"/>
  <c r="H103" i="1"/>
  <c r="H102" i="1"/>
  <c r="I102" i="1" s="1"/>
  <c r="H101" i="1"/>
  <c r="H100" i="1"/>
  <c r="H99" i="1"/>
  <c r="H98" i="1"/>
  <c r="H97" i="1"/>
  <c r="H96" i="1"/>
  <c r="H95" i="1"/>
  <c r="I64" i="1"/>
  <c r="J64" i="1"/>
  <c r="K64" i="1"/>
  <c r="L64" i="1"/>
  <c r="I65" i="1"/>
  <c r="J65" i="1"/>
  <c r="K65" i="1"/>
  <c r="L65" i="1"/>
  <c r="I66" i="1"/>
  <c r="J66" i="1"/>
  <c r="K66" i="1"/>
  <c r="L66" i="1"/>
  <c r="I67" i="1"/>
  <c r="J67" i="1"/>
  <c r="K67" i="1"/>
  <c r="L67" i="1"/>
  <c r="I68" i="1"/>
  <c r="J68" i="1"/>
  <c r="K68" i="1"/>
  <c r="L68" i="1"/>
  <c r="I69" i="1"/>
  <c r="J69" i="1"/>
  <c r="K69" i="1"/>
  <c r="L69" i="1"/>
  <c r="I70" i="1"/>
  <c r="J70" i="1"/>
  <c r="K70" i="1"/>
  <c r="L70" i="1"/>
  <c r="I71" i="1"/>
  <c r="J71" i="1"/>
  <c r="K71" i="1"/>
  <c r="L71" i="1"/>
  <c r="I72" i="1"/>
  <c r="J72" i="1"/>
  <c r="K72" i="1"/>
  <c r="L72" i="1"/>
  <c r="I73" i="1"/>
  <c r="J73" i="1"/>
  <c r="K73" i="1"/>
  <c r="L73" i="1"/>
  <c r="I74" i="1"/>
  <c r="J74" i="1"/>
  <c r="K74" i="1"/>
  <c r="L74" i="1"/>
  <c r="I75" i="1"/>
  <c r="J75" i="1"/>
  <c r="K75" i="1"/>
  <c r="L75" i="1"/>
  <c r="J63" i="1"/>
  <c r="K63" i="1"/>
  <c r="L63" i="1"/>
  <c r="I63" i="1"/>
  <c r="H64" i="1"/>
  <c r="H65" i="1"/>
  <c r="H66" i="1"/>
  <c r="H67" i="1"/>
  <c r="H68" i="1"/>
  <c r="H69" i="1"/>
  <c r="H70" i="1"/>
  <c r="H71" i="1"/>
  <c r="H72" i="1"/>
  <c r="H73" i="1"/>
  <c r="H74" i="1"/>
  <c r="H75" i="1"/>
  <c r="H63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3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J100" i="5" l="1"/>
  <c r="J98" i="5"/>
  <c r="J101" i="5"/>
  <c r="J95" i="5"/>
  <c r="J102" i="5"/>
  <c r="J97" i="5"/>
  <c r="J103" i="5"/>
  <c r="J104" i="5"/>
  <c r="J105" i="5"/>
  <c r="J106" i="5"/>
  <c r="J96" i="5"/>
  <c r="J99" i="5"/>
  <c r="J107" i="5"/>
  <c r="J108" i="5"/>
  <c r="J109" i="5"/>
  <c r="H64" i="5"/>
  <c r="H65" i="5"/>
  <c r="H69" i="5"/>
  <c r="H73" i="5"/>
  <c r="H68" i="5"/>
  <c r="H72" i="5"/>
  <c r="I103" i="1"/>
  <c r="I104" i="1"/>
  <c r="I97" i="1"/>
  <c r="I98" i="1"/>
  <c r="I107" i="1"/>
  <c r="I100" i="1"/>
  <c r="I101" i="1"/>
  <c r="I109" i="1"/>
  <c r="I95" i="1"/>
  <c r="I96" i="1"/>
  <c r="I9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<sst xmlns="http://schemas.openxmlformats.org/spreadsheetml/2006/main" count="7115" uniqueCount="1283">
  <si>
    <t>S no</t>
  </si>
  <si>
    <t>Names</t>
  </si>
  <si>
    <t>Hindi</t>
  </si>
  <si>
    <t>English</t>
  </si>
  <si>
    <t>Maths</t>
  </si>
  <si>
    <t>Science</t>
  </si>
  <si>
    <t>Total</t>
  </si>
  <si>
    <t>Aarav Sharma</t>
  </si>
  <si>
    <t>Riya Verma</t>
  </si>
  <si>
    <t>Vivaan Mehta</t>
  </si>
  <si>
    <t>Ananya Iyer</t>
  </si>
  <si>
    <t>Karan Patel</t>
  </si>
  <si>
    <t>Sanya Malhotra</t>
  </si>
  <si>
    <t>Rahul Nair</t>
  </si>
  <si>
    <t>Pooja Deshmukh</t>
  </si>
  <si>
    <t>Aditya Reddy</t>
  </si>
  <si>
    <t>Meera Kapoor</t>
  </si>
  <si>
    <t>Rohan Bansal</t>
  </si>
  <si>
    <t>Ishita Choudhary</t>
  </si>
  <si>
    <t>Arjun Bhardwaj</t>
  </si>
  <si>
    <t>Neha Joshi</t>
  </si>
  <si>
    <t>Kabir Saxena</t>
  </si>
  <si>
    <t>Total Marks</t>
  </si>
  <si>
    <t>%</t>
  </si>
  <si>
    <t>Hindi %</t>
  </si>
  <si>
    <t>English %</t>
  </si>
  <si>
    <t>Maths %</t>
  </si>
  <si>
    <t>Science %</t>
  </si>
  <si>
    <t>Rank</t>
  </si>
  <si>
    <t>S No</t>
  </si>
  <si>
    <t>Formula</t>
  </si>
  <si>
    <t>Syntax</t>
  </si>
  <si>
    <t>Meaning (Hinglish)</t>
  </si>
  <si>
    <t>Usage</t>
  </si>
  <si>
    <t>Example</t>
  </si>
  <si>
    <t>LEFT</t>
  </si>
  <si>
    <t>Left side se characters nikaalta hai</t>
  </si>
  <si>
    <t>Starting letters extract karne ke liye</t>
  </si>
  <si>
    <t>=LEFT("Tannu",3) → Tan</t>
  </si>
  <si>
    <t>RIGHT</t>
  </si>
  <si>
    <t>Right side se characters nikaalta hai</t>
  </si>
  <si>
    <t>Ending extract karne ke liye</t>
  </si>
  <si>
    <t>=RIGHT("Tannu",2) → nu</t>
  </si>
  <si>
    <t>MID</t>
  </si>
  <si>
    <t>Beech ka text nikaalta hai</t>
  </si>
  <si>
    <t>Specific position ka text</t>
  </si>
  <si>
    <t>=MID("Excel",2,3) → xce</t>
  </si>
  <si>
    <t>LEN</t>
  </si>
  <si>
    <t>Total characters count karta hai</t>
  </si>
  <si>
    <t>Length check karne ke liye</t>
  </si>
  <si>
    <t>=LEN("Hello") → 5</t>
  </si>
  <si>
    <t>TRIM</t>
  </si>
  <si>
    <t>Extra spaces hata deta hai</t>
  </si>
  <si>
    <t>Clean data ke liye</t>
  </si>
  <si>
    <t>=TRIM(" Hello ") → Hello</t>
  </si>
  <si>
    <t>UPPER</t>
  </si>
  <si>
    <t>Sabko capital bana deta hai</t>
  </si>
  <si>
    <t>Standard format</t>
  </si>
  <si>
    <t>=UPPER("excel") → EXCEL</t>
  </si>
  <si>
    <t>LOWER</t>
  </si>
  <si>
    <t>Sabko small letters me convert karta hai</t>
  </si>
  <si>
    <t>Email cleaning</t>
  </si>
  <si>
    <t>=LOWER("EXCEL") → excel</t>
  </si>
  <si>
    <t>PROPER</t>
  </si>
  <si>
    <t>Har word ka first letter capital</t>
  </si>
  <si>
    <t>Name formatting</t>
  </si>
  <si>
    <t>=PROPER("tannu singhal") → Tannu Singhal</t>
  </si>
  <si>
    <t>CONCAT</t>
  </si>
  <si>
    <t>Multiple text join karta hai</t>
  </si>
  <si>
    <t>Data combine</t>
  </si>
  <si>
    <t>=CONCAT("A","B") → AB</t>
  </si>
  <si>
    <t>CONCATENATE</t>
  </si>
  <si>
    <t>Same as CONCAT (old version)</t>
  </si>
  <si>
    <t>Combine text</t>
  </si>
  <si>
    <t>TEXTJOIN</t>
  </si>
  <si>
    <t>Join karta hai with separator</t>
  </si>
  <si>
    <t>Advanced joining</t>
  </si>
  <si>
    <t>FIND</t>
  </si>
  <si>
    <t>Case-sensitive search karta hai</t>
  </si>
  <si>
    <t>Position find karna</t>
  </si>
  <si>
    <t>=FIND("a","Tannu") → 2</t>
  </si>
  <si>
    <t>SEARCH</t>
  </si>
  <si>
    <t>Case-insensitive search</t>
  </si>
  <si>
    <t>Flexible search</t>
  </si>
  <si>
    <t>=SEARCH("A","tannu") → 2</t>
  </si>
  <si>
    <t>REPLACE</t>
  </si>
  <si>
    <t>Text replace karta hai position se</t>
  </si>
  <si>
    <t>Data correction</t>
  </si>
  <si>
    <t>SUBSTITUTE</t>
  </si>
  <si>
    <t>Specific text replace karta hai</t>
  </si>
  <si>
    <t>Word replace</t>
  </si>
  <si>
    <t>VALUE</t>
  </si>
  <si>
    <t>Text ko number me convert karta hai</t>
  </si>
  <si>
    <t>Numeric conversion</t>
  </si>
  <si>
    <t>=VALUE("123") → 123</t>
  </si>
  <si>
    <t>TEXT</t>
  </si>
  <si>
    <t>Number ko text format me convert</t>
  </si>
  <si>
    <t>Formatting</t>
  </si>
  <si>
    <t>=TEXT(100,"₹0") → ₹100</t>
  </si>
  <si>
    <t>CLEAN</t>
  </si>
  <si>
    <t>Non-printable characters remove karta hai</t>
  </si>
  <si>
    <t>Imported data cleaning</t>
  </si>
  <si>
    <t>CHAR</t>
  </si>
  <si>
    <t>ASCII code se character return</t>
  </si>
  <si>
    <t>Special characters</t>
  </si>
  <si>
    <t>=CHAR(65) → A</t>
  </si>
  <si>
    <t>REPT</t>
  </si>
  <si>
    <t>Text repeat karta hai</t>
  </si>
  <si>
    <t>Pattern banana</t>
  </si>
  <si>
    <t>=REPT("*",5) → *****</t>
  </si>
  <si>
    <t>LEFT(TEXT, num_chars)</t>
  </si>
  <si>
    <t>RIGHT(TEXT, num_chars)</t>
  </si>
  <si>
    <t>MID(TEXT, num_chars)</t>
  </si>
  <si>
    <t>LEN(TEXT, num_chars)</t>
  </si>
  <si>
    <t>TRIM(TEXT, num_chars)</t>
  </si>
  <si>
    <t>UPPER(TEXT, num_chars)</t>
  </si>
  <si>
    <t>LOWER(TEXT, num_chars)</t>
  </si>
  <si>
    <t>PROPER(TEXT, num_chars)</t>
  </si>
  <si>
    <t>CONCAT(TEXT, num_chars)</t>
  </si>
  <si>
    <t>CONCATENATE(TEXT, num_chars)</t>
  </si>
  <si>
    <t>TEXTJOIN(TEXT, num_chars)</t>
  </si>
  <si>
    <t>FIND(TEXT, num_chars)</t>
  </si>
  <si>
    <t>SEARCH(TEXT, num_chars)</t>
  </si>
  <si>
    <t>REPLACE(TEXT, num_chars)</t>
  </si>
  <si>
    <t>SUBSTITUTE(TEXT, num_chars)</t>
  </si>
  <si>
    <t>VALUE(TEXT, num_chars)</t>
  </si>
  <si>
    <t>TEXT(TEXT, num_chars)</t>
  </si>
  <si>
    <t>CLEAN(TEXT, num_chars)</t>
  </si>
  <si>
    <t>CHAR(TEXT, num_chars)</t>
  </si>
  <si>
    <t>REPT(TEXT, num_chars)</t>
  </si>
  <si>
    <t>Left</t>
  </si>
  <si>
    <t>Prefix</t>
  </si>
  <si>
    <t>Mr. Aarav Sharma</t>
  </si>
  <si>
    <t>Mr. Rohan Iyer</t>
  </si>
  <si>
    <t>Mr. Aditya Mehta</t>
  </si>
  <si>
    <t>Mr. Vikram Malhotra</t>
  </si>
  <si>
    <t>Mr. Rajat Bansal</t>
  </si>
  <si>
    <t>Mr. Suresh Reddy</t>
  </si>
  <si>
    <t>Mr. Arjun Thakur</t>
  </si>
  <si>
    <t>Mr. Kunal Saxena</t>
  </si>
  <si>
    <t>Mr. Siddharth Rao</t>
  </si>
  <si>
    <t>Ms. Manisha Tripathi</t>
  </si>
  <si>
    <t>Right</t>
  </si>
  <si>
    <t>ID</t>
  </si>
  <si>
    <t>Suffix</t>
  </si>
  <si>
    <t>AXP-5678-MNO</t>
  </si>
  <si>
    <t>BTR-8492-KLM</t>
  </si>
  <si>
    <t>CQS-2345-XYZ</t>
  </si>
  <si>
    <t>DYN-6789-PQR</t>
  </si>
  <si>
    <t>EJM-4532-ABC</t>
  </si>
  <si>
    <t>FVK-9102-DEF</t>
  </si>
  <si>
    <t>GWL-3217-GHI</t>
  </si>
  <si>
    <t>HZS-7654-JKL</t>
  </si>
  <si>
    <t>JQP-1876-STU</t>
  </si>
  <si>
    <t>KRM-5923-VWX</t>
  </si>
  <si>
    <t>Mid</t>
  </si>
  <si>
    <t xml:space="preserve">Length </t>
  </si>
  <si>
    <t>CQS-235-XYZ</t>
  </si>
  <si>
    <t>DYN-679-   PQR</t>
  </si>
  <si>
    <t>Trim</t>
  </si>
  <si>
    <t>Mr. Aarav         Sharma</t>
  </si>
  <si>
    <t>Mr. Rohan         Iyer</t>
  </si>
  <si>
    <t>Mr.           Aditya Mehta</t>
  </si>
  <si>
    <t>Mr.          Rajat Bansal</t>
  </si>
  <si>
    <t>Mr.        Suresh Reddy</t>
  </si>
  <si>
    <t>Mr. Arjun          Thakur</t>
  </si>
  <si>
    <t>Mr. Kunal         Saxena</t>
  </si>
  <si>
    <t xml:space="preserve">             Mr. Manish Tripathi</t>
  </si>
  <si>
    <t>Text</t>
  </si>
  <si>
    <t>Birth dates</t>
  </si>
  <si>
    <t>Days</t>
  </si>
  <si>
    <t>14-06-1996</t>
  </si>
  <si>
    <t>23-09-1998</t>
  </si>
  <si>
    <t>18-04-1995</t>
  </si>
  <si>
    <t>30-07-2003</t>
  </si>
  <si>
    <t>25-05-1999</t>
  </si>
  <si>
    <t>19-08-2004</t>
  </si>
  <si>
    <t>Lower</t>
  </si>
  <si>
    <t>Small Letters</t>
  </si>
  <si>
    <t>Mr. Manish Tripathi</t>
  </si>
  <si>
    <t>Upper</t>
  </si>
  <si>
    <t>Capital Letters</t>
  </si>
  <si>
    <t>Proper</t>
  </si>
  <si>
    <t>Sentence Case</t>
  </si>
  <si>
    <t>MR. AARAV SHARMA</t>
  </si>
  <si>
    <t>MR. ROHAN IYER</t>
  </si>
  <si>
    <t>MR. ADITYA MEHTA</t>
  </si>
  <si>
    <t>MR. VIKRAM MALHOTRA</t>
  </si>
  <si>
    <t>MR. RAJAT BANSAL</t>
  </si>
  <si>
    <t>MR. SURESH REDDY</t>
  </si>
  <si>
    <t>MR. ARJUN THAKUR</t>
  </si>
  <si>
    <t>MR. KUNAL SAXENA</t>
  </si>
  <si>
    <t>MR. SIDDHARTH RAO</t>
  </si>
  <si>
    <t>MR. MANISH TRIPATHI</t>
  </si>
  <si>
    <t>Text Join</t>
  </si>
  <si>
    <t>FlashFill (Ctrl E)</t>
  </si>
  <si>
    <t>First Name</t>
  </si>
  <si>
    <t>Last Name</t>
  </si>
  <si>
    <t>Full Name</t>
  </si>
  <si>
    <t>Aarav</t>
  </si>
  <si>
    <t>Sharma</t>
  </si>
  <si>
    <t xml:space="preserve">Aarav </t>
  </si>
  <si>
    <t>Rohan</t>
  </si>
  <si>
    <t>Iyer</t>
  </si>
  <si>
    <t>Rohan Iyer</t>
  </si>
  <si>
    <t>Aditya</t>
  </si>
  <si>
    <t>Mehta</t>
  </si>
  <si>
    <t>Aditya Mehta</t>
  </si>
  <si>
    <t>Vikram</t>
  </si>
  <si>
    <t>Malhotra</t>
  </si>
  <si>
    <t>Vikram Malhotra</t>
  </si>
  <si>
    <t>Rajat</t>
  </si>
  <si>
    <t>Bansal</t>
  </si>
  <si>
    <t>Rajat Bansal</t>
  </si>
  <si>
    <t>Suresh</t>
  </si>
  <si>
    <t>Reddy</t>
  </si>
  <si>
    <t>Suresh Reddy</t>
  </si>
  <si>
    <t>Arjun</t>
  </si>
  <si>
    <t>Thakur</t>
  </si>
  <si>
    <t>Arjun Thakur</t>
  </si>
  <si>
    <t>Kunal</t>
  </si>
  <si>
    <t>Saxena</t>
  </si>
  <si>
    <t>Kunal Saxena</t>
  </si>
  <si>
    <t>Siddharth</t>
  </si>
  <si>
    <t>Rao</t>
  </si>
  <si>
    <t>Siddharth Rao</t>
  </si>
  <si>
    <t>Manish</t>
  </si>
  <si>
    <t>Tripathi</t>
  </si>
  <si>
    <t>Manish Tripathi</t>
  </si>
  <si>
    <t>Substitute</t>
  </si>
  <si>
    <t>Change</t>
  </si>
  <si>
    <t>&amp;</t>
  </si>
  <si>
    <t>Concatenate</t>
  </si>
  <si>
    <t>Concat</t>
  </si>
  <si>
    <t>Find</t>
  </si>
  <si>
    <t>Replace</t>
  </si>
  <si>
    <t>Search</t>
  </si>
  <si>
    <t>Len</t>
  </si>
  <si>
    <t>Length</t>
  </si>
  <si>
    <t>unwanted spaces</t>
  </si>
  <si>
    <t>A S</t>
  </si>
  <si>
    <t>A T</t>
  </si>
  <si>
    <t>R I</t>
  </si>
  <si>
    <t>A M</t>
  </si>
  <si>
    <t>V M</t>
  </si>
  <si>
    <t>R B</t>
  </si>
  <si>
    <t>S R</t>
  </si>
  <si>
    <t>K S</t>
  </si>
  <si>
    <t>M T</t>
  </si>
  <si>
    <t>IDgth</t>
  </si>
  <si>
    <t>Text Split</t>
  </si>
  <si>
    <t>Text Split , Ampersend , flashfill , Textbeforedelimeter , textafterdelimeter</t>
  </si>
  <si>
    <t>Before</t>
  </si>
  <si>
    <t>After</t>
  </si>
  <si>
    <t>AXp-5678-MNO</t>
  </si>
  <si>
    <t>BTR-8492-KLp</t>
  </si>
  <si>
    <t>CQS-p345-XYZ</t>
  </si>
  <si>
    <t>FVK-p102-DEF</t>
  </si>
  <si>
    <t>JQP-1876-SPU</t>
  </si>
  <si>
    <t>CQS-2345-XYZO</t>
  </si>
  <si>
    <t>FVK-9102-OEF</t>
  </si>
  <si>
    <t>Find (Case Sensitive)</t>
  </si>
  <si>
    <t>Search(Not Case Sensitive)</t>
  </si>
  <si>
    <t>AVERAGE</t>
  </si>
  <si>
    <t>AVERAGE(range)</t>
  </si>
  <si>
    <t>Average nikaalta hai</t>
  </si>
  <si>
    <t>Mean calculation</t>
  </si>
  <si>
    <t>=AVERAGE(10,20,30) → 20</t>
  </si>
  <si>
    <t>MAX</t>
  </si>
  <si>
    <t>MAX(range)</t>
  </si>
  <si>
    <t>Sabse badi value</t>
  </si>
  <si>
    <t>Highest find</t>
  </si>
  <si>
    <t>=MAX(10,50,30) → 50</t>
  </si>
  <si>
    <t>MIN</t>
  </si>
  <si>
    <t>MIN(range)</t>
  </si>
  <si>
    <t>Sabse chhoti value</t>
  </si>
  <si>
    <t>Lowest find</t>
  </si>
  <si>
    <t>=MIN(10,50,30) → 10</t>
  </si>
  <si>
    <t>COUNT</t>
  </si>
  <si>
    <t>COUNT(range)</t>
  </si>
  <si>
    <t>Numbers count karta hai</t>
  </si>
  <si>
    <t>Numeric count</t>
  </si>
  <si>
    <t>=COUNT(1,2,"A") → 2</t>
  </si>
  <si>
    <t>COUNTA</t>
  </si>
  <si>
    <t>COUNTA(range)</t>
  </si>
  <si>
    <t>Non-empty count</t>
  </si>
  <si>
    <t>Filled cells</t>
  </si>
  <si>
    <t>=COUNTA(1,"A") → 2</t>
  </si>
  <si>
    <t>COUNTIF</t>
  </si>
  <si>
    <t>COUNTIF(range,criteria)</t>
  </si>
  <si>
    <t>Condition pe count</t>
  </si>
  <si>
    <t>Filtered count</t>
  </si>
  <si>
    <t>COUNTIFS</t>
  </si>
  <si>
    <t>COUNTIFS(range1,criteria1,...)</t>
  </si>
  <si>
    <t>Multi condition count</t>
  </si>
  <si>
    <t>Advanced filtering</t>
  </si>
  <si>
    <t>AVERAGEIF</t>
  </si>
  <si>
    <t>AVERAGEIF(range,criteria)</t>
  </si>
  <si>
    <t>Condition pe average</t>
  </si>
  <si>
    <t>Filtered avg</t>
  </si>
  <si>
    <t>AVERAGEIFS</t>
  </si>
  <si>
    <t>AVERAGEIFS(avg_range,criteria_range1,criteria1,...)</t>
  </si>
  <si>
    <t>Multi condition avg</t>
  </si>
  <si>
    <t>Advanced avg</t>
  </si>
  <si>
    <t>SUM</t>
  </si>
  <si>
    <t>SUM(range)</t>
  </si>
  <si>
    <t>Total sum</t>
  </si>
  <si>
    <t>Total calc</t>
  </si>
  <si>
    <t>=SUM(10,20,30) → 60</t>
  </si>
  <si>
    <t>13</t>
  </si>
  <si>
    <t>SUMIF</t>
  </si>
  <si>
    <t>SUMIF(range,criteria,sum_range)</t>
  </si>
  <si>
    <t>Condition pe sum</t>
  </si>
  <si>
    <t>Filtered sum</t>
  </si>
  <si>
    <t>SUMIFS</t>
  </si>
  <si>
    <t>SUMIFS(sum_range,criteria_range1,criteria1,...)</t>
  </si>
  <si>
    <t>Multi condition sum</t>
  </si>
  <si>
    <t>Complex analysis</t>
  </si>
  <si>
    <t>LARGE</t>
  </si>
  <si>
    <t>LARGE(range,k)</t>
  </si>
  <si>
    <t>kth largest</t>
  </si>
  <si>
    <t>Top values</t>
  </si>
  <si>
    <t>SMALL</t>
  </si>
  <si>
    <t>SMALL(range,k)</t>
  </si>
  <si>
    <t>kth smallest</t>
  </si>
  <si>
    <t>Bottom values</t>
  </si>
  <si>
    <t>RANK</t>
  </si>
  <si>
    <t>RANK(number,range)</t>
  </si>
  <si>
    <t>Rank deta hai</t>
  </si>
  <si>
    <t>Position</t>
  </si>
  <si>
    <t>ROUND</t>
  </si>
  <si>
    <t>ROUND(number,num_digits)</t>
  </si>
  <si>
    <t>Normal rounding</t>
  </si>
  <si>
    <t>Approx value</t>
  </si>
  <si>
    <t>=ROUND(12.345,2) → 12.35</t>
  </si>
  <si>
    <t>ROUNDUP</t>
  </si>
  <si>
    <t>ROUNDUP(number,num_digits)</t>
  </si>
  <si>
    <t>Hamesha upar round</t>
  </si>
  <si>
    <t>Profit side</t>
  </si>
  <si>
    <t>=ROUNDUP(12.341,2) → 12.35</t>
  </si>
  <si>
    <t>ROUNDDOWN</t>
  </si>
  <si>
    <t>ROUNDDOWN(number,num_digits)</t>
  </si>
  <si>
    <t>Hamesha neeche</t>
  </si>
  <si>
    <t>Safe side</t>
  </si>
  <si>
    <t>=ROUNDDOWN(12.349,2) → 12.34</t>
  </si>
  <si>
    <t>INT</t>
  </si>
  <si>
    <t>INT(number)</t>
  </si>
  <si>
    <t>Integer deta hai</t>
  </si>
  <si>
    <t>Decimal hatao</t>
  </si>
  <si>
    <t>=INT(12.9) → 12</t>
  </si>
  <si>
    <t>TRUNC</t>
  </si>
  <si>
    <t>TRUNC(number,[digits])</t>
  </si>
  <si>
    <t>Decimal cut karta hai</t>
  </si>
  <si>
    <t>Exact truncate</t>
  </si>
  <si>
    <t>=TRUNC(12.987,2) → 12.98</t>
  </si>
  <si>
    <t>FLOOR</t>
  </si>
  <si>
    <t>FLOOR(number,significance)</t>
  </si>
  <si>
    <t>Lower multiple</t>
  </si>
  <si>
    <t>Discount</t>
  </si>
  <si>
    <t>=FLOOR(23,5) → 20</t>
  </si>
  <si>
    <t>MROUND</t>
  </si>
  <si>
    <t>MROUND(number,multiple)</t>
  </si>
  <si>
    <t>Nearest multiple</t>
  </si>
  <si>
    <t>Smart rounding</t>
  </si>
  <si>
    <t>=MROUND(23,5) → 25</t>
  </si>
  <si>
    <t>RAND</t>
  </si>
  <si>
    <t>RAND()</t>
  </si>
  <si>
    <t>0–1 random number</t>
  </si>
  <si>
    <t>Random data</t>
  </si>
  <si>
    <t>RANDBETWEEN</t>
  </si>
  <si>
    <t>RANDBETWEEN(bottom,top)</t>
  </si>
  <si>
    <t>Range me random</t>
  </si>
  <si>
    <t>Testing data</t>
  </si>
  <si>
    <t>RANDARRAY</t>
  </si>
  <si>
    <t>RANDARRAY(rows,cols,min,max,integer)</t>
  </si>
  <si>
    <t>Random table</t>
  </si>
  <si>
    <t>Bulk data</t>
  </si>
  <si>
    <t>ABS</t>
  </si>
  <si>
    <t>ABS(number)</t>
  </si>
  <si>
    <t>Positive bana deta hai</t>
  </si>
  <si>
    <t>Distance</t>
  </si>
  <si>
    <t>=ABS(-10) → 10</t>
  </si>
  <si>
    <t>MOD</t>
  </si>
  <si>
    <t>MOD(number,divisor)</t>
  </si>
  <si>
    <t>Remainder deta hai</t>
  </si>
  <si>
    <t>Even/odd</t>
  </si>
  <si>
    <t>=MOD(10,3) → 1</t>
  </si>
  <si>
    <t>POWER</t>
  </si>
  <si>
    <t>POWER(number,power)</t>
  </si>
  <si>
    <t>Power nikalta hai</t>
  </si>
  <si>
    <t>Exponential</t>
  </si>
  <si>
    <t>=POWER(2,3) → 8</t>
  </si>
  <si>
    <t>SQRT</t>
  </si>
  <si>
    <t>SQRT(number)</t>
  </si>
  <si>
    <t>Square root</t>
  </si>
  <si>
    <t>Math calc</t>
  </si>
  <si>
    <t>=SQRT(16) → 4</t>
  </si>
  <si>
    <t>Text Formulae (25)</t>
  </si>
  <si>
    <t>Statistical Formulae (30)</t>
  </si>
  <si>
    <t>TODAY</t>
  </si>
  <si>
    <t>TODAY()</t>
  </si>
  <si>
    <t>Aaj ki date deta hai</t>
  </si>
  <si>
    <t>Current date</t>
  </si>
  <si>
    <t>NOW</t>
  </si>
  <si>
    <t>NOW()</t>
  </si>
  <si>
    <t>Current date + time</t>
  </si>
  <si>
    <t>Live timestamp</t>
  </si>
  <si>
    <t>DATE</t>
  </si>
  <si>
    <t>DATE(year,month,day)</t>
  </si>
  <si>
    <t>Custom date banata hai</t>
  </si>
  <si>
    <t>Date creation</t>
  </si>
  <si>
    <t>TIME</t>
  </si>
  <si>
    <t>TIME(hour,minute,second)</t>
  </si>
  <si>
    <t>Time create karta hai</t>
  </si>
  <si>
    <t>Custom time</t>
  </si>
  <si>
    <t>DAY</t>
  </si>
  <si>
    <t>DAY(date)</t>
  </si>
  <si>
    <t>Day nikaalta hai</t>
  </si>
  <si>
    <t>Extract day</t>
  </si>
  <si>
    <t>MONTH</t>
  </si>
  <si>
    <t>MONTH(date)</t>
  </si>
  <si>
    <t>Month nikaalta hai</t>
  </si>
  <si>
    <t>Extract month</t>
  </si>
  <si>
    <t>YEAR</t>
  </si>
  <si>
    <t>YEAR(date)</t>
  </si>
  <si>
    <t>Year nikaalta hai</t>
  </si>
  <si>
    <t>Extract year</t>
  </si>
  <si>
    <t>HOUR</t>
  </si>
  <si>
    <t>HOUR(time)</t>
  </si>
  <si>
    <t>Hour nikaalta hai</t>
  </si>
  <si>
    <t>Time breakdown</t>
  </si>
  <si>
    <t>MINUTE</t>
  </si>
  <si>
    <t>MINUTE(time)</t>
  </si>
  <si>
    <t>Minute nikaalta hai</t>
  </si>
  <si>
    <t>SECOND</t>
  </si>
  <si>
    <t>SECOND(time)</t>
  </si>
  <si>
    <t>Seconds nikaalta hai</t>
  </si>
  <si>
    <t>WEEKDAY</t>
  </si>
  <si>
    <t>WEEKDAY(date,[type])</t>
  </si>
  <si>
    <t>Week day number deta hai</t>
  </si>
  <si>
    <t>Day identify</t>
  </si>
  <si>
    <t>WEEKNUM</t>
  </si>
  <si>
    <t>WEEKNUM(date,[type])</t>
  </si>
  <si>
    <t>Week number deta hai</t>
  </si>
  <si>
    <t>Weekly tracking</t>
  </si>
  <si>
    <t>ISOWEEKNUM</t>
  </si>
  <si>
    <t>ISOWEEKNUM(date)</t>
  </si>
  <si>
    <t>ISO standard week number</t>
  </si>
  <si>
    <t>International reporting</t>
  </si>
  <si>
    <t>EDATE</t>
  </si>
  <si>
    <t>EDATE(start_date,months)</t>
  </si>
  <si>
    <t>Months add/subtract</t>
  </si>
  <si>
    <t>EMI planning</t>
  </si>
  <si>
    <t>EOMONTH</t>
  </si>
  <si>
    <t>EOMONTH(start_date,months)</t>
  </si>
  <si>
    <t>Month end date</t>
  </si>
  <si>
    <t>Month closing</t>
  </si>
  <si>
    <t>DATEDIF</t>
  </si>
  <si>
    <t>DATEDIF(start,end,unit)</t>
  </si>
  <si>
    <t>Date difference</t>
  </si>
  <si>
    <t>Age calc</t>
  </si>
  <si>
    <t>DAYS</t>
  </si>
  <si>
    <t>DAYS(end,start)</t>
  </si>
  <si>
    <t>Total days difference</t>
  </si>
  <si>
    <t>Gap calc</t>
  </si>
  <si>
    <t>DAYS360</t>
  </si>
  <si>
    <t>DAYS360(start,end)</t>
  </si>
  <si>
    <t>360-day basis calc</t>
  </si>
  <si>
    <t>Finance</t>
  </si>
  <si>
    <t>NETWORKDAYS</t>
  </si>
  <si>
    <t>NETWORKDAYS(start,end,[holidays])</t>
  </si>
  <si>
    <t>Working days count</t>
  </si>
  <si>
    <t>Office days</t>
  </si>
  <si>
    <t>NETWORKDAYS.INTL</t>
  </si>
  <si>
    <t>NETWORKDAYS.INTL(start,end,[weekend],[holidays])</t>
  </si>
  <si>
    <t>Custom weekend ke saath working days</t>
  </si>
  <si>
    <t>Shift / custom week</t>
  </si>
  <si>
    <t>WORKDAY</t>
  </si>
  <si>
    <t>WORKDAY(start,days,[holidays])</t>
  </si>
  <si>
    <t>Future working date</t>
  </si>
  <si>
    <t>Deadline</t>
  </si>
  <si>
    <t>WORKDAY.INTL</t>
  </si>
  <si>
    <t>WORKDAY.INTL(start,days,[weekend],[holidays])</t>
  </si>
  <si>
    <t>Custom weekend ke saath working date</t>
  </si>
  <si>
    <t>Flexible planning</t>
  </si>
  <si>
    <t>YEARFRAC</t>
  </si>
  <si>
    <t>YEARFRAC(start,end,[basis])</t>
  </si>
  <si>
    <t>Years ka fraction</t>
  </si>
  <si>
    <t>Financial calc</t>
  </si>
  <si>
    <t>TEXT(value,format_text)</t>
  </si>
  <si>
    <t>Date format change karta hai</t>
  </si>
  <si>
    <t>Custom display</t>
  </si>
  <si>
    <t>TIMEVALUE</t>
  </si>
  <si>
    <t>TIMEVALUE(text)</t>
  </si>
  <si>
    <t>Text ko time me convert</t>
  </si>
  <si>
    <t>Time conversion</t>
  </si>
  <si>
    <t>DATEVALUE</t>
  </si>
  <si>
    <t>DATEVALUE(text)</t>
  </si>
  <si>
    <t>Text ko date me convert</t>
  </si>
  <si>
    <t>Date conversion</t>
  </si>
  <si>
    <t>TODAY()+n</t>
  </si>
  <si>
    <t>Future/past date</t>
  </si>
  <si>
    <t>Planning</t>
  </si>
  <si>
    <t>NOW()+n</t>
  </si>
  <si>
    <t>Future time/date</t>
  </si>
  <si>
    <t>Scheduling</t>
  </si>
  <si>
    <t xml:space="preserve"> TODAY()</t>
  </si>
  <si>
    <t xml:space="preserve"> NOW()</t>
  </si>
  <si>
    <t xml:space="preserve"> DATE(2026,4,9)</t>
  </si>
  <si>
    <t xml:space="preserve"> TIME(10,30,0)</t>
  </si>
  <si>
    <t xml:space="preserve"> DAY(A1)</t>
  </si>
  <si>
    <t xml:space="preserve"> MONTH(A1)</t>
  </si>
  <si>
    <t xml:space="preserve"> YEAR(A1)</t>
  </si>
  <si>
    <t xml:space="preserve"> HOUR(A1)</t>
  </si>
  <si>
    <t xml:space="preserve"> MINUTE(A1)</t>
  </si>
  <si>
    <t xml:space="preserve"> SECOND(A1)</t>
  </si>
  <si>
    <t xml:space="preserve"> WEEKDAY(A1,2)</t>
  </si>
  <si>
    <t xml:space="preserve"> WEEKNUM(A1)</t>
  </si>
  <si>
    <t xml:space="preserve"> ISOWEEKNUM(A1)</t>
  </si>
  <si>
    <t xml:space="preserve"> EDATE(A1,1)</t>
  </si>
  <si>
    <t xml:space="preserve"> EOMONTH(A1,0)</t>
  </si>
  <si>
    <t xml:space="preserve"> DATEDIF(A1,B1,"Y")</t>
  </si>
  <si>
    <t xml:space="preserve"> DAYS(B1,A1)</t>
  </si>
  <si>
    <t xml:space="preserve"> DAYS360(A1,B1)</t>
  </si>
  <si>
    <t xml:space="preserve"> NETWORKDAYS(A1,B1)</t>
  </si>
  <si>
    <t xml:space="preserve"> NETWORKDAYS.INTL(A1,B1,1)</t>
  </si>
  <si>
    <t xml:space="preserve"> WORKDAY(A1,5)</t>
  </si>
  <si>
    <t xml:space="preserve"> WORKDAY.INTL(A1,5,1)</t>
  </si>
  <si>
    <t xml:space="preserve"> YEARFRAC(A1,B1)</t>
  </si>
  <si>
    <t xml:space="preserve"> TEXT(A1,"dd-mm-yyyy")</t>
  </si>
  <si>
    <t xml:space="preserve"> TIMEVALUE("10:30 AM")</t>
  </si>
  <si>
    <t xml:space="preserve"> DATEVALUE("09-Apr-2026")</t>
  </si>
  <si>
    <t xml:space="preserve"> TODAY()+7</t>
  </si>
  <si>
    <t xml:space="preserve"> NOW()+1</t>
  </si>
  <si>
    <t>Date &amp; Time Formulae (28)</t>
  </si>
  <si>
    <t>IF</t>
  </si>
  <si>
    <t>IF(condition,value_if_true,value_if_false)</t>
  </si>
  <si>
    <t>Condition check karta hai</t>
  </si>
  <si>
    <t>Decision making</t>
  </si>
  <si>
    <t>IFS</t>
  </si>
  <si>
    <t>IFS(condition1,value1,condition2,value2,...)</t>
  </si>
  <si>
    <t>Multiple conditions check karta hai</t>
  </si>
  <si>
    <t>Multiple logic</t>
  </si>
  <si>
    <t>AND</t>
  </si>
  <si>
    <t>AND(condition1,condition2,...)</t>
  </si>
  <si>
    <t>Sab conditions true honi chahiye</t>
  </si>
  <si>
    <t>Multi-condition check</t>
  </si>
  <si>
    <t>OR</t>
  </si>
  <si>
    <t>OR(condition1,condition2,...)</t>
  </si>
  <si>
    <t>Koi ek condition true ho</t>
  </si>
  <si>
    <t>Flexible check</t>
  </si>
  <si>
    <t>NOT</t>
  </si>
  <si>
    <t>NOT(condition)</t>
  </si>
  <si>
    <t>Result ko ulta kar deta hai</t>
  </si>
  <si>
    <t>Reverse logic</t>
  </si>
  <si>
    <t>IFERROR</t>
  </si>
  <si>
    <t>IFERROR(value,value_if_error)</t>
  </si>
  <si>
    <t>Error aaye toh alternate value deta hai</t>
  </si>
  <si>
    <t>Error handling</t>
  </si>
  <si>
    <t>IFNA</t>
  </si>
  <si>
    <t>IFNA(value,value_if_na)</t>
  </si>
  <si>
    <t>Sirf #N/A error handle karta hai</t>
  </si>
  <si>
    <t>Lookup errors</t>
  </si>
  <si>
    <t>=IFNA(VLOOKUP(...),"Not Found")</t>
  </si>
  <si>
    <t>SWITCH</t>
  </si>
  <si>
    <t>SWITCH(expression,value1,result1,...)</t>
  </si>
  <si>
    <t>Multiple matching conditions</t>
  </si>
  <si>
    <t>Cleaner IF alternative</t>
  </si>
  <si>
    <t>TRUE()</t>
  </si>
  <si>
    <t>TRUE return karta hai</t>
  </si>
  <si>
    <t>Logical testing</t>
  </si>
  <si>
    <t>FALSE()</t>
  </si>
  <si>
    <t>FALSE return karta hai</t>
  </si>
  <si>
    <t>ISBLANK</t>
  </si>
  <si>
    <t>ISBLANK(value)</t>
  </si>
  <si>
    <t>Blank check karta hai</t>
  </si>
  <si>
    <t>Missing data</t>
  </si>
  <si>
    <t>ISNUMBER</t>
  </si>
  <si>
    <t>ISNUMBER(value)</t>
  </si>
  <si>
    <t>Number check karta hai</t>
  </si>
  <si>
    <t>Data validation</t>
  </si>
  <si>
    <t>ISTEXT</t>
  </si>
  <si>
    <t>ISTEXT(value)</t>
  </si>
  <si>
    <t>Text check karta hai</t>
  </si>
  <si>
    <t>Data type check</t>
  </si>
  <si>
    <t>ISERROR</t>
  </si>
  <si>
    <t>ISERROR(value)</t>
  </si>
  <si>
    <t>Koi bhi error check karta hai</t>
  </si>
  <si>
    <t>Error detection</t>
  </si>
  <si>
    <t>ISNA</t>
  </si>
  <si>
    <t>ISNA(value)</t>
  </si>
  <si>
    <t>#N/A error check karta hai</t>
  </si>
  <si>
    <t>Lookup validation</t>
  </si>
  <si>
    <t>ISLOGICAL</t>
  </si>
  <si>
    <t>ISLOGICAL(value)</t>
  </si>
  <si>
    <t>TRUE/FALSE check karta hai</t>
  </si>
  <si>
    <t>Logical validation</t>
  </si>
  <si>
    <t>ISFORMULA</t>
  </si>
  <si>
    <t>ISFORMULA(reference)</t>
  </si>
  <si>
    <t>Cell me formula hai ya nahi</t>
  </si>
  <si>
    <t>Audit purpose</t>
  </si>
  <si>
    <t>EXACT</t>
  </si>
  <si>
    <t>EXACT(text1,text2)</t>
  </si>
  <si>
    <t>Case-sensitive match</t>
  </si>
  <si>
    <t>Exact comparison</t>
  </si>
  <si>
    <t>XOR</t>
  </si>
  <si>
    <t>XOR(condition1,condition2,...)</t>
  </si>
  <si>
    <t>Odd number of TRUE ho toh TRUE</t>
  </si>
  <si>
    <t>Advanced logic</t>
  </si>
  <si>
    <t>N</t>
  </si>
  <si>
    <t>N(value)</t>
  </si>
  <si>
    <t>TRUE=1, FALSE=0 convert karta hai</t>
  </si>
  <si>
    <t>Logical to number</t>
  </si>
  <si>
    <t>=N(TRUE) → 1</t>
  </si>
  <si>
    <t>Logical Formulae (20)</t>
  </si>
  <si>
    <t>VLOOKUP</t>
  </si>
  <si>
    <t>VLOOKUP(value,table,col_index,[range])</t>
  </si>
  <si>
    <t>Vertical lookup karta hai</t>
  </si>
  <si>
    <t>Table se data fetch</t>
  </si>
  <si>
    <t>HLOOKUP</t>
  </si>
  <si>
    <t>HLOOKUP(value,table,row_index,[range])</t>
  </si>
  <si>
    <t>Horizontal lookup karta hai</t>
  </si>
  <si>
    <t>Row-wise search</t>
  </si>
  <si>
    <t>XLOOKUP</t>
  </si>
  <si>
    <t>XLOOKUP(lookup,lookup_array,return_array)</t>
  </si>
  <si>
    <t>Advanced lookup (VLOOKUP ka upgrade)</t>
  </si>
  <si>
    <t>LOOKUP</t>
  </si>
  <si>
    <t>LOOKUP(value,vector,result_vector)</t>
  </si>
  <si>
    <t>Basic lookup function</t>
  </si>
  <si>
    <t>Approx search</t>
  </si>
  <si>
    <t>INDEX</t>
  </si>
  <si>
    <t>INDEX(array,row_num,[col_num])</t>
  </si>
  <si>
    <t>Position se value return karta hai</t>
  </si>
  <si>
    <t>Exact data fetch</t>
  </si>
  <si>
    <t>MATCH</t>
  </si>
  <si>
    <t>MATCH(value,array,[match_type])</t>
  </si>
  <si>
    <t>Position find karta hai</t>
  </si>
  <si>
    <t>Lookup support</t>
  </si>
  <si>
    <t>INDEX + MATCH</t>
  </si>
  <si>
    <t>INDEX(array,MATCH(value,range,0))</t>
  </si>
  <si>
    <t>Powerful lookup combo</t>
  </si>
  <si>
    <t>Flexible lookup</t>
  </si>
  <si>
    <t>XMATCH</t>
  </si>
  <si>
    <t>XMATCH(value,array)</t>
  </si>
  <si>
    <t>MATCH ka advanced version</t>
  </si>
  <si>
    <t>Faster lookup</t>
  </si>
  <si>
    <t>OFFSET</t>
  </si>
  <si>
    <t>OFFSET(reference,rows,cols,[height],[width])</t>
  </si>
  <si>
    <t>Dynamic range create karta hai</t>
  </si>
  <si>
    <t>Flexible referencing</t>
  </si>
  <si>
    <t>INDIRECT</t>
  </si>
  <si>
    <t>INDIRECT(ref_text)</t>
  </si>
  <si>
    <t>Text ko reference bana deta hai</t>
  </si>
  <si>
    <t>Dynamic reference</t>
  </si>
  <si>
    <t>ADDRESS</t>
  </si>
  <si>
    <t>ADDRESS(row,col)</t>
  </si>
  <si>
    <t>Cell address return karta hai</t>
  </si>
  <si>
    <t>Reference build</t>
  </si>
  <si>
    <t>12</t>
  </si>
  <si>
    <t>ROW</t>
  </si>
  <si>
    <t>ROW([reference])</t>
  </si>
  <si>
    <t>Row number deta hai</t>
  </si>
  <si>
    <t>Position identify</t>
  </si>
  <si>
    <t>COLUMN</t>
  </si>
  <si>
    <t>COLUMN([reference])</t>
  </si>
  <si>
    <t>Column number deta hai</t>
  </si>
  <si>
    <t>14</t>
  </si>
  <si>
    <t>ROWS</t>
  </si>
  <si>
    <t>ROWS(array)</t>
  </si>
  <si>
    <t>Total rows count</t>
  </si>
  <si>
    <t>Data size</t>
  </si>
  <si>
    <t>COLUMNS</t>
  </si>
  <si>
    <t>COLUMNS(array)</t>
  </si>
  <si>
    <t>Total columns count</t>
  </si>
  <si>
    <t>CHOOSE</t>
  </si>
  <si>
    <t>CHOOSE(index,value1,value2,...)</t>
  </si>
  <si>
    <t>List me se select karta hai</t>
  </si>
  <si>
    <t>Multiple options</t>
  </si>
  <si>
    <t>17</t>
  </si>
  <si>
    <t>TRANSPOSE</t>
  </si>
  <si>
    <t>TRANSPOSE(array)</t>
  </si>
  <si>
    <t>Row ko column me convert</t>
  </si>
  <si>
    <t>Data reshape</t>
  </si>
  <si>
    <t>FILTER</t>
  </si>
  <si>
    <t>FILTER(array,include)</t>
  </si>
  <si>
    <t>Condition ke basis pe data filter</t>
  </si>
  <si>
    <t>Dynamic filtering</t>
  </si>
  <si>
    <t>SORT</t>
  </si>
  <si>
    <t>SORT(array,[col],[order])</t>
  </si>
  <si>
    <t>Data sort karta hai</t>
  </si>
  <si>
    <t>Sorting</t>
  </si>
  <si>
    <t>UNIQUE</t>
  </si>
  <si>
    <t>UNIQUE(array)</t>
  </si>
  <si>
    <t>Unique values deta hai</t>
  </si>
  <si>
    <t>Duplicate remove</t>
  </si>
  <si>
    <t>Lookup &amp; Refrence Formulae (20)</t>
  </si>
  <si>
    <t xml:space="preserve"> VLOOKUP(A1,B1:D10,2,FALSE)</t>
  </si>
  <si>
    <t xml:space="preserve"> HLOOKUP(A1,B1:D5,2,FALSE)</t>
  </si>
  <si>
    <t xml:space="preserve"> XLOOKUP(A1,A2:A10,B2:B10)</t>
  </si>
  <si>
    <t xml:space="preserve"> LOOKUP(A1,A2:A10,B2:B10)</t>
  </si>
  <si>
    <t xml:space="preserve"> INDEX(A1:C10,2,3)</t>
  </si>
  <si>
    <t xml:space="preserve"> MATCH(A1,A1:A10,0)</t>
  </si>
  <si>
    <t xml:space="preserve"> INDEX(B1:B10,MATCH(A1,A1:A10,0))</t>
  </si>
  <si>
    <t xml:space="preserve"> XMATCH(A1,A1:A10)</t>
  </si>
  <si>
    <t xml:space="preserve"> OFFSET(A1,1,1)</t>
  </si>
  <si>
    <t xml:space="preserve"> INDIRECT("A1")</t>
  </si>
  <si>
    <t xml:space="preserve"> ADDRESS(2,3) → C2</t>
  </si>
  <si>
    <t xml:space="preserve"> ROW(A5) → 5</t>
  </si>
  <si>
    <t xml:space="preserve"> COLUMN(C1) → 3</t>
  </si>
  <si>
    <t xml:space="preserve"> ROWS(A1:A10)</t>
  </si>
  <si>
    <t xml:space="preserve"> COLUMNS(A1:C1)</t>
  </si>
  <si>
    <t xml:space="preserve"> CHOOSE(2,"A","B","C") → B</t>
  </si>
  <si>
    <t xml:space="preserve"> TRANSPOSE(A1:C1)</t>
  </si>
  <si>
    <t xml:space="preserve"> FILTER(A1:B10,A1:A10&gt;50)</t>
  </si>
  <si>
    <t xml:space="preserve"> SORT(A1:B10,1,1)</t>
  </si>
  <si>
    <t xml:space="preserve"> UNIQUE(A1:A10)</t>
  </si>
  <si>
    <t>Nested IF (Basic)</t>
  </si>
  <si>
    <t>IF(cond1,val1,IF(cond2,val2,val3))</t>
  </si>
  <si>
    <t>Multiple conditions ek ke andar ek</t>
  </si>
  <si>
    <t>Grading / decision</t>
  </si>
  <si>
    <t>Nested IF (3 Level)</t>
  </si>
  <si>
    <t>IF(c1,v1,IF(c2,v2,IF(c3,v3,v4)))</t>
  </si>
  <si>
    <t>Multiple layers decision</t>
  </si>
  <si>
    <t>Complex logic</t>
  </si>
  <si>
    <t>Marks grading</t>
  </si>
  <si>
    <t>IF + AND</t>
  </si>
  <si>
    <t>IF(AND(cond1,cond2),val1,val2)</t>
  </si>
  <si>
    <t>Dono conditions true honi chahiye</t>
  </si>
  <si>
    <t>Strict logic</t>
  </si>
  <si>
    <t>IF + OR</t>
  </si>
  <si>
    <t>IF(OR(cond1,cond2),val1,val2)</t>
  </si>
  <si>
    <t>Koi ek condition true</t>
  </si>
  <si>
    <t>Flexible logic</t>
  </si>
  <si>
    <t>IF + NOT</t>
  </si>
  <si>
    <t>IF(NOT(cond),val1,val2)</t>
  </si>
  <si>
    <t>Reverse condition</t>
  </si>
  <si>
    <t>Negative logic</t>
  </si>
  <si>
    <t>IF + ISERROR</t>
  </si>
  <si>
    <t>IF(ISERROR(formula),val1,val2)</t>
  </si>
  <si>
    <t>Safe calculation</t>
  </si>
  <si>
    <t>IF + ISBLANK</t>
  </si>
  <si>
    <t>IF(ISBLANK(A1),val1,val2)</t>
  </si>
  <si>
    <t>Blank check</t>
  </si>
  <si>
    <t>IF + ISNUMBER</t>
  </si>
  <si>
    <t>IF(ISNUMBER(A1),val1,val2)</t>
  </si>
  <si>
    <t>Number validation</t>
  </si>
  <si>
    <t>Data check</t>
  </si>
  <si>
    <t>IF + TEXT</t>
  </si>
  <si>
    <t>IF(A1&gt;50,"High","Low")</t>
  </si>
  <si>
    <t>Text output decision</t>
  </si>
  <si>
    <t>Reporting</t>
  </si>
  <si>
    <t>Status generation</t>
  </si>
  <si>
    <t>IF + Multiple Conditions</t>
  </si>
  <si>
    <t>IF(A1&gt;90,"A",IF(A1&gt;75,"B",IF(A1&gt;50,"C","Fail")))</t>
  </si>
  <si>
    <t>Multi grading system</t>
  </si>
  <si>
    <t>Education / HR</t>
  </si>
  <si>
    <t>Grade system</t>
  </si>
  <si>
    <t>Nested if (10)</t>
  </si>
  <si>
    <t>VLOOKUP Nested</t>
  </si>
  <si>
    <t>VLOOKUP(val,VLOOKUP(...),col,0)</t>
  </si>
  <si>
    <t>Lookup ke andar lookup</t>
  </si>
  <si>
    <t>Dynamic table</t>
  </si>
  <si>
    <t>Advanced search</t>
  </si>
  <si>
    <t>VLOOKUP + IF</t>
  </si>
  <si>
    <t>IF(cond,VLOOKUP(...),alt)</t>
  </si>
  <si>
    <t>Condition + lookup</t>
  </si>
  <si>
    <t>Conditional fetch</t>
  </si>
  <si>
    <t>=IF(A1="HR",VLOOKUP(...),"NA")</t>
  </si>
  <si>
    <t>IFERROR + VLOOKUP</t>
  </si>
  <si>
    <t>IFERROR(VLOOKUP(...),"Not Found")</t>
  </si>
  <si>
    <t>Error handle + lookup</t>
  </si>
  <si>
    <t>Safe lookup</t>
  </si>
  <si>
    <t>INDEX(range,MATCH(val,range,0))</t>
  </si>
  <si>
    <t>Best alternative</t>
  </si>
  <si>
    <t>Nested MATCH</t>
  </si>
  <si>
    <t>MATCH(val,INDEX(range,...),0)</t>
  </si>
  <si>
    <t>Dynamic lookup range</t>
  </si>
  <si>
    <t>Advanced matching</t>
  </si>
  <si>
    <t>Complex data</t>
  </si>
  <si>
    <t>XLOOKUP Nested</t>
  </si>
  <si>
    <t>XLOOKUP(val,range1,XLOOKUP(...))</t>
  </si>
  <si>
    <t>Multi-level lookup</t>
  </si>
  <si>
    <t>Modern Excel</t>
  </si>
  <si>
    <t>Smart lookup</t>
  </si>
  <si>
    <t>INDEX + MATCH + MATCH</t>
  </si>
  <si>
    <t>INDEX(range,MATCH(row,...),MATCH(col,...))</t>
  </si>
  <si>
    <t>2D lookup</t>
  </si>
  <si>
    <t>Matrix data</t>
  </si>
  <si>
    <t>Table lookup</t>
  </si>
  <si>
    <t>INDIRECT + VLOOKUP</t>
  </si>
  <si>
    <t>VLOOKUP(val,INDIRECT(ref),col,0)</t>
  </si>
  <si>
    <t>Dynamic table selection</t>
  </si>
  <si>
    <t>Multiple sheets</t>
  </si>
  <si>
    <t>Sheet switch</t>
  </si>
  <si>
    <t>CHOOSE + VLOOKUP</t>
  </si>
  <si>
    <t>VLOOKUP(val,CHOOSE(...),col,0)</t>
  </si>
  <si>
    <t>Virtual table create</t>
  </si>
  <si>
    <t>Column rearrange</t>
  </si>
  <si>
    <t>Advanced trick</t>
  </si>
  <si>
    <t>FILTER + XLOOKUP</t>
  </si>
  <si>
    <t>XLOOKUP(val,FILTER(...),range)</t>
  </si>
  <si>
    <t>Filtered lookup</t>
  </si>
  <si>
    <t>Dynamic results</t>
  </si>
  <si>
    <t>Lookup Nested (10)</t>
  </si>
  <si>
    <t>Basic Array</t>
  </si>
  <si>
    <t>Multiple values pe ek saath operation</t>
  </si>
  <si>
    <t>Bulk calculation</t>
  </si>
  <si>
    <t>SUM Array</t>
  </si>
  <si>
    <t>SUM(A1:A5*B1:B5)</t>
  </si>
  <si>
    <t>Multiply + sum ek step me</t>
  </si>
  <si>
    <t>Weighted total</t>
  </si>
  <si>
    <t>SUMPRODUCT</t>
  </si>
  <si>
    <t>SUMPRODUCT(array1,array2)</t>
  </si>
  <si>
    <t>Multiply + sum automatically</t>
  </si>
  <si>
    <t>Best array formula</t>
  </si>
  <si>
    <t>Row ↔ Column convert</t>
  </si>
  <si>
    <t>FILTER(array,condition)</t>
  </si>
  <si>
    <t>Condition pe data nikaalta hai</t>
  </si>
  <si>
    <t>Dynamic filter</t>
  </si>
  <si>
    <t>SORT(array)</t>
  </si>
  <si>
    <t>Dynamic sorting</t>
  </si>
  <si>
    <t>SORTBY</t>
  </si>
  <si>
    <t>SORTBY(array,by_array)</t>
  </si>
  <si>
    <t>Custom sort</t>
  </si>
  <si>
    <t>Advanced sorting</t>
  </si>
  <si>
    <t>SEQUENCE</t>
  </si>
  <si>
    <t>SEQUENCE(rows,cols,start,step)</t>
  </si>
  <si>
    <t>Number series generate</t>
  </si>
  <si>
    <t>Auto numbering</t>
  </si>
  <si>
    <t>Random array generate</t>
  </si>
  <si>
    <t>Test data</t>
  </si>
  <si>
    <t>MMULT</t>
  </si>
  <si>
    <t>MMULT(array1,array2)</t>
  </si>
  <si>
    <t>Matrix multiplication</t>
  </si>
  <si>
    <t>Advanced math</t>
  </si>
  <si>
    <t>FREQUENCY</t>
  </si>
  <si>
    <t>FREQUENCY(data,bins)</t>
  </si>
  <si>
    <t>Frequency distribution</t>
  </si>
  <si>
    <t>Histogram</t>
  </si>
  <si>
    <t>IF Array</t>
  </si>
  <si>
    <t>IF(A1:A5&gt;50,"Pass","Fail")</t>
  </si>
  <si>
    <t>Multiple conditions ek saath</t>
  </si>
  <si>
    <t>Bulk decision</t>
  </si>
  <si>
    <t>INDEX Array</t>
  </si>
  <si>
    <t>INDEX(array,0,col_num)</t>
  </si>
  <si>
    <t>Entire column return</t>
  </si>
  <si>
    <t>Dynamic extract</t>
  </si>
  <si>
    <t>MATCH Array</t>
  </si>
  <si>
    <t>MATCH(TRUE,condition_array,0)</t>
  </si>
  <si>
    <t>Condition-based match</t>
  </si>
  <si>
    <t>Advanced lookup</t>
  </si>
  <si>
    <t>XLOOKUP Array</t>
  </si>
  <si>
    <t>XLOOKUP(value,array,return_array)</t>
  </si>
  <si>
    <t>Spill results return karta hai</t>
  </si>
  <si>
    <t>Dynamic lookup</t>
  </si>
  <si>
    <t>TEXTJOIN Array</t>
  </si>
  <si>
    <t>TEXTJOIN(delimiter,TRUE,array)</t>
  </si>
  <si>
    <t>Array ko join karta hai</t>
  </si>
  <si>
    <t>Combine results</t>
  </si>
  <si>
    <t>COUNTIF Array</t>
  </si>
  <si>
    <t>COUNTIF(range,criteria_array)</t>
  </si>
  <si>
    <t>Multiple criteria count</t>
  </si>
  <si>
    <t>Bulk counting</t>
  </si>
  <si>
    <t>SUMIF Array</t>
  </si>
  <si>
    <t>SUMIF(range,criteria_array,sum_range)</t>
  </si>
  <si>
    <t>Multiple sum ek saath</t>
  </si>
  <si>
    <t>Advanced sum</t>
  </si>
  <si>
    <t>LET</t>
  </si>
  <si>
    <t>LET(name,value,calculation)</t>
  </si>
  <si>
    <t>Variables create karta hai</t>
  </si>
  <si>
    <t>Clean formulas</t>
  </si>
  <si>
    <t xml:space="preserve"> A1:A5*B1:B5</t>
  </si>
  <si>
    <t xml:space="preserve"> SUM(A1:A5*B1:B5)</t>
  </si>
  <si>
    <t xml:space="preserve"> SUMPRODUCT(A1:A5,B1:B5)</t>
  </si>
  <si>
    <t xml:space="preserve"> SORT(A1:A10)</t>
  </si>
  <si>
    <t xml:space="preserve"> SORTBY(A1:A10,B1:B10)</t>
  </si>
  <si>
    <t xml:space="preserve"> SEQUENCE(5,1,1,1)</t>
  </si>
  <si>
    <t xml:space="preserve"> RANDARRAY(5,2,1,100,TRUE)</t>
  </si>
  <si>
    <t xml:space="preserve"> MMULT(A1:B2,C1:D2)</t>
  </si>
  <si>
    <t xml:space="preserve"> FREQUENCY(A1:A10,B1:B5)</t>
  </si>
  <si>
    <t xml:space="preserve"> IF(A1:A5&gt;50,"Pass","Fail")</t>
  </si>
  <si>
    <t xml:space="preserve"> INDEX(A1:C10,0,2)</t>
  </si>
  <si>
    <t xml:space="preserve"> MATCH(TRUE,A1:A10&gt;50,0)</t>
  </si>
  <si>
    <t xml:space="preserve"> XLOOKUP(A1,A1:A10,B1:B10)</t>
  </si>
  <si>
    <t xml:space="preserve"> TEXTJOIN(",",TRUE,A1:A5)</t>
  </si>
  <si>
    <t xml:space="preserve"> COUNTIF(A1:A10,{1,2,3})</t>
  </si>
  <si>
    <t xml:space="preserve"> SUMIF(A1:A10,{1,2},B1:B10)</t>
  </si>
  <si>
    <t xml:space="preserve"> LET(x,A1:A5,SUM(x))</t>
  </si>
  <si>
    <t>Array Formulae(20)</t>
  </si>
  <si>
    <t>AXP-5678-M-O</t>
  </si>
  <si>
    <t>Tannu
Singhal</t>
  </si>
  <si>
    <t>Rand (0 to 1)</t>
  </si>
  <si>
    <t>Rand Between (Range)</t>
  </si>
  <si>
    <t>Rand Array</t>
  </si>
  <si>
    <t>Round</t>
  </si>
  <si>
    <t>Round up</t>
  </si>
  <si>
    <t>Round Down</t>
  </si>
  <si>
    <t>Integer</t>
  </si>
  <si>
    <t>Trunc</t>
  </si>
  <si>
    <t>Ceiling</t>
  </si>
  <si>
    <t>Upper Multiple</t>
  </si>
  <si>
    <t>Floor</t>
  </si>
  <si>
    <t>Mround</t>
  </si>
  <si>
    <t>Current Date</t>
  </si>
  <si>
    <t>Current Time</t>
  </si>
  <si>
    <t>Date</t>
  </si>
  <si>
    <t>Day</t>
  </si>
  <si>
    <t>Month</t>
  </si>
  <si>
    <t>Year</t>
  </si>
  <si>
    <t>Holidays</t>
  </si>
  <si>
    <t>Start Date</t>
  </si>
  <si>
    <t>End Date</t>
  </si>
  <si>
    <t>Days360</t>
  </si>
  <si>
    <t>Networkdays</t>
  </si>
  <si>
    <t>Networkdays (holidays)</t>
  </si>
  <si>
    <t>Networkdays.intl</t>
  </si>
  <si>
    <t>Networkdays.intl (HOLIDAY)</t>
  </si>
  <si>
    <t>Months</t>
  </si>
  <si>
    <t>Edate</t>
  </si>
  <si>
    <t>Eomonth</t>
  </si>
  <si>
    <t>Workday</t>
  </si>
  <si>
    <t>Workday (holiday)</t>
  </si>
  <si>
    <t>Workday.intl</t>
  </si>
  <si>
    <t>Workday.intl (holiday)</t>
  </si>
  <si>
    <t>Time</t>
  </si>
  <si>
    <t>Hour</t>
  </si>
  <si>
    <t>Minute</t>
  </si>
  <si>
    <t>Second</t>
  </si>
  <si>
    <t>DOB</t>
  </si>
  <si>
    <t>Today</t>
  </si>
  <si>
    <t>Datedif</t>
  </si>
  <si>
    <t>Yearfrac</t>
  </si>
  <si>
    <t>Students Name</t>
  </si>
  <si>
    <t>Math</t>
  </si>
  <si>
    <t>Status</t>
  </si>
  <si>
    <t>Aarav Mehta</t>
  </si>
  <si>
    <t>Priya Sharma</t>
  </si>
  <si>
    <t>Ishaan Verma</t>
  </si>
  <si>
    <t>Sneha Iyer</t>
  </si>
  <si>
    <t>Rohan Das</t>
  </si>
  <si>
    <t>Kritika Nair</t>
  </si>
  <si>
    <t>Yash Patel</t>
  </si>
  <si>
    <t>Ananya Reddy</t>
  </si>
  <si>
    <t>Aditya Choudhary</t>
  </si>
  <si>
    <t>Tanvi Joshi</t>
  </si>
  <si>
    <t>Nikhil Bansal</t>
  </si>
  <si>
    <t>Pooja Sinha</t>
  </si>
  <si>
    <t>Harshvardhan Gupta</t>
  </si>
  <si>
    <t>Meera Menon</t>
  </si>
  <si>
    <t>Ritika Sengupta</t>
  </si>
  <si>
    <t>Kunal Thakur</t>
  </si>
  <si>
    <t>Divya Pillai</t>
  </si>
  <si>
    <t>Varun Malhotra</t>
  </si>
  <si>
    <t>Neha Jaiswal</t>
  </si>
  <si>
    <t>Salesman</t>
  </si>
  <si>
    <t>Sales</t>
  </si>
  <si>
    <t>Rating</t>
  </si>
  <si>
    <t>And</t>
  </si>
  <si>
    <t>Or</t>
  </si>
  <si>
    <t>A</t>
  </si>
  <si>
    <t>B</t>
  </si>
  <si>
    <t>C</t>
  </si>
  <si>
    <t>IF And</t>
  </si>
  <si>
    <t>IF or</t>
  </si>
  <si>
    <t>Grade</t>
  </si>
  <si>
    <t>0-30%</t>
  </si>
  <si>
    <t>D</t>
  </si>
  <si>
    <t>30%-50%</t>
  </si>
  <si>
    <t>50%-75%</t>
  </si>
  <si>
    <t>75%-90%</t>
  </si>
  <si>
    <t>90%-100%</t>
  </si>
  <si>
    <t>A+</t>
  </si>
  <si>
    <t>Switch</t>
  </si>
  <si>
    <t>Party Names</t>
  </si>
  <si>
    <t>Total Sales</t>
  </si>
  <si>
    <t>Average Sale</t>
  </si>
  <si>
    <t>Count Of Sale</t>
  </si>
  <si>
    <t>SwiftNova Enterprises</t>
  </si>
  <si>
    <t>BluePeak Solutions</t>
  </si>
  <si>
    <t>EliteCrest Innovations</t>
  </si>
  <si>
    <t>QuantumByte Technologies</t>
  </si>
  <si>
    <t>GoldenLeaf Ventures</t>
  </si>
  <si>
    <t>UrbanNest Interiors</t>
  </si>
  <si>
    <t>Vertex Synergy</t>
  </si>
  <si>
    <t>EverGlow Essentials</t>
  </si>
  <si>
    <t>TruHarvest Organics</t>
  </si>
  <si>
    <t>StellarEdge Consulting</t>
  </si>
  <si>
    <t>Total Sale</t>
  </si>
  <si>
    <t>Attendance Tracker 365</t>
  </si>
  <si>
    <t>Mon</t>
  </si>
  <si>
    <t>Tue</t>
  </si>
  <si>
    <t>Wed</t>
  </si>
  <si>
    <t>Thu</t>
  </si>
  <si>
    <t>Fri</t>
  </si>
  <si>
    <t xml:space="preserve">Present </t>
  </si>
  <si>
    <t>Absent</t>
  </si>
  <si>
    <t>Kavya Iyer</t>
  </si>
  <si>
    <t>Rohan Mehta</t>
  </si>
  <si>
    <t>Sneha Reddy</t>
  </si>
  <si>
    <t>Aditya Verma</t>
  </si>
  <si>
    <t>Priya Nair</t>
  </si>
  <si>
    <t>Arjun Singh</t>
  </si>
  <si>
    <t>Attendance Tracker Normal</t>
  </si>
  <si>
    <t>P</t>
  </si>
  <si>
    <t>O</t>
  </si>
  <si>
    <t>Name</t>
  </si>
  <si>
    <t>Product Name</t>
  </si>
  <si>
    <t>Category</t>
  </si>
  <si>
    <t>Region</t>
  </si>
  <si>
    <t>City</t>
  </si>
  <si>
    <t>State</t>
  </si>
  <si>
    <t>Gender</t>
  </si>
  <si>
    <t>Quantity</t>
  </si>
  <si>
    <t>Rate</t>
  </si>
  <si>
    <t>Amount</t>
  </si>
  <si>
    <t>Bharat Innovations</t>
  </si>
  <si>
    <t>Speaker</t>
  </si>
  <si>
    <t>Electronic</t>
  </si>
  <si>
    <t>North</t>
  </si>
  <si>
    <t>Delhi</t>
  </si>
  <si>
    <t>Male</t>
  </si>
  <si>
    <t>Green Leaf Enterprises</t>
  </si>
  <si>
    <t>Earbuds</t>
  </si>
  <si>
    <t>West</t>
  </si>
  <si>
    <t>Mumbai</t>
  </si>
  <si>
    <t>Maharashtra</t>
  </si>
  <si>
    <t>East</t>
  </si>
  <si>
    <t>Kolkata</t>
  </si>
  <si>
    <t>West Bengal</t>
  </si>
  <si>
    <t>Mystic India Exports</t>
  </si>
  <si>
    <t>South</t>
  </si>
  <si>
    <t>Chennai</t>
  </si>
  <si>
    <t>Tamil Nadu</t>
  </si>
  <si>
    <t>Women dress</t>
  </si>
  <si>
    <t xml:space="preserve">Fashion </t>
  </si>
  <si>
    <t>Bengaluru</t>
  </si>
  <si>
    <t>Karnataka</t>
  </si>
  <si>
    <t>Hyderabad</t>
  </si>
  <si>
    <t>Telangana</t>
  </si>
  <si>
    <t>Ahmedabad</t>
  </si>
  <si>
    <t>Gujarat</t>
  </si>
  <si>
    <t>Pune</t>
  </si>
  <si>
    <t>Jaipur</t>
  </si>
  <si>
    <t>Rajasthan</t>
  </si>
  <si>
    <t>Female</t>
  </si>
  <si>
    <t>Zenith Construction Co.</t>
  </si>
  <si>
    <t>Surat</t>
  </si>
  <si>
    <t>Lucknow</t>
  </si>
  <si>
    <t>Uttar Pradesh</t>
  </si>
  <si>
    <t>Divine Creations</t>
  </si>
  <si>
    <t>Kanpur</t>
  </si>
  <si>
    <t>Metro Tech Solutions</t>
  </si>
  <si>
    <t>Nagpur</t>
  </si>
  <si>
    <t>True Path Logistics</t>
  </si>
  <si>
    <t>Central</t>
  </si>
  <si>
    <t>Indore</t>
  </si>
  <si>
    <t>Madhya Pradesh</t>
  </si>
  <si>
    <t>Male dress</t>
  </si>
  <si>
    <t>Thane</t>
  </si>
  <si>
    <t>North (Union Territory)</t>
  </si>
  <si>
    <t>Chandigarh</t>
  </si>
  <si>
    <t>Bhopal</t>
  </si>
  <si>
    <t>Visionary Holdings</t>
  </si>
  <si>
    <t>Visakhapatnam</t>
  </si>
  <si>
    <t>Andhra Pradesh</t>
  </si>
  <si>
    <t>Stellar Design Studio</t>
  </si>
  <si>
    <t>Patna</t>
  </si>
  <si>
    <t>Bihar</t>
  </si>
  <si>
    <t>Vadodara</t>
  </si>
  <si>
    <t>Agra</t>
  </si>
  <si>
    <t>TV</t>
  </si>
  <si>
    <t>Meerut</t>
  </si>
  <si>
    <t>Coimbatore</t>
  </si>
  <si>
    <t>Madurai</t>
  </si>
  <si>
    <t>Crystal Clear Solutions</t>
  </si>
  <si>
    <t>Jodhpur</t>
  </si>
  <si>
    <t>Modern Trends Fashion</t>
  </si>
  <si>
    <t>Varanasi</t>
  </si>
  <si>
    <t>Ranchi</t>
  </si>
  <si>
    <t>Jharkhand</t>
  </si>
  <si>
    <t>Future Insights Analytics</t>
  </si>
  <si>
    <t>Kochi</t>
  </si>
  <si>
    <t>Kerala</t>
  </si>
  <si>
    <t>Aurangabad</t>
  </si>
  <si>
    <t>Shimla</t>
  </si>
  <si>
    <t>Himachal Pradesh</t>
  </si>
  <si>
    <t>Dehradun</t>
  </si>
  <si>
    <t>Uttarakhand</t>
  </si>
  <si>
    <t>Northeast</t>
  </si>
  <si>
    <t>Guwahati</t>
  </si>
  <si>
    <t>Assam</t>
  </si>
  <si>
    <t>Amritsar</t>
  </si>
  <si>
    <t>Punjab</t>
  </si>
  <si>
    <t>Raipur</t>
  </si>
  <si>
    <t>Chhattisgarh</t>
  </si>
  <si>
    <t>Durgapur</t>
  </si>
  <si>
    <t>Golden Era Realty</t>
  </si>
  <si>
    <t>Laptop</t>
  </si>
  <si>
    <t>Gwalior</t>
  </si>
  <si>
    <t>Jamshedpur</t>
  </si>
  <si>
    <t>Siliguri</t>
  </si>
  <si>
    <t>Mangalore</t>
  </si>
  <si>
    <t>Urban Edge Consulting</t>
  </si>
  <si>
    <t>Radiance Spa</t>
  </si>
  <si>
    <t>Saree</t>
  </si>
  <si>
    <t>Verve Fitness Studio</t>
  </si>
  <si>
    <t>Dynamic Events Management</t>
  </si>
  <si>
    <t>Classic Heritage Crafts</t>
  </si>
  <si>
    <t>Suit</t>
  </si>
  <si>
    <t>Noble Nutraceuticals</t>
  </si>
  <si>
    <t>Supreme Travel Agency</t>
  </si>
  <si>
    <t>Future Vision Tech</t>
  </si>
  <si>
    <t>Pinnacle Health Products</t>
  </si>
  <si>
    <t>Apex Auto Care</t>
  </si>
  <si>
    <t>Royal Glow Cosmetics</t>
  </si>
  <si>
    <t>Zenith Culinary Arts</t>
  </si>
  <si>
    <t>Visionary Tours</t>
  </si>
  <si>
    <t>Horizon Wellness</t>
  </si>
  <si>
    <t>Car accessories</t>
  </si>
  <si>
    <t>Decor</t>
  </si>
  <si>
    <t>True Value Electronics</t>
  </si>
  <si>
    <t>Stellar Advertising</t>
  </si>
  <si>
    <t>Radiant Enterprise Solutions</t>
  </si>
  <si>
    <t>Modern Trends Retail</t>
  </si>
  <si>
    <t>Global Spectrum Consulting</t>
  </si>
  <si>
    <t>Elite Essence Products</t>
  </si>
  <si>
    <t>Infinite Solutions</t>
  </si>
  <si>
    <t>Apex Construction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</si>
  <si>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</si>
  <si>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</si>
  <si>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</si>
  <si>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</si>
  <si>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</si>
  <si>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</si>
  <si>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Home décor</t>
  </si>
  <si>
    <t>Noble Travel Services</t>
  </si>
  <si>
    <t>Bright Future Academy</t>
  </si>
  <si>
    <t>Apex Retailers</t>
  </si>
  <si>
    <t>Prestige Property Developers</t>
  </si>
  <si>
    <t>Harmony Ventures</t>
  </si>
  <si>
    <t>Future Path Technologies</t>
  </si>
  <si>
    <t>Radiance Health and Wellness</t>
  </si>
  <si>
    <t>Legacy Auto Works</t>
  </si>
  <si>
    <t>Prime Essence Creations</t>
  </si>
  <si>
    <t>Quantum Ventures</t>
  </si>
  <si>
    <t>Horizon Tech Solutions</t>
  </si>
  <si>
    <t>Urban Legends Apparel</t>
  </si>
  <si>
    <t>Pure Bliss Beverages</t>
  </si>
  <si>
    <t>Apex Travel Ventures</t>
  </si>
  <si>
    <t>Legacy Design Group</t>
  </si>
  <si>
    <t>Supreme Wellness</t>
  </si>
  <si>
    <t>Harmony Tech Innovations</t>
  </si>
  <si>
    <t>Stellar Education Services</t>
  </si>
  <si>
    <t>Crystal Innovations</t>
  </si>
  <si>
    <t>Future Trends Retail</t>
  </si>
  <si>
    <t>Radiant Horizon Ventures</t>
  </si>
  <si>
    <t>Elite Spectrum Consulting</t>
  </si>
  <si>
    <t>Dynamic Design Studio</t>
  </si>
  <si>
    <t>Royal Crest Foods</t>
  </si>
  <si>
    <t>Legacy Apparel</t>
  </si>
  <si>
    <t>Pinnacle Education Group</t>
  </si>
  <si>
    <t>Crystal Clear Realty</t>
  </si>
  <si>
    <t>Urban Pulse Media</t>
  </si>
  <si>
    <t>Apex Enterprise Solutions</t>
  </si>
  <si>
    <t>Radiant Vision Realty</t>
  </si>
  <si>
    <t>Stellar Health Services</t>
  </si>
  <si>
    <t>Prestige Solutions</t>
  </si>
  <si>
    <t>Radiant Travel Services</t>
  </si>
  <si>
    <t>Modern Trends Consulting</t>
  </si>
  <si>
    <t>Global Horizon Ventures</t>
  </si>
  <si>
    <t>Radiance Apparel</t>
  </si>
  <si>
    <t>Zenith Design Group</t>
  </si>
  <si>
    <t>Legacy Travel Agency</t>
  </si>
  <si>
    <t>Pure Essence Solutions</t>
  </si>
  <si>
    <t>Pinnacle Finance</t>
  </si>
  <si>
    <t>Horizon Tech Ventures</t>
  </si>
  <si>
    <t>Crystal Health Solutions</t>
  </si>
  <si>
    <t>Urban Focus Products</t>
  </si>
  <si>
    <t>Stellar Travel Solutions</t>
  </si>
  <si>
    <t>Harmony Tech Ventures</t>
  </si>
  <si>
    <t>Pure Harmony Solutions</t>
  </si>
  <si>
    <t>Visionary Innovations</t>
  </si>
  <si>
    <t>Horizon Design Studio</t>
  </si>
  <si>
    <t>Modern Spectrum Solutions</t>
  </si>
  <si>
    <t>True Value Products</t>
  </si>
  <si>
    <t>Apex Creative Solutions</t>
  </si>
  <si>
    <t>Zenith Innovations</t>
  </si>
  <si>
    <t>Stellar Wellness Products</t>
  </si>
  <si>
    <t>Radiant Consulting Group</t>
  </si>
  <si>
    <t>Harmony Ventures Co.</t>
  </si>
  <si>
    <t>Urban Path Technologies</t>
  </si>
  <si>
    <t>Legacy Design Co.</t>
  </si>
  <si>
    <t>Pure Path Consulting</t>
  </si>
  <si>
    <t>Radiance Solutions Co.</t>
  </si>
  <si>
    <t>True Value Ventures</t>
  </si>
  <si>
    <t>Pinnacle Innovations Co.</t>
  </si>
  <si>
    <t>Modern Pathways</t>
  </si>
  <si>
    <t>Stellar Finance Co.</t>
  </si>
  <si>
    <t>Harmony Design Ventures</t>
  </si>
  <si>
    <t>Elite Edge Products</t>
  </si>
  <si>
    <t>Zenith Consulting Co.</t>
  </si>
  <si>
    <t>Urban Vision Solutions</t>
  </si>
  <si>
    <t>Pure Harmony Innovations</t>
  </si>
  <si>
    <t>Legacy Media Group</t>
  </si>
  <si>
    <t>Pinnacle Travel Solutions</t>
  </si>
  <si>
    <t>Crystal Spectrum Consulting</t>
  </si>
  <si>
    <t>Stellar Creative Co.</t>
  </si>
  <si>
    <t>Radiance Media Ventures</t>
  </si>
  <si>
    <t>Harmony Health Solutions</t>
  </si>
  <si>
    <t>Modern Vision Solutions</t>
  </si>
  <si>
    <t>Pinnacle Design Ventures</t>
  </si>
  <si>
    <t>Harmony Marketing Co.</t>
  </si>
  <si>
    <t>Urban Tech Innovations</t>
  </si>
  <si>
    <t>Apex Media Co.</t>
  </si>
  <si>
    <t>Pure Vision Solutions</t>
  </si>
  <si>
    <t>Legacy Health Ventures</t>
  </si>
  <si>
    <t>Stellar Travel Products</t>
  </si>
  <si>
    <t>Radiance Finance Services</t>
  </si>
  <si>
    <t>Harmony Finance Group</t>
  </si>
  <si>
    <t>Legacy Spectrum Co.</t>
  </si>
  <si>
    <t>Pinnacle Design Solutions</t>
  </si>
  <si>
    <t>Stellar Media Services</t>
  </si>
  <si>
    <t>Radiant Innovations Group</t>
  </si>
  <si>
    <t>Apex Educational Group</t>
  </si>
  <si>
    <t>Modern Wellness Co.</t>
  </si>
  <si>
    <t>Pure Spectrum Innovations</t>
  </si>
  <si>
    <t>Legacy Media Solutions</t>
  </si>
  <si>
    <t>Pinnacle Travel Co.</t>
  </si>
  <si>
    <t>Radiant Ventures</t>
  </si>
  <si>
    <t>Harmony Tech Co.</t>
  </si>
  <si>
    <t>Apex Health Services</t>
  </si>
  <si>
    <t>Pure Vision Media</t>
  </si>
  <si>
    <t>Pinnacle Consulting Co.</t>
  </si>
  <si>
    <t>Radiant Solutions Co.</t>
  </si>
  <si>
    <t>Legacy Spectrum Group</t>
  </si>
  <si>
    <t>Pinnacle Media Ventures</t>
  </si>
  <si>
    <t>Harmony Edge Ventures</t>
  </si>
  <si>
    <t>Zenith Tech Solutions</t>
  </si>
  <si>
    <t>Apex Finance Group</t>
  </si>
  <si>
    <t>Pure Harmony Media</t>
  </si>
  <si>
    <t>Legacy Health Co.</t>
  </si>
  <si>
    <t>Feb</t>
  </si>
  <si>
    <t>May</t>
  </si>
  <si>
    <t>Nov</t>
  </si>
  <si>
    <t>Jan</t>
  </si>
  <si>
    <t>Apr</t>
  </si>
  <si>
    <t>Oct</t>
  </si>
  <si>
    <t>Sep</t>
  </si>
  <si>
    <t>Jun</t>
  </si>
  <si>
    <t>Jul</t>
  </si>
  <si>
    <t>Dec</t>
  </si>
  <si>
    <t>Aug</t>
  </si>
  <si>
    <t>Party Name</t>
  </si>
  <si>
    <t>Mar</t>
  </si>
  <si>
    <t>-</t>
  </si>
  <si>
    <t>Employee_ID</t>
  </si>
  <si>
    <t>Employee_Name</t>
  </si>
  <si>
    <t>Department</t>
  </si>
  <si>
    <t>Salary</t>
  </si>
  <si>
    <t>Amit Sharma</t>
  </si>
  <si>
    <t>Accounts</t>
  </si>
  <si>
    <t>Neha Verma</t>
  </si>
  <si>
    <t>HR</t>
  </si>
  <si>
    <t>Rohit Gupta</t>
  </si>
  <si>
    <t>Pooja Singh</t>
  </si>
  <si>
    <t>IT</t>
  </si>
  <si>
    <t>Ankit Jain</t>
  </si>
  <si>
    <t>Marketing</t>
  </si>
  <si>
    <t>I m asking for pooja singh's salary instead of Rohit Gupta</t>
  </si>
  <si>
    <t>0%-30%</t>
  </si>
  <si>
    <t>Principle Amount</t>
  </si>
  <si>
    <t>Down Payment</t>
  </si>
  <si>
    <t>Remaining amount</t>
  </si>
  <si>
    <t>Interest (in years)</t>
  </si>
  <si>
    <t>Interest (in months)</t>
  </si>
  <si>
    <t>Time (in years)</t>
  </si>
  <si>
    <t>Time (in months)</t>
  </si>
  <si>
    <t>Emi (Pmt)</t>
  </si>
  <si>
    <t>Interest Paid (ipmt)</t>
  </si>
  <si>
    <t>Principle paid (ppmt)</t>
  </si>
  <si>
    <t>Emi = IPMT + PPMT</t>
  </si>
  <si>
    <t>Partywise &amp; Monthwise Sale Summary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</si>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</sst>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₹&quot;\ #,##0.00;[Red]&quot;₹&quot;\ \-#,##0.00"/>
    <numFmt numFmtId="43" formatCode="_ * #,##0.00_ ;_ * \-#,##0.00_ ;_ * &quot;-&quot;??_ ;_ @_ "/>
    <numFmt numFmtId="164" formatCode="dd\-mm\-yyyy"/>
    <numFmt numFmtId="165" formatCode="[$-F400]h:mm:ss\ AM/PM"/>
    <numFmt numFmtId="166" formatCode="dd/mmm/yyyy"/>
    <numFmt numFmtId="167" formatCode="_ * #,##0_ ;_ * \-#,##0_ ;_ * &quot;-&quot;??_ ;_ @_ 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Wingdings 2"/>
      <family val="1"/>
      <charset val="2"/>
    </font>
    <font>
      <b/>
      <sz val="11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04861"/>
      <name val="Aptos Narrow"/>
      <scheme val="minor"/>
    </font>
    <font>
      <b/>
      <sz val="11"/>
      <color rgb="FFFFFFFF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EF8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darkGray">
        <fgColor indexed="21"/>
        <bgColor indexed="17"/>
      </patternFill>
    </fill>
    <fill>
      <patternFill patternType="solid">
        <fgColor theme="0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rgb="FF104861"/>
        <bgColor indexed="64"/>
      </patternFill>
    </fill>
    <fill>
      <patternFill patternType="solid">
        <fgColor rgb="FFE8F4F8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23"/>
      </top>
      <bottom style="thick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  <border>
      <left/>
      <right style="thin">
        <color theme="4" tint="0.39997558519241921"/>
      </right>
      <top style="thin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medium">
        <color rgb="FF104861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rgb="FF104861"/>
      </bottom>
      <diagonal/>
    </border>
    <border>
      <left style="medium">
        <color rgb="FF104861"/>
      </left>
      <right style="thin">
        <color rgb="FFB0B0B0"/>
      </right>
      <top style="medium">
        <color rgb="FF104861"/>
      </top>
      <bottom style="thin">
        <color rgb="FFB0B0B0"/>
      </bottom>
      <diagonal/>
    </border>
    <border>
      <left style="medium">
        <color rgb="FF104861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04861"/>
      </left>
      <right style="thin">
        <color rgb="FFB0B0B0"/>
      </right>
      <top style="thin">
        <color rgb="FFB0B0B0"/>
      </top>
      <bottom style="medium">
        <color rgb="FF104861"/>
      </bottom>
      <diagonal/>
    </border>
    <border>
      <left style="thin">
        <color rgb="FFB0B0B0"/>
      </left>
      <right style="medium">
        <color rgb="FF104861"/>
      </right>
      <top style="medium">
        <color rgb="FF104861"/>
      </top>
      <bottom style="thin">
        <color rgb="FFB0B0B0"/>
      </bottom>
      <diagonal/>
    </border>
    <border>
      <left style="thin">
        <color rgb="FFB0B0B0"/>
      </left>
      <right style="medium">
        <color rgb="FF104861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rgb="FF104861"/>
      </right>
      <top style="thin">
        <color rgb="FFB0B0B0"/>
      </top>
      <bottom style="medium">
        <color rgb="FF10486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3">
    <xf numFmtId="0" fontId="0" fillId="0" borderId="0" xfId="0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9" fontId="0" fillId="6" borderId="4" xfId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9" fontId="0" fillId="7" borderId="4" xfId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9" fontId="0" fillId="0" borderId="0" xfId="1" applyFont="1"/>
    <xf numFmtId="0" fontId="0" fillId="6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4" fontId="0" fillId="0" borderId="0" xfId="0" applyNumberFormat="1"/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/>
    <xf numFmtId="0" fontId="6" fillId="8" borderId="4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18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13" borderId="2" xfId="0" applyFill="1" applyBorder="1" applyAlignment="1">
      <alignment horizontal="center" wrapText="1"/>
    </xf>
    <xf numFmtId="0" fontId="0" fillId="13" borderId="17" xfId="0" applyFill="1" applyBorder="1" applyAlignment="1">
      <alignment horizontal="center" wrapText="1"/>
    </xf>
    <xf numFmtId="0" fontId="0" fillId="13" borderId="3" xfId="0" applyFill="1" applyBorder="1" applyAlignment="1">
      <alignment horizontal="center" wrapText="1"/>
    </xf>
    <xf numFmtId="0" fontId="0" fillId="13" borderId="4" xfId="0" applyFill="1" applyBorder="1" applyAlignment="1">
      <alignment horizontal="center" wrapText="1"/>
    </xf>
    <xf numFmtId="0" fontId="0" fillId="13" borderId="18" xfId="0" applyFill="1" applyBorder="1" applyAlignment="1">
      <alignment horizontal="center" wrapText="1"/>
    </xf>
    <xf numFmtId="0" fontId="0" fillId="13" borderId="6" xfId="0" applyFill="1" applyBorder="1" applyAlignment="1">
      <alignment horizontal="center" wrapText="1"/>
    </xf>
    <xf numFmtId="0" fontId="0" fillId="13" borderId="19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13" borderId="0" xfId="0" applyFill="1" applyAlignment="1">
      <alignment horizontal="center"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5" borderId="1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5" borderId="17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5" borderId="18" xfId="0" applyFill="1" applyBorder="1" applyAlignment="1">
      <alignment horizont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18" xfId="0" applyBorder="1"/>
    <xf numFmtId="0" fontId="0" fillId="0" borderId="5" xfId="0" applyBorder="1"/>
    <xf numFmtId="0" fontId="0" fillId="0" borderId="6" xfId="0" applyBorder="1"/>
    <xf numFmtId="0" fontId="0" fillId="0" borderId="19" xfId="0" applyBorder="1"/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14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18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15" borderId="3" xfId="0" applyFill="1" applyBorder="1" applyAlignment="1">
      <alignment horizontal="center" wrapText="1"/>
    </xf>
    <xf numFmtId="0" fontId="0" fillId="15" borderId="4" xfId="0" applyFill="1" applyBorder="1" applyAlignment="1">
      <alignment horizontal="center" wrapText="1"/>
    </xf>
    <xf numFmtId="0" fontId="0" fillId="15" borderId="18" xfId="0" applyFill="1" applyBorder="1" applyAlignment="1">
      <alignment horizontal="center" wrapText="1"/>
    </xf>
    <xf numFmtId="0" fontId="0" fillId="15" borderId="1" xfId="0" applyFill="1" applyBorder="1" applyAlignment="1">
      <alignment horizontal="center" wrapText="1"/>
    </xf>
    <xf numFmtId="0" fontId="2" fillId="14" borderId="0" xfId="0" applyFont="1" applyFill="1" applyAlignment="1">
      <alignment horizontal="center" vertical="center"/>
    </xf>
    <xf numFmtId="0" fontId="0" fillId="13" borderId="21" xfId="0" applyFill="1" applyBorder="1" applyAlignment="1">
      <alignment horizontal="center" wrapText="1"/>
    </xf>
    <xf numFmtId="0" fontId="0" fillId="13" borderId="27" xfId="0" applyFill="1" applyBorder="1" applyAlignment="1">
      <alignment horizontal="center" wrapText="1"/>
    </xf>
    <xf numFmtId="0" fontId="0" fillId="13" borderId="28" xfId="0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18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14" fontId="0" fillId="10" borderId="3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14" fontId="0" fillId="7" borderId="4" xfId="0" applyNumberForma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0" fillId="10" borderId="5" xfId="0" applyNumberFormat="1" applyFill="1" applyBorder="1" applyAlignment="1">
      <alignment horizontal="center" vertical="center"/>
    </xf>
    <xf numFmtId="14" fontId="0" fillId="6" borderId="5" xfId="0" applyNumberFormat="1" applyFill="1" applyBorder="1" applyAlignment="1">
      <alignment horizontal="center" vertical="center"/>
    </xf>
    <xf numFmtId="14" fontId="0" fillId="7" borderId="6" xfId="0" applyNumberForma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10" borderId="6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21" fontId="0" fillId="6" borderId="3" xfId="0" applyNumberFormat="1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21" fontId="0" fillId="6" borderId="5" xfId="0" applyNumberFormat="1" applyFill="1" applyBorder="1" applyAlignment="1">
      <alignment horizontal="center" vertical="center"/>
    </xf>
    <xf numFmtId="14" fontId="0" fillId="13" borderId="4" xfId="0" applyNumberForma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14" fontId="0" fillId="13" borderId="6" xfId="0" applyNumberFormat="1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0" borderId="17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wrapText="1"/>
    </xf>
    <xf numFmtId="0" fontId="0" fillId="9" borderId="4" xfId="0" applyFill="1" applyBorder="1" applyAlignment="1">
      <alignment horizontal="center" wrapText="1"/>
    </xf>
    <xf numFmtId="0" fontId="0" fillId="9" borderId="18" xfId="0" applyFill="1" applyBorder="1" applyAlignment="1">
      <alignment horizontal="center" wrapText="1"/>
    </xf>
    <xf numFmtId="0" fontId="0" fillId="9" borderId="3" xfId="0" applyFill="1" applyBorder="1" applyAlignment="1">
      <alignment horizontal="center" wrapText="1"/>
    </xf>
    <xf numFmtId="14" fontId="0" fillId="13" borderId="18" xfId="0" applyNumberFormat="1" applyFill="1" applyBorder="1" applyAlignment="1">
      <alignment horizontal="center" vertical="center"/>
    </xf>
    <xf numFmtId="18" fontId="0" fillId="21" borderId="30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wrapText="1"/>
    </xf>
    <xf numFmtId="0" fontId="0" fillId="21" borderId="4" xfId="0" applyFill="1" applyBorder="1" applyAlignment="1">
      <alignment horizontal="center" wrapText="1"/>
    </xf>
    <xf numFmtId="0" fontId="0" fillId="21" borderId="18" xfId="0" applyFill="1" applyBorder="1" applyAlignment="1">
      <alignment horizontal="center" wrapText="1"/>
    </xf>
    <xf numFmtId="0" fontId="0" fillId="21" borderId="3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10" borderId="4" xfId="0" applyFill="1" applyBorder="1" applyAlignment="1">
      <alignment horizontal="center" wrapText="1"/>
    </xf>
    <xf numFmtId="0" fontId="0" fillId="10" borderId="18" xfId="0" applyFill="1" applyBorder="1" applyAlignment="1">
      <alignment horizontal="center" wrapText="1"/>
    </xf>
    <xf numFmtId="0" fontId="0" fillId="10" borderId="3" xfId="0" applyFill="1" applyBorder="1" applyAlignment="1">
      <alignment horizontal="center" wrapText="1"/>
    </xf>
    <xf numFmtId="1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7" borderId="1" xfId="0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0" fontId="0" fillId="7" borderId="18" xfId="0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12" borderId="4" xfId="0" applyFill="1" applyBorder="1" applyAlignment="1">
      <alignment horizontal="center" wrapText="1"/>
    </xf>
    <xf numFmtId="0" fontId="0" fillId="12" borderId="18" xfId="0" applyFill="1" applyBorder="1" applyAlignment="1">
      <alignment horizontal="center" wrapText="1"/>
    </xf>
    <xf numFmtId="0" fontId="0" fillId="12" borderId="3" xfId="0" applyFill="1" applyBorder="1" applyAlignment="1">
      <alignment horizont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22" borderId="17" xfId="0" applyFont="1" applyFill="1" applyBorder="1" applyAlignment="1">
      <alignment horizontal="center" vertical="center"/>
    </xf>
    <xf numFmtId="9" fontId="0" fillId="0" borderId="4" xfId="1" applyFont="1" applyBorder="1" applyAlignment="1">
      <alignment horizontal="center"/>
    </xf>
    <xf numFmtId="0" fontId="0" fillId="13" borderId="0" xfId="0" applyFill="1" applyAlignment="1">
      <alignment horizontal="center" vertical="center"/>
    </xf>
    <xf numFmtId="9" fontId="0" fillId="0" borderId="0" xfId="1" applyFont="1" applyBorder="1" applyAlignment="1">
      <alignment horizontal="center"/>
    </xf>
    <xf numFmtId="0" fontId="3" fillId="23" borderId="1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3" fillId="23" borderId="17" xfId="0" applyFont="1" applyFill="1" applyBorder="1" applyAlignment="1">
      <alignment horizontal="center" vertical="center"/>
    </xf>
    <xf numFmtId="0" fontId="0" fillId="13" borderId="18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0" borderId="1" xfId="0" applyBorder="1"/>
    <xf numFmtId="0" fontId="0" fillId="0" borderId="17" xfId="0" applyBorder="1"/>
    <xf numFmtId="0" fontId="2" fillId="22" borderId="32" xfId="0" applyFont="1" applyFill="1" applyBorder="1" applyAlignment="1">
      <alignment horizontal="center" vertical="center"/>
    </xf>
    <xf numFmtId="0" fontId="0" fillId="13" borderId="31" xfId="0" applyFill="1" applyBorder="1" applyAlignment="1">
      <alignment horizontal="center"/>
    </xf>
    <xf numFmtId="0" fontId="2" fillId="22" borderId="4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wrapText="1"/>
    </xf>
    <xf numFmtId="0" fontId="0" fillId="7" borderId="17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6" borderId="18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vertical="center"/>
    </xf>
    <xf numFmtId="0" fontId="2" fillId="24" borderId="17" xfId="0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horizontal="center" vertical="center"/>
    </xf>
    <xf numFmtId="0" fontId="2" fillId="26" borderId="17" xfId="0" applyFont="1" applyFill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vertical="center"/>
    </xf>
    <xf numFmtId="0" fontId="2" fillId="11" borderId="15" xfId="0" applyFont="1" applyFill="1" applyBorder="1" applyAlignment="1">
      <alignment vertical="center"/>
    </xf>
    <xf numFmtId="0" fontId="0" fillId="28" borderId="33" xfId="0" applyFill="1" applyBorder="1" applyAlignment="1">
      <alignment horizontal="center"/>
    </xf>
    <xf numFmtId="0" fontId="0" fillId="28" borderId="34" xfId="0" applyFill="1" applyBorder="1" applyAlignment="1">
      <alignment horizontal="center"/>
    </xf>
    <xf numFmtId="0" fontId="0" fillId="28" borderId="35" xfId="0" applyFill="1" applyBorder="1" applyAlignment="1">
      <alignment horizontal="center"/>
    </xf>
    <xf numFmtId="0" fontId="0" fillId="30" borderId="33" xfId="0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29" borderId="33" xfId="0" applyFont="1" applyFill="1" applyBorder="1" applyAlignment="1">
      <alignment horizontal="center"/>
    </xf>
    <xf numFmtId="0" fontId="2" fillId="29" borderId="35" xfId="0" applyFont="1" applyFill="1" applyBorder="1" applyAlignment="1">
      <alignment horizontal="center"/>
    </xf>
    <xf numFmtId="0" fontId="0" fillId="5" borderId="3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3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3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3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38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6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36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8" borderId="33" xfId="0" applyFont="1" applyFill="1" applyBorder="1" applyAlignment="1">
      <alignment horizontal="center"/>
    </xf>
    <xf numFmtId="0" fontId="2" fillId="28" borderId="34" xfId="0" applyFont="1" applyFill="1" applyBorder="1" applyAlignment="1">
      <alignment horizontal="center"/>
    </xf>
    <xf numFmtId="0" fontId="2" fillId="28" borderId="35" xfId="0" applyFont="1" applyFill="1" applyBorder="1" applyAlignment="1">
      <alignment horizontal="center"/>
    </xf>
    <xf numFmtId="0" fontId="8" fillId="5" borderId="37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2" xfId="0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5" borderId="31" xfId="0" applyFont="1" applyFill="1" applyBorder="1" applyAlignment="1">
      <alignment horizontal="center"/>
    </xf>
    <xf numFmtId="0" fontId="8" fillId="5" borderId="38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center"/>
    </xf>
    <xf numFmtId="0" fontId="9" fillId="31" borderId="41" xfId="0" applyFont="1" applyFill="1" applyBorder="1" applyAlignment="1">
      <alignment horizontal="center" vertical="center"/>
    </xf>
    <xf numFmtId="0" fontId="10" fillId="32" borderId="39" xfId="0" applyFont="1" applyFill="1" applyBorder="1" applyAlignment="1">
      <alignment horizontal="center" vertical="center"/>
    </xf>
    <xf numFmtId="0" fontId="10" fillId="32" borderId="40" xfId="0" applyFont="1" applyFill="1" applyBorder="1" applyAlignment="1">
      <alignment horizontal="center" vertical="center"/>
    </xf>
    <xf numFmtId="0" fontId="10" fillId="32" borderId="41" xfId="0" applyFont="1" applyFill="1" applyBorder="1" applyAlignment="1">
      <alignment horizontal="center" vertical="center"/>
    </xf>
    <xf numFmtId="0" fontId="9" fillId="31" borderId="39" xfId="0" applyFont="1" applyFill="1" applyBorder="1" applyAlignment="1">
      <alignment horizontal="center" vertical="center"/>
    </xf>
    <xf numFmtId="0" fontId="9" fillId="31" borderId="40" xfId="0" applyFont="1" applyFill="1" applyBorder="1" applyAlignment="1">
      <alignment horizontal="center" vertical="center"/>
    </xf>
    <xf numFmtId="0" fontId="11" fillId="33" borderId="42" xfId="0" applyFont="1" applyFill="1" applyBorder="1" applyAlignment="1">
      <alignment horizontal="center" vertical="center"/>
    </xf>
    <xf numFmtId="0" fontId="11" fillId="33" borderId="43" xfId="0" applyFont="1" applyFill="1" applyBorder="1" applyAlignment="1">
      <alignment horizontal="center" vertical="center"/>
    </xf>
    <xf numFmtId="43" fontId="10" fillId="33" borderId="44" xfId="2" applyFont="1" applyFill="1" applyBorder="1" applyAlignment="1">
      <alignment horizontal="center" vertical="center"/>
    </xf>
    <xf numFmtId="166" fontId="10" fillId="32" borderId="40" xfId="0" applyNumberFormat="1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/>
    </xf>
    <xf numFmtId="0" fontId="2" fillId="24" borderId="17" xfId="0" applyFont="1" applyFill="1" applyBorder="1" applyAlignment="1">
      <alignment horizontal="center"/>
    </xf>
    <xf numFmtId="167" fontId="12" fillId="0" borderId="3" xfId="2" applyNumberFormat="1" applyFont="1" applyBorder="1" applyAlignment="1">
      <alignment horizontal="center" vertical="center"/>
    </xf>
    <xf numFmtId="167" fontId="12" fillId="5" borderId="4" xfId="2" applyNumberFormat="1" applyFont="1" applyFill="1" applyBorder="1" applyAlignment="1">
      <alignment horizontal="center" vertical="center"/>
    </xf>
    <xf numFmtId="167" fontId="12" fillId="0" borderId="18" xfId="2" applyNumberFormat="1" applyFont="1" applyBorder="1" applyAlignment="1">
      <alignment horizontal="center" vertical="center"/>
    </xf>
    <xf numFmtId="167" fontId="12" fillId="0" borderId="0" xfId="2" applyNumberFormat="1" applyFont="1" applyAlignment="1">
      <alignment horizontal="center" vertical="center"/>
    </xf>
    <xf numFmtId="167" fontId="12" fillId="0" borderId="5" xfId="2" applyNumberFormat="1" applyFont="1" applyBorder="1" applyAlignment="1">
      <alignment horizontal="center" vertical="center"/>
    </xf>
    <xf numFmtId="167" fontId="12" fillId="5" borderId="6" xfId="2" applyNumberFormat="1" applyFont="1" applyFill="1" applyBorder="1" applyAlignment="1">
      <alignment horizontal="center" vertical="center"/>
    </xf>
    <xf numFmtId="167" fontId="12" fillId="0" borderId="19" xfId="2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5" xfId="0" applyBorder="1" applyAlignment="1">
      <alignment horizontal="center" vertical="center"/>
    </xf>
    <xf numFmtId="0" fontId="2" fillId="8" borderId="3" xfId="0" applyFont="1" applyFill="1" applyBorder="1"/>
    <xf numFmtId="0" fontId="2" fillId="8" borderId="18" xfId="0" applyFont="1" applyFill="1" applyBorder="1"/>
    <xf numFmtId="0" fontId="0" fillId="9" borderId="3" xfId="0" applyFill="1" applyBorder="1"/>
    <xf numFmtId="0" fontId="0" fillId="9" borderId="5" xfId="0" applyFill="1" applyBorder="1"/>
    <xf numFmtId="167" fontId="0" fillId="0" borderId="17" xfId="2" applyNumberFormat="1" applyFont="1" applyBorder="1"/>
    <xf numFmtId="167" fontId="0" fillId="0" borderId="18" xfId="2" applyNumberFormat="1" applyFont="1" applyBorder="1"/>
    <xf numFmtId="167" fontId="2" fillId="8" borderId="18" xfId="2" applyNumberFormat="1" applyFont="1" applyFill="1" applyBorder="1"/>
    <xf numFmtId="9" fontId="0" fillId="0" borderId="18" xfId="1" applyFont="1" applyBorder="1"/>
    <xf numFmtId="9" fontId="2" fillId="8" borderId="18" xfId="1" applyFont="1" applyFill="1" applyBorder="1"/>
    <xf numFmtId="8" fontId="3" fillId="9" borderId="18" xfId="0" applyNumberFormat="1" applyFont="1" applyFill="1" applyBorder="1"/>
    <xf numFmtId="8" fontId="0" fillId="9" borderId="18" xfId="0" applyNumberFormat="1" applyFill="1" applyBorder="1"/>
    <xf numFmtId="8" fontId="0" fillId="9" borderId="19" xfId="0" applyNumberFormat="1" applyFill="1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8" borderId="46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47" xfId="0" applyFont="1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9" xfId="0" applyBorder="1" applyAlignment="1">
      <alignment horizontal="center"/>
    </xf>
    <xf numFmtId="0" fontId="13" fillId="0" borderId="0" xfId="0" applyFont="1"/>
    <xf numFmtId="3" fontId="15" fillId="35" borderId="50" xfId="0" applyNumberFormat="1" applyFont="1" applyFill="1" applyBorder="1" applyAlignment="1">
      <alignment horizontal="center"/>
    </xf>
    <xf numFmtId="3" fontId="15" fillId="0" borderId="50" xfId="0" applyNumberFormat="1" applyFont="1" applyBorder="1" applyAlignment="1">
      <alignment horizontal="center"/>
    </xf>
    <xf numFmtId="0" fontId="14" fillId="34" borderId="51" xfId="0" applyFont="1" applyFill="1" applyBorder="1" applyAlignment="1">
      <alignment horizontal="center"/>
    </xf>
    <xf numFmtId="3" fontId="14" fillId="34" borderId="52" xfId="0" applyNumberFormat="1" applyFont="1" applyFill="1" applyBorder="1" applyAlignment="1">
      <alignment horizontal="center"/>
    </xf>
    <xf numFmtId="0" fontId="14" fillId="34" borderId="53" xfId="0" applyFont="1" applyFill="1" applyBorder="1" applyAlignment="1">
      <alignment horizontal="center"/>
    </xf>
    <xf numFmtId="0" fontId="15" fillId="35" borderId="54" xfId="0" applyFont="1" applyFill="1" applyBorder="1"/>
    <xf numFmtId="0" fontId="15" fillId="0" borderId="54" xfId="0" applyFont="1" applyBorder="1"/>
    <xf numFmtId="0" fontId="14" fillId="34" borderId="55" xfId="0" applyFont="1" applyFill="1" applyBorder="1"/>
    <xf numFmtId="0" fontId="14" fillId="34" borderId="56" xfId="0" applyFont="1" applyFill="1" applyBorder="1" applyAlignment="1">
      <alignment horizontal="center"/>
    </xf>
    <xf numFmtId="3" fontId="14" fillId="34" borderId="58" xfId="0" applyNumberFormat="1" applyFont="1" applyFill="1" applyBorder="1" applyAlignment="1">
      <alignment horizontal="center"/>
    </xf>
    <xf numFmtId="3" fontId="16" fillId="35" borderId="57" xfId="0" applyNumberFormat="1" applyFont="1" applyFill="1" applyBorder="1" applyAlignment="1">
      <alignment horizontal="center"/>
    </xf>
    <xf numFmtId="3" fontId="16" fillId="0" borderId="57" xfId="0" applyNumberFormat="1" applyFont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4" borderId="25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 vertical="center" wrapText="1"/>
    </xf>
    <xf numFmtId="14" fontId="0" fillId="5" borderId="7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165" fontId="0" fillId="5" borderId="8" xfId="0" applyNumberFormat="1" applyFill="1" applyBorder="1" applyAlignment="1">
      <alignment horizontal="center"/>
    </xf>
    <xf numFmtId="165" fontId="0" fillId="5" borderId="15" xfId="0" applyNumberFormat="1" applyFill="1" applyBorder="1" applyAlignment="1">
      <alignment horizontal="center"/>
    </xf>
    <xf numFmtId="0" fontId="2" fillId="16" borderId="23" xfId="0" applyFont="1" applyFill="1" applyBorder="1" applyAlignment="1">
      <alignment horizontal="center" vertical="center"/>
    </xf>
    <xf numFmtId="0" fontId="2" fillId="16" borderId="25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 vertical="center"/>
    </xf>
    <xf numFmtId="0" fontId="2" fillId="16" borderId="17" xfId="0" applyFont="1" applyFill="1" applyBorder="1" applyAlignment="1">
      <alignment horizontal="center" vertical="center"/>
    </xf>
    <xf numFmtId="0" fontId="2" fillId="27" borderId="10" xfId="0" applyFont="1" applyFill="1" applyBorder="1" applyAlignment="1">
      <alignment horizontal="center"/>
    </xf>
    <xf numFmtId="0" fontId="2" fillId="27" borderId="11" xfId="0" applyFont="1" applyFill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1">
    <dxf>
      <font>
        <color rgb="FFC0C0C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EF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Types" Target="richData/rdRichValueTyp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20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8" Type="http://schemas.openxmlformats.org/officeDocument/2006/relationships/image" Target="../media/image4.png"/><Relationship Id="rId3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customXml" Target="../ink/ink2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customXml" Target="../ink/ink2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179857</xdr:colOff>
      <xdr:row>5</xdr:row>
      <xdr:rowOff>63493</xdr:rowOff>
    </xdr:from>
    <xdr:to>
      <xdr:col>10</xdr:col>
      <xdr:colOff>110552</xdr:colOff>
      <xdr:row>7</xdr:row>
      <xdr:rowOff>10821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BF7F0CE-6B14-D791-5702-9A686888BA78}"/>
                </a:ext>
              </a:extLst>
            </xdr14:cNvPr>
            <xdr14:cNvContentPartPr/>
          </xdr14:nvContentPartPr>
          <xdr14:nvPr macro=""/>
          <xdr14:xfrm>
            <a:off x="4979880" y="1010220"/>
            <a:ext cx="584280" cy="3128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3BF7F0CE-6B14-D791-5702-9A686888BA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75560" y="1005900"/>
              <a:ext cx="592920" cy="32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172297</xdr:colOff>
      <xdr:row>3</xdr:row>
      <xdr:rowOff>64307</xdr:rowOff>
    </xdr:from>
    <xdr:to>
      <xdr:col>10</xdr:col>
      <xdr:colOff>62312</xdr:colOff>
      <xdr:row>4</xdr:row>
      <xdr:rowOff>170631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1A5A3C44-8293-1896-3B4D-CE3A21571275}"/>
                </a:ext>
              </a:extLst>
            </xdr14:cNvPr>
            <xdr14:cNvContentPartPr/>
          </xdr14:nvContentPartPr>
          <xdr14:nvPr macro=""/>
          <xdr14:xfrm>
            <a:off x="4972320" y="641580"/>
            <a:ext cx="543600" cy="2890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1A5A3C44-8293-1896-3B4D-CE3A2157127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968000" y="637260"/>
              <a:ext cx="552240" cy="2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161497</xdr:colOff>
      <xdr:row>2</xdr:row>
      <xdr:rowOff>63275</xdr:rowOff>
    </xdr:from>
    <xdr:to>
      <xdr:col>9</xdr:col>
      <xdr:colOff>629857</xdr:colOff>
      <xdr:row>2</xdr:row>
      <xdr:rowOff>170915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52EA7F56-CCF0-E140-A9A8-1AC4A8DA1B15}"/>
                </a:ext>
              </a:extLst>
            </xdr14:cNvPr>
            <xdr14:cNvContentPartPr/>
          </xdr14:nvContentPartPr>
          <xdr14:nvPr macro=""/>
          <xdr14:xfrm>
            <a:off x="4961520" y="455820"/>
            <a:ext cx="468360" cy="1076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52EA7F56-CCF0-E140-A9A8-1AC4A8DA1B1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957203" y="451500"/>
              <a:ext cx="476993" cy="11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285580</xdr:colOff>
      <xdr:row>31</xdr:row>
      <xdr:rowOff>21015</xdr:rowOff>
    </xdr:from>
    <xdr:to>
      <xdr:col>11</xdr:col>
      <xdr:colOff>29776</xdr:colOff>
      <xdr:row>34</xdr:row>
      <xdr:rowOff>107787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AC8233D4-B041-D765-3B7D-AB6810B372B1}"/>
                </a:ext>
              </a:extLst>
            </xdr14:cNvPr>
            <xdr14:cNvContentPartPr/>
          </xdr14:nvContentPartPr>
          <xdr14:nvPr macro=""/>
          <xdr14:xfrm>
            <a:off x="5086800" y="5766991"/>
            <a:ext cx="1008000" cy="6350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AC8233D4-B041-D765-3B7D-AB6810B372B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082480" y="5762671"/>
              <a:ext cx="1016640" cy="64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198205</xdr:colOff>
      <xdr:row>61</xdr:row>
      <xdr:rowOff>107354</xdr:rowOff>
    </xdr:from>
    <xdr:to>
      <xdr:col>12</xdr:col>
      <xdr:colOff>406285</xdr:colOff>
      <xdr:row>62</xdr:row>
      <xdr:rowOff>53035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52B1A923-1AD5-BFC8-4E45-F7450DCF11EB}"/>
                </a:ext>
              </a:extLst>
            </xdr14:cNvPr>
            <xdr14:cNvContentPartPr/>
          </xdr14:nvContentPartPr>
          <xdr14:nvPr macro=""/>
          <xdr14:xfrm>
            <a:off x="6935400" y="11363891"/>
            <a:ext cx="208080" cy="1501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52B1A923-1AD5-BFC8-4E45-F7450DCF11E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931080" y="11359561"/>
              <a:ext cx="216720" cy="1587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224485</xdr:colOff>
      <xdr:row>62</xdr:row>
      <xdr:rowOff>122515</xdr:rowOff>
    </xdr:from>
    <xdr:to>
      <xdr:col>12</xdr:col>
      <xdr:colOff>428245</xdr:colOff>
      <xdr:row>63</xdr:row>
      <xdr:rowOff>72599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1807600F-2678-D038-186E-15399389144E}"/>
                </a:ext>
              </a:extLst>
            </xdr14:cNvPr>
            <xdr14:cNvContentPartPr/>
          </xdr14:nvContentPartPr>
          <xdr14:nvPr macro=""/>
          <xdr14:xfrm>
            <a:off x="6961680" y="11583491"/>
            <a:ext cx="203760" cy="13284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1807600F-2678-D038-186E-15399389144E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957352" y="11579171"/>
              <a:ext cx="212415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92790</xdr:colOff>
      <xdr:row>61</xdr:row>
      <xdr:rowOff>78554</xdr:rowOff>
    </xdr:from>
    <xdr:to>
      <xdr:col>13</xdr:col>
      <xdr:colOff>363510</xdr:colOff>
      <xdr:row>63</xdr:row>
      <xdr:rowOff>11039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3CC8EE7E-2222-41CE-64C5-9A96C4F9BB0D}"/>
                </a:ext>
              </a:extLst>
            </xdr14:cNvPr>
            <xdr14:cNvContentPartPr/>
          </xdr14:nvContentPartPr>
          <xdr14:nvPr macro=""/>
          <xdr14:xfrm>
            <a:off x="7440205" y="11335091"/>
            <a:ext cx="270720" cy="31968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3CC8EE7E-2222-41CE-64C5-9A96C4F9BB0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435885" y="11330766"/>
              <a:ext cx="279360" cy="3283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597510</xdr:colOff>
      <xdr:row>60</xdr:row>
      <xdr:rowOff>128043</xdr:rowOff>
    </xdr:from>
    <xdr:to>
      <xdr:col>14</xdr:col>
      <xdr:colOff>462491</xdr:colOff>
      <xdr:row>62</xdr:row>
      <xdr:rowOff>116395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540266D8-F1F2-9C19-C0C6-F5FAD9FF772D}"/>
                </a:ext>
              </a:extLst>
            </xdr14:cNvPr>
            <xdr14:cNvContentPartPr/>
          </xdr14:nvContentPartPr>
          <xdr14:nvPr macro=""/>
          <xdr14:xfrm>
            <a:off x="7944925" y="11192531"/>
            <a:ext cx="475200" cy="38484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540266D8-F1F2-9C19-C0C6-F5FAD9FF772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940605" y="11188211"/>
              <a:ext cx="483840" cy="39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244567</xdr:colOff>
      <xdr:row>64</xdr:row>
      <xdr:rowOff>77403</xdr:rowOff>
    </xdr:from>
    <xdr:to>
      <xdr:col>12</xdr:col>
      <xdr:colOff>568927</xdr:colOff>
      <xdr:row>66</xdr:row>
      <xdr:rowOff>82331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91D814B8-1173-9F3F-FDCE-742E0BBB1481}"/>
                </a:ext>
              </a:extLst>
            </xdr14:cNvPr>
            <xdr14:cNvContentPartPr/>
          </xdr14:nvContentPartPr>
          <xdr14:nvPr macro=""/>
          <xdr14:xfrm>
            <a:off x="6981762" y="11903891"/>
            <a:ext cx="324360" cy="37044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91D814B8-1173-9F3F-FDCE-742E0BBB1481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6977442" y="11899571"/>
              <a:ext cx="333000" cy="37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35213</xdr:colOff>
      <xdr:row>62</xdr:row>
      <xdr:rowOff>141595</xdr:rowOff>
    </xdr:from>
    <xdr:to>
      <xdr:col>15</xdr:col>
      <xdr:colOff>406733</xdr:colOff>
      <xdr:row>64</xdr:row>
      <xdr:rowOff>105843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48A67501-81C6-6321-1BE4-87639138625D}"/>
                </a:ext>
              </a:extLst>
            </xdr14:cNvPr>
            <xdr14:cNvContentPartPr/>
          </xdr14:nvContentPartPr>
          <xdr14:nvPr macro=""/>
          <xdr14:xfrm>
            <a:off x="8603067" y="11602571"/>
            <a:ext cx="371520" cy="32976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48A67501-81C6-6321-1BE4-87639138625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598747" y="11598256"/>
              <a:ext cx="380160" cy="3383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97912</xdr:colOff>
      <xdr:row>65</xdr:row>
      <xdr:rowOff>62047</xdr:rowOff>
    </xdr:from>
    <xdr:to>
      <xdr:col>12</xdr:col>
      <xdr:colOff>158392</xdr:colOff>
      <xdr:row>65</xdr:row>
      <xdr:rowOff>123607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6A32EFA1-7570-D160-1C2F-8C87AB51043F}"/>
                </a:ext>
              </a:extLst>
            </xdr14:cNvPr>
            <xdr14:cNvContentPartPr/>
          </xdr14:nvContentPartPr>
          <xdr14:nvPr macro=""/>
          <xdr14:xfrm>
            <a:off x="6835107" y="12071291"/>
            <a:ext cx="60480" cy="6156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6A32EFA1-7570-D160-1C2F-8C87AB51043F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830787" y="12066971"/>
              <a:ext cx="69120" cy="7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221392</xdr:colOff>
      <xdr:row>68</xdr:row>
      <xdr:rowOff>22459</xdr:rowOff>
    </xdr:from>
    <xdr:to>
      <xdr:col>12</xdr:col>
      <xdr:colOff>267472</xdr:colOff>
      <xdr:row>68</xdr:row>
      <xdr:rowOff>91579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A59E6CF8-9EBD-2942-5482-DAC375A186CF}"/>
                </a:ext>
              </a:extLst>
            </xdr14:cNvPr>
            <xdr14:cNvContentPartPr/>
          </xdr14:nvContentPartPr>
          <xdr14:nvPr macro=""/>
          <xdr14:xfrm>
            <a:off x="6958587" y="12579971"/>
            <a:ext cx="46080" cy="6912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A59E6CF8-9EBD-2942-5482-DAC375A186C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6954267" y="12575651"/>
              <a:ext cx="54720" cy="7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426592</xdr:colOff>
      <xdr:row>67</xdr:row>
      <xdr:rowOff>92895</xdr:rowOff>
    </xdr:from>
    <xdr:to>
      <xdr:col>13</xdr:col>
      <xdr:colOff>201932</xdr:colOff>
      <xdr:row>68</xdr:row>
      <xdr:rowOff>144499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0693BCD5-8378-3582-C348-238E3F2E4AFE}"/>
                </a:ext>
              </a:extLst>
            </xdr14:cNvPr>
            <xdr14:cNvContentPartPr/>
          </xdr14:nvContentPartPr>
          <xdr14:nvPr macro=""/>
          <xdr14:xfrm>
            <a:off x="7163787" y="12467651"/>
            <a:ext cx="385560" cy="23436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0693BCD5-8378-3582-C348-238E3F2E4AFE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159467" y="12463331"/>
              <a:ext cx="39420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529192</xdr:colOff>
      <xdr:row>69</xdr:row>
      <xdr:rowOff>56423</xdr:rowOff>
    </xdr:from>
    <xdr:to>
      <xdr:col>13</xdr:col>
      <xdr:colOff>176372</xdr:colOff>
      <xdr:row>70</xdr:row>
      <xdr:rowOff>68787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A12F9846-D05B-EDD5-4176-FF46D7B7CD77}"/>
                </a:ext>
              </a:extLst>
            </xdr14:cNvPr>
            <xdr14:cNvContentPartPr/>
          </xdr14:nvContentPartPr>
          <xdr14:nvPr macro=""/>
          <xdr14:xfrm>
            <a:off x="7266387" y="12796691"/>
            <a:ext cx="257400" cy="19512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A12F9846-D05B-EDD5-4176-FF46D7B7CD77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7262067" y="12792371"/>
              <a:ext cx="26604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429812</xdr:colOff>
      <xdr:row>66</xdr:row>
      <xdr:rowOff>76571</xdr:rowOff>
    </xdr:from>
    <xdr:to>
      <xdr:col>15</xdr:col>
      <xdr:colOff>96773</xdr:colOff>
      <xdr:row>69</xdr:row>
      <xdr:rowOff>31583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97889B67-A58A-39E1-18C0-A2D9A2FA03CC}"/>
                </a:ext>
              </a:extLst>
            </xdr14:cNvPr>
            <xdr14:cNvContentPartPr/>
          </xdr14:nvContentPartPr>
          <xdr14:nvPr macro=""/>
          <xdr14:xfrm>
            <a:off x="7777227" y="12268571"/>
            <a:ext cx="887400" cy="50328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97889B67-A58A-39E1-18C0-A2D9A2FA03CC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7772907" y="12264248"/>
              <a:ext cx="896040" cy="5119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285773</xdr:colOff>
      <xdr:row>65</xdr:row>
      <xdr:rowOff>89047</xdr:rowOff>
    </xdr:from>
    <xdr:to>
      <xdr:col>16</xdr:col>
      <xdr:colOff>75154</xdr:colOff>
      <xdr:row>67</xdr:row>
      <xdr:rowOff>100095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09F51F57-2E29-8583-1F38-4A230F35CB0F}"/>
                </a:ext>
              </a:extLst>
            </xdr14:cNvPr>
            <xdr14:cNvContentPartPr/>
          </xdr14:nvContentPartPr>
          <xdr14:nvPr macro=""/>
          <xdr14:xfrm>
            <a:off x="8853627" y="12098291"/>
            <a:ext cx="399600" cy="37656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09F51F57-2E29-8583-1F38-4A230F35CB0F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8849307" y="12093971"/>
              <a:ext cx="408240" cy="38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327232</xdr:colOff>
      <xdr:row>71</xdr:row>
      <xdr:rowOff>170071</xdr:rowOff>
    </xdr:from>
    <xdr:to>
      <xdr:col>12</xdr:col>
      <xdr:colOff>400672</xdr:colOff>
      <xdr:row>72</xdr:row>
      <xdr:rowOff>77314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2C70144D-EA04-744B-6FB4-89AF87E85CFA}"/>
                </a:ext>
              </a:extLst>
            </xdr14:cNvPr>
            <xdr14:cNvContentPartPr/>
          </xdr14:nvContentPartPr>
          <xdr14:nvPr macro=""/>
          <xdr14:xfrm>
            <a:off x="7064427" y="13275851"/>
            <a:ext cx="73440" cy="9000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2C70144D-EA04-744B-6FB4-89AF87E85CF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7060107" y="13271531"/>
              <a:ext cx="8208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583552</xdr:colOff>
      <xdr:row>71</xdr:row>
      <xdr:rowOff>105271</xdr:rowOff>
    </xdr:from>
    <xdr:to>
      <xdr:col>13</xdr:col>
      <xdr:colOff>447452</xdr:colOff>
      <xdr:row>73</xdr:row>
      <xdr:rowOff>95798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E60FF5A2-C3F8-0843-AD48-DA1CDD6A255D}"/>
                </a:ext>
              </a:extLst>
            </xdr14:cNvPr>
            <xdr14:cNvContentPartPr/>
          </xdr14:nvContentPartPr>
          <xdr14:nvPr macro=""/>
          <xdr14:xfrm>
            <a:off x="7320747" y="13211051"/>
            <a:ext cx="474120" cy="3560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E60FF5A2-C3F8-0843-AD48-DA1CDD6A255D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7316430" y="13206731"/>
              <a:ext cx="482753" cy="36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64753</xdr:colOff>
      <xdr:row>68</xdr:row>
      <xdr:rowOff>54499</xdr:rowOff>
    </xdr:from>
    <xdr:to>
      <xdr:col>16</xdr:col>
      <xdr:colOff>432274</xdr:colOff>
      <xdr:row>72</xdr:row>
      <xdr:rowOff>124114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679E34E1-AD61-F8BC-A273-F3DD208E1E0B}"/>
                </a:ext>
              </a:extLst>
            </xdr14:cNvPr>
            <xdr14:cNvContentPartPr/>
          </xdr14:nvContentPartPr>
          <xdr14:nvPr macro=""/>
          <xdr14:xfrm>
            <a:off x="8022387" y="12612011"/>
            <a:ext cx="1587960" cy="80064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679E34E1-AD61-F8BC-A273-F3DD208E1E0B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018066" y="12607693"/>
              <a:ext cx="1596602" cy="8092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313912</xdr:colOff>
      <xdr:row>62</xdr:row>
      <xdr:rowOff>172195</xdr:rowOff>
    </xdr:from>
    <xdr:to>
      <xdr:col>15</xdr:col>
      <xdr:colOff>505373</xdr:colOff>
      <xdr:row>66</xdr:row>
      <xdr:rowOff>159731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97D7FE75-5BED-D977-D2B8-C997CD08C13C}"/>
                </a:ext>
              </a:extLst>
            </xdr14:cNvPr>
            <xdr14:cNvContentPartPr/>
          </xdr14:nvContentPartPr>
          <xdr14:nvPr macro=""/>
          <xdr14:xfrm>
            <a:off x="7051107" y="11633171"/>
            <a:ext cx="2022120" cy="71856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97D7FE75-5BED-D977-D2B8-C997CD08C13C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046787" y="11628853"/>
              <a:ext cx="2030760" cy="72719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556922</xdr:colOff>
      <xdr:row>75</xdr:row>
      <xdr:rowOff>169011</xdr:rowOff>
    </xdr:from>
    <xdr:to>
      <xdr:col>3</xdr:col>
      <xdr:colOff>557282</xdr:colOff>
      <xdr:row>75</xdr:row>
      <xdr:rowOff>170451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F47D8B2F-C666-AE9E-77BE-702BCBB22C75}"/>
                </a:ext>
              </a:extLst>
            </xdr14:cNvPr>
            <xdr14:cNvContentPartPr/>
          </xdr14:nvContentPartPr>
          <xdr14:nvPr macro=""/>
          <xdr14:xfrm>
            <a:off x="3705945" y="14040875"/>
            <a:ext cx="360" cy="14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F47D8B2F-C666-AE9E-77BE-702BCBB22C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01625" y="14036555"/>
              <a:ext cx="9000" cy="1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556922</xdr:colOff>
      <xdr:row>168</xdr:row>
      <xdr:rowOff>169011</xdr:rowOff>
    </xdr:from>
    <xdr:to>
      <xdr:col>2</xdr:col>
      <xdr:colOff>557282</xdr:colOff>
      <xdr:row>168</xdr:row>
      <xdr:rowOff>170451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9103658-CF3D-4698-B5AF-98175F8E4B20}"/>
                </a:ext>
              </a:extLst>
            </xdr14:cNvPr>
            <xdr14:cNvContentPartPr/>
          </xdr14:nvContentPartPr>
          <xdr14:nvPr macro=""/>
          <xdr14:xfrm>
            <a:off x="3705945" y="14040875"/>
            <a:ext cx="360" cy="14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F47D8B2F-C666-AE9E-77BE-702BCBB22C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01625" y="14036555"/>
              <a:ext cx="9000" cy="1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6</xdr:col>
      <xdr:colOff>162118</xdr:colOff>
      <xdr:row>11</xdr:row>
      <xdr:rowOff>92268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355962-5BD5-AEE0-DFFE-98D53F3BC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736600"/>
          <a:ext cx="1381318" cy="1381318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0:47:55.20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230 0 24575,'-11'0'0,"0"0"0,-1 1 0,1 1 0,0 0 0,0 0 0,-16 6 0,21-6 0,0 1 0,0 0 0,1 0 0,-1 1 0,1-1 0,0 1 0,0 0 0,0 0 0,1 1 0,-1 0 0,1 0 0,-7 10 0,1 1 0,1 1 0,0 0 0,1 1 0,1 0 0,1 0 0,-6 25 0,11-41 0,1 1 0,0-1 0,-1 0 0,1 0 0,0 1 0,0-1 0,1 0 0,-1 0 0,0 0 0,1 1 0,-1-1 0,1 0 0,0 0 0,-1 0 0,1 0 0,0 0 0,1 0 0,-1 0 0,0 0 0,0 0 0,3 1 0,-1 0 0,0-1 0,0 1 0,0-1 0,1 0 0,0 0 0,-1 0 0,1-1 0,0 1 0,-1-1 0,9 2 0,4-1 0,-1 0 0,1-2 0,0 1 0,30-4 0,-22-1-682,43-11-1,-31 3-6143</inkml:trace>
  <inkml:trace contextRef="#ctx0" brushRef="#br0" timeOffset="400.02">462 88 24575,'0'0'0,"1"-1"0,-1 0 0,0 0 0,0 1 0,0-1 0,0 0 0,0 0 0,-1 1 0,1-1 0,0 0 0,0 0 0,0 1 0,-1-1 0,1 0 0,0 1 0,-1-1 0,1 0 0,0 1 0,-1-1 0,1 0 0,-1 1 0,1-1 0,-1 1 0,0-1 0,1 1 0,-1-1 0,1 1 0,-1-1 0,0 1 0,-1-1 0,1 1 0,-1 0 0,0 0 0,1 0 0,-1 0 0,0 0 0,0 1 0,1-1 0,-1 0 0,0 1 0,1 0 0,-1-1 0,-2 2 0,-4 2 0,1 1 0,0-1 0,1 1 0,-12 10 0,9-5 0,1 0 0,0 0 0,1 1 0,0 0 0,-6 16 0,9-20 0,1 1 0,0 0 0,1 0 0,-1 0 0,2 0 0,-1 0 0,1 0 0,0 0 0,1 12 0,0-17 0,1 0 0,0 1 0,0-1 0,0 0 0,1 0 0,-1 0 0,1 0 0,-1 0 0,1 0 0,0 0 0,0 0 0,0-1 0,1 1 0,-1-1 0,1 0 0,-1 1 0,1-1 0,0 0 0,-1-1 0,7 4 0,-5-3 0,0 0 0,0 0 0,0-1 0,1 1 0,-1-1 0,0 0 0,1 0 0,-1-1 0,1 1 0,-1-1 0,1 0 0,-1 0 0,1-1 0,-1 1 0,6-2 0,-9 2 0,0 0 0,0 0 0,0-1 0,0 1 0,0 0 0,0-1 0,0 1 0,0 0 0,0-1 0,-1 1 0,1-1 0,0 0 0,0 1 0,0-1 0,-1 0 0,1 1 0,0-1 0,-1 0 0,1 0 0,-1 1 0,1-1 0,-1 0 0,1 0 0,-1 0 0,1 0 0,-1 0 0,0 0 0,0 0 0,1 0 0,-1 0 0,0 0 0,0 0 0,0 0 0,0 0 0,0 0 0,0 0 0,0 0 0,-1 0 0,1 0 0,0 0 0,0 0 0,-1 0 0,0-1 0,0-1 0,-1 1 0,0-1 0,1 0 0,-1 1 0,0-1 0,-1 1 0,1 0 0,0 0 0,-1-1 0,1 1 0,-1 1 0,-4-3 0,3 1-105,1 1 0,-1 1 0,-1-1 0,1 1 0,0-1 0,0 1 0,0 0 0,-1 1 0,1-1 0,0 1 0,-1 0 0,-7 0 0</inkml:trace>
  <inkml:trace contextRef="#ctx0" brushRef="#br0" timeOffset="582.18">871 128 24575,'-2'0'0,"-5"0"0,2 0 0,0 3 0</inkml:trace>
  <inkml:trace contextRef="#ctx0" brushRef="#br0" timeOffset="753.87">823 297 24575,'2'0'0,"2"0"0,4 0 0,3 0 0,3 0 0,-1 0-8191</inkml:trace>
  <inkml:trace contextRef="#ctx0" brushRef="#br0" timeOffset="991.13">1104 128 24575,'-2'0'0,"1"2"0,-4 2 0,0 7 0,1 5 0,1 4 0,0 3 0,2 2 0,0-2 0,2 0 0,4-6 0,0-7 0,0-9 0</inkml:trace>
  <inkml:trace contextRef="#ctx0" brushRef="#br0" timeOffset="1117.83">1104 144 24575,'2'-7'0,"2"-3"0,2 0 0,1-2 0,2 2 0,4 3 0,1 2 0,1 2 0,2 1 0,-1 2 0,-2 3 0,-4 4 0,-3 0-8191</inkml:trace>
  <inkml:trace contextRef="#ctx0" brushRef="#br0" timeOffset="1281.78">1088 232 24575,'1'0'0,"5"0"0,8 0 0,6-2 0,3-2 0,4-2 0,1 0 0,-2-3 0,-5 2-8191</inkml:trace>
  <inkml:trace contextRef="#ctx0" brushRef="#br0" timeOffset="1591.78">1433 104 24575,'-6'0'0,"1"1"0,0-1 0,0 1 0,-1 0 0,1 0 0,0 1 0,0 0 0,0 0 0,0 0 0,0 0 0,1 1 0,-1-1 0,1 1 0,-1 1 0,1-1 0,0 0 0,0 1 0,1 0 0,-1 0 0,1 0 0,0 1 0,0-1 0,0 1 0,0-1 0,1 1 0,0 0 0,0 0 0,0 0 0,1 0 0,-1 0 0,0 7 0,2-10 0,0 0 0,0 0 0,0 0 0,0 0 0,0 0 0,1 0 0,-1-1 0,0 1 0,1 0 0,0 0 0,-1 0 0,1-1 0,0 1 0,0 0 0,0-1 0,0 1 0,0 0 0,0-1 0,0 0 0,1 1 0,-1-1 0,0 0 0,1 1 0,-1-1 0,1 0 0,-1 0 0,1 0 0,0-1 0,-1 1 0,1 0 0,0 0 0,0-1 0,0 1 0,0-1 0,2 1 0,0-1 0,0 1 0,0-1 0,0 0 0,0 0 0,0 0 0,0-1 0,0 1 0,0-1 0,0 0 0,0 0 0,0 0 0,0-1 0,0 1 0,-1-1 0,6-3 0,-8 4 0,0 1 0,1-1 0,-1 0 0,0 0 0,0 0 0,0 0 0,1 0 0,-1 0 0,0 0 0,-1 0 0,1 0 0,0 0 0,0-1 0,0 1 0,-1 0 0,1-1 0,0 1 0,-1 0 0,0-1 0,1 1 0,-1-1 0,0 1 0,1-1 0,-1 1 0,0 0 0,0-1 0,0 1 0,0-1 0,-1 1 0,0-3 0,0 2 0,0 1 0,0-1 0,-1 1 0,1-1 0,-1 1 0,1 0 0,-1 0 0,1 0 0,-1 0 0,0 0 0,1 0 0,-1 0 0,0 1 0,0-1 0,0 1 0,1-1 0,-1 1 0,0 0 0,0-1 0,0 1 0,0 0 0,0 0 0,-3 1 0,-10 1-170,1 1-1,-1 0 0,1 1 1,0 1-1,0 0 0,1 1 1,-19 10-1,4-1-6655</inkml:trace>
  <inkml:trace contextRef="#ctx0" brushRef="#br0" timeOffset="2153.89">334 457 24575,'-4'-2'0,"1"0"0,-1 1 0,0-1 0,0 1 0,0 0 0,0 0 0,-1 0 0,1 0 0,0 1 0,0 0 0,0 0 0,-1 0 0,1 0 0,0 1 0,0-1 0,-6 3 0,5-1 0,0 0 0,0 0 0,0 1 0,1 0 0,-1 0 0,1 0 0,0 0 0,0 1 0,0-1 0,0 1 0,-4 6 0,0 2 0,0 0 0,1 0 0,1 0 0,0 1 0,1 0 0,0 0 0,1 1 0,-5 24 0,8-30 0,0 0 0,0 0 0,0 0 0,1 1 0,1-1 0,-1 0 0,4 16 0,-3-21 0,1 1 0,-1-1 0,0 0 0,1 1 0,0-1 0,0 0 0,0 0 0,0 0 0,0 0 0,1 0 0,-1 0 0,1-1 0,0 1 0,0-1 0,0 0 0,0 0 0,0 0 0,0 0 0,7 2 0,-3-1 29,0-1-1,1 0 1,0 0-1,0-1 0,-1 1 1,1-2-1,0 1 1,0-1-1,0 0 1,0-1-1,11-2 1,-13 2-130,-1 0 1,1-1-1,-1 0 1,0 0 0,1 0-1,-1-1 1,0 0-1,0 0 1,-1 0 0,1 0-1,-1-1 1,1 0 0,-1 0-1,0 0 1,0 0-1,4-8 1,2-6-6726</inkml:trace>
  <inkml:trace contextRef="#ctx0" brushRef="#br0" timeOffset="2480.02">391 537 24575,'20'-1'0,"0"-1"0,0 0 0,35-10 0,-54 11 0,1 1 0,0-1 0,0 1 0,0-1 0,0 1 0,0 0 0,-1 0 0,1 0 0,0 0 0,0 0 0,0 0 0,0 0 0,3 1 0,-4 0 0,0 0 0,0-1 0,0 1 0,0 0 0,-1 0 0,1 0 0,0 0 0,-1-1 0,1 1 0,0 0 0,-1 0 0,1 0 0,-1 0 0,0 0 0,1 1 0,-1-1 0,0 0 0,0 0 0,1 0 0,-1 0 0,0 0 0,0 0 0,0 0 0,-1 2 0,-11 189-1365,12-183-5461</inkml:trace>
  <inkml:trace contextRef="#ctx0" brushRef="#br0" timeOffset="2807.18">807 577 24575,'0'-2'0,"3"-2"0,1 2 0,-1 4 0</inkml:trace>
  <inkml:trace contextRef="#ctx0" brushRef="#br0" timeOffset="2964.32">816 697 24575,'0'3'0,"-3"1"0,2-1 0,1-1 0</inkml:trace>
  <inkml:trace contextRef="#ctx0" brushRef="#br0" timeOffset="3368.98">1104 545 24575,'-1'1'0,"1"-1"0,-1 1 0,1-1 0,-1 1 0,1-1 0,-1 1 0,1-1 0,-1 1 0,1-1 0,0 1 0,-1 0 0,1-1 0,0 1 0,0 0 0,-1-1 0,1 1 0,0 0 0,0 0 0,0-1 0,0 1 0,0 0 0,0-1 0,0 2 0,-1 22 0,1-20 0,0 2 0,-2 61 0,3-55 0,0-45 0,0 25 0,6-80 0,-6 78 0,1 1 0,0 0 0,1 0 0,0 0 0,0 0 0,1 0 0,5-10 0,-7 16 19,0 1 0,0-1 0,0 1 0,0 0 0,0 0 0,1-1 0,-1 1 0,1 1 0,-1-1 0,1 0 0,0 1 0,0-1 0,0 1 0,-1 0 0,1 0 0,0 0 0,5-1 0,-6 2-76,0 0 0,0 0 0,0 0 0,0 0 0,-1 0 0,1 0 0,0 0 0,0 1 1,0-1-1,0 1 0,-1-1 0,1 1 0,0 0 0,-1 0 0,1 0 0,0 0 0,-1 0 1,1 0-1,-1 0 0,0 1 0,1-1 0,-1 0 0,0 1 0,0-1 0,0 1 1,0-1-1,0 1 0,0 0 0,1 2 0,4 12-6769</inkml:trace>
  <inkml:trace contextRef="#ctx0" brushRef="#br0" timeOffset="3528.88">1128 593 24575,'-3'0'0,"5"-1"0,3-1 0,7 0 0,3-3 0,4-2 0,1 2 0,0-3 0,-4 2-8191</inkml:trace>
  <inkml:trace contextRef="#ctx0" brushRef="#br0" timeOffset="3888.91">1328 489 24575,'37'-1'0,"72"3"0,-109-2 0,1 0 0,-1 0 0,0 0 0,1 1 0,-1-1 0,0 0 0,1 0 0,-1 1 0,0-1 0,1 0 0,-1 0 0,0 1 0,0-1 0,1 0 0,-1 1 0,0-1 0,0 0 0,0 1 0,1-1 0,-1 0 0,0 1 0,0-1 0,0 1 0,0-1 0,0 0 0,0 1 0,0-1 0,0 1 0,0-1 0,0 0 0,0 1 0,0-1 0,0 1 0,0-1 0,0 0 0,0 1 0,-1-1 0,1 0 0,0 1 0,0-1 0,0 0 0,-1 1 0,1-1 0,0 1 0,-13 23 0,9-16 0,-5 12 0,2 0 0,0 1 0,1 0 0,-5 41 0,7-27 0,2 0 0,2 46 0,4-45 0,-2-36 171,-1-6 0,1-9-1878,-1-4-5119</inkml:trace>
  <inkml:trace contextRef="#ctx0" brushRef="#br0" timeOffset="4090.01">1392 690 24575,'-2'0'0,"5"0"0,9 0 0,11 0 0,12-7 0,4-2 0,0-3 0,-4 2 0,-9 1 0,-10 3 0,-11 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0:47:49.81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115 22 24575,'-1'11'0,"-1"0"0,0-1 0,0 1 0,-1-1 0,-5 12 0,0 4 0,6-18 0,-1 3 0,0 0 0,0-1 0,-1 1 0,0-1 0,-1 0 0,0 0 0,0-1 0,-11 14 0,16-23 0,0 0 0,-1 1 0,1-1 0,0 0 0,0 1 0,-1-1 0,1 0 0,0 1 0,-1-1 0,1 0 0,0 0 0,-1 1 0,1-1 0,-1 0 0,1 0 0,0 0 0,-1 1 0,1-1 0,-1 0 0,1 0 0,0 0 0,-1 0 0,1 0 0,-1 0 0,1 0 0,-1 0 0,1 0 0,-1 0 0,1 0 0,0 0 0,-1 0 0,1-1 0,-1 1 0,1 0 0,0 0 0,-1 0 0,1 0 0,-1-1 0,1 1 0,0 0 0,-1-1 0,1 1 0,0 0 0,0 0 0,-1-1 0,1 1 0,0-1 0,0 1 0,-1 0 0,1-1 0,0 1 0,0 0 0,0-1 0,0 1 0,-1-1 0,1 1 0,0-1 0,0 1 0,0 0 0,0-1 0,0 0 0,-3-30 0,3 29 0,0-1 0,-1-22 0,4-43 0,-1 63 87,0 6 76,4 12-199,1 1-1543,0-6-5247</inkml:trace>
  <inkml:trace contextRef="#ctx0" brushRef="#br0" timeOffset="401.1">155 46 24575,'0'-2'0,"0"0"0,0 0 0,-1 1 0,1-1 0,0 0 0,-1 0 0,1 0 0,-1 1 0,1-1 0,-1 0 0,0 1 0,0-1 0,0 0 0,0 1 0,0-1 0,0 1 0,0-1 0,0 1 0,-1 0 0,1-1 0,0 1 0,-1 0 0,1 0 0,-1 0 0,1 0 0,-1 0 0,0 1 0,0-1 0,1 0 0,-1 1 0,-3-1 0,2 0 0,0 1 0,0 0 0,-1 0 0,1 0 0,0 0 0,0 0 0,0 1 0,0-1 0,0 1 0,0 0 0,0 0 0,0 0 0,0 0 0,1 0 0,-1 1 0,0-1 0,1 1 0,-5 3 0,1 2 0,0 0 0,1 0 0,-1 0 0,2 1 0,-1-1 0,1 1 0,0 0 0,1 0 0,-4 12 0,5-15 0,1 0 0,-1 0 0,1 0 0,0 0 0,1 0 0,-1 0 0,1 1 0,0-1 0,0 0 0,1 0 0,-1 0 0,1 0 0,0 0 0,1 0 0,-1 0 0,1 0 0,3 6 0,-2-8 0,0 0 0,0 0 0,0 0 0,0-1 0,0 1 0,1-1 0,-1 0 0,1 0 0,0 0 0,-1-1 0,1 1 0,0-1 0,0 0 0,0 0 0,0 0 0,0-1 0,0 1 0,7-1 0,0 0 0,0 0 0,0-1 0,0 0 0,-1 0 0,21-7 0,-26 7-195,1-1 0,-1-1 0,0 1 0,0-1 0,-1 0 0,8-6 0,0-1-6631</inkml:trace>
  <inkml:trace contextRef="#ctx0" brushRef="#br0" timeOffset="836.81">275 38 24575,'-1'-15'0,"-1"26"0,-1 23 0,2-13 0,-1-3 0,2 1 0,2 34 0,-2-52 0,0-1 0,0 1 0,1 0 0,-1 0 0,0-1 0,0 1 0,0 0 0,1-1 0,-1 1 0,0 0 0,0-1 0,1 1 0,-1 0 0,1-1 0,-1 1 0,1-1 0,-1 1 0,1-1 0,-1 1 0,1-1 0,-1 1 0,1-1 0,0 1 0,-1-1 0,1 0 0,-1 1 0,2-1 0,-1 0 0,1 0 0,-1 0 0,0 0 0,1 0 0,-1 0 0,0 0 0,1-1 0,-1 1 0,0-1 0,1 1 0,-1-1 0,0 1 0,2-2 0,3-1 0,-1-1 0,0 0 0,0 0 0,0 0 0,4-6 0,-4 3 0,-1 1 0,0-1 0,0 0 0,4-11 0,4-7 0,-10 52 0,-4 15 0,0-5 0,3 37 0,-1-73-50,0 0-1,0 0 1,0 0-1,1 0 0,-1 0 1,0 0-1,0 0 1,1-1-1,-1 1 1,0 0-1,1 0 0,-1 0 1,1 0-1,-1 0 1,1-1-1,-1 1 1,1 0-1,-1 0 0,1-1 1,0 1-1,0-1 1,-1 1-1,1 0 1,0-1-1,0 1 1,1-1-1,10 4-6775</inkml:trace>
  <inkml:trace contextRef="#ctx0" brushRef="#br0" timeOffset="976.82">596 86 24575,'2'4'0,"2"4"0,0 1-8191</inkml:trace>
  <inkml:trace contextRef="#ctx0" brushRef="#br0" timeOffset="1134.07">692 278 24575,'1'-1'0,"4"-8"0,0-2-8191</inkml:trace>
  <inkml:trace contextRef="#ctx0" brushRef="#br0" timeOffset="1379.92">877 126 24575,'0'1'0,"0"4"0,0 4 0,2 6 0,2 5 0,-1 4 0,3 3 0,-1 2 0,0-2 0,-2-1 0,0-6 0,-2-6-8191</inkml:trace>
  <inkml:trace contextRef="#ctx0" brushRef="#br0" timeOffset="1533.49">884 166 24575,'0'-3'0,"2"0"0,-1-3 0,7-1 0,6-2 0,5-1 0,4-2 0,1 1 0,0 2 0,-4 5 0,-3 4 0,-4 6 0,-6 5 0,-4 0-8191</inkml:trace>
  <inkml:trace contextRef="#ctx0" brushRef="#br0" timeOffset="1689.84">941 254 24575,'2'0'0,"7"0"0,5-1 0,3-1 0,4-4 0,3 0 0,0-5 0,-3 1-8191</inkml:trace>
  <inkml:trace contextRef="#ctx0" brushRef="#br0" timeOffset="2016.14">1173 126 24575,'-2'3'0,"0"-1"0,1 1 0,-1 0 0,1 0 0,0 0 0,0 0 0,0 0 0,-1 6 0,1-6 0,-1 5 0,1-1 0,-1 1 0,1 0 0,0-1 0,1 1 0,0 9 0,0-16 0,0 0 0,0 0 0,0 0 0,0 1 0,0-1 0,1 0 0,-1 0 0,1 0 0,-1 1 0,0-1 0,1 0 0,0 0 0,-1 0 0,1 0 0,0 0 0,-1 0 0,1 0 0,0 0 0,0 0 0,0-1 0,0 1 0,0 0 0,0 0 0,0-1 0,0 1 0,0-1 0,0 1 0,0-1 0,1 1 0,-1-1 0,0 0 0,0 1 0,0-1 0,1 0 0,-1 0 0,0 0 0,0 0 0,1 0 0,-1 0 0,0 0 0,0-1 0,0 1 0,1 0 0,-1-1 0,0 1 0,0-1 0,1 0 0,3-1 0,0 0 0,0-1 0,-1 0 0,0 0 0,1 0 0,-1 0 0,-1-1 0,1 0 0,0 0 0,-1 0 0,0 0 0,6-8 0,7-10 0,-16 22 0,1-1 0,-1 0 0,1 1 0,-1-1 0,1 1 0,-1-1 0,1 0 0,0 1 0,-1-1 0,1 1 0,-1 0 0,1-1 0,0 1 0,0-1 0,-1 1 0,1 0 0,0 0 0,0-1 0,-1 1 0,1 0 0,0 0 0,1 0 0,-2 0 0,1 1 0,-1-1 0,1 0 0,0 1 0,-1-1 0,0 0 0,1 1 0,-1-1 0,1 1 0,-1-1 0,1 1 0,-1-1 0,0 1 0,1 0 0,-1-1 0,0 1 0,0-1 0,1 1 0,-1 0 0,0 0 0,4 37 0,-4-14-341,-1 1 0,-2-1-1,-5 29 1,3-38-6485</inkml:trace>
  <inkml:trace contextRef="#ctx0" brushRef="#br0" timeOffset="2551.06">211 535 24575,'-1'-2'0,"-1"0"0,1 1 0,-1-1 0,0 1 0,1-1 0,-1 1 0,0-1 0,0 1 0,0 0 0,0 0 0,0 0 0,0 0 0,0 0 0,0 1 0,-1-1 0,1 0 0,0 1 0,0 0 0,-1 0 0,1-1 0,0 1 0,-1 1 0,1-1 0,0 0 0,0 0 0,-1 1 0,1-1 0,0 1 0,0 0 0,0 0 0,0 0 0,0 0 0,0 0 0,0 0 0,0 0 0,0 1 0,0-1 0,-2 4 0,-3 2 0,1 1 0,0 0 0,0 0 0,1 0 0,0 1 0,0 0 0,-4 13 0,5-13 0,1 0 0,0 0 0,0 0 0,1 0 0,0 1 0,1-1 0,0 17 0,1-22 0,0-1 0,1 0 0,-1 0 0,1 1 0,0-1 0,0 0 0,0 0 0,0 0 0,1 0 0,-1 0 0,1 0 0,0-1 0,0 1 0,0-1 0,0 1 0,0-1 0,1 1 0,-1-1 0,1 0 0,-1 0 0,1 0 0,0-1 0,0 1 0,0-1 0,0 1 0,3 0 0,4 1-105,0 0 0,0-1 0,1 0 0,-1 0 0,1-1 0,-1-1 0,1 1 0,-1-2 0,1 0 0,-1 0 0,1-1 0,17-5 0,5-5-6721</inkml:trace>
  <inkml:trace contextRef="#ctx0" brushRef="#br0" timeOffset="2828.89">419 543 24575,'-2'0'0,"1"0"0,-1 1 0,0-1 0,0 1 0,0-1 0,1 1 0,-1 0 0,0 0 0,1 0 0,-1 0 0,0 0 0,1 0 0,0 0 0,-1 0 0,1 1 0,0-1 0,-1 0 0,1 1 0,0-1 0,0 1 0,0 0 0,0-1 0,0 1 0,1 0 0,-1-1 0,1 1 0,-1 0 0,1 0 0,-1 0 0,1 0 0,0-1 0,0 1 0,0 0 0,0 0 0,0 0 0,0 0 0,1 0 0,-1-1 0,0 1 0,1 0 0,0 0 0,0 1 0,4 4 0,1-1 0,-1 0 0,1 0 0,0 0 0,1-1 0,8 6 0,25 23 0,-38-32 0,0 0 0,0 1 0,0 0 0,0 0 0,0-1 0,0 1 0,-1 0 0,0 0 0,1 0 0,-1 1 0,0-1 0,1 5 0,-2-6 10,0 0 0,0 0 0,0 0 0,0 0 0,0 0 0,-1 0 1,1 0-1,-1 0 0,1 0 0,-1 0 0,1-1 0,-1 1 0,0 0 0,0 0 0,0 0 0,0-1 0,0 1 0,-1-1 0,1 1 0,0-1 0,-1 1 0,1-1 0,-1 0 0,1 1 0,-1-1 0,0 0 0,1 0 0,-1 0 0,0-1 0,0 1 0,0 0 0,0-1 1,-2 1-1,1 0-88,0 0 0,1-1 1,-1 1-1,0-1 1,0 0-1,0 0 1,0 0-1,0 0 0,0 0 1,0-1-1,0 0 1,1 1-1,-1-1 1,0 0-1,0 0 0,1 0 1,-1-1-1,0 1 1,1-1-1,0 1 1,-5-5-1,-5-9-6748</inkml:trace>
  <inkml:trace contextRef="#ctx0" brushRef="#br0" timeOffset="2939">347 623 24575,'7'-4'0,"5"-1"0,4 0 0,7-2 0,3 0 0,0 2 0,-2 1 0,-4-1 0,-3 0 0,-3 1-8191</inkml:trace>
  <inkml:trace contextRef="#ctx0" brushRef="#br0" timeOffset="3080.89">580 567 24575,'0'-3'0,"2"0"0,5-1 0,0 1-8191</inkml:trace>
  <inkml:trace contextRef="#ctx0" brushRef="#br0" timeOffset="3328.67">732 575 24575,'0'3'0,"0"3"0,0 5 0,0 1-8191</inkml:trace>
  <inkml:trace contextRef="#ctx0" brushRef="#br0" timeOffset="3501.21">748 767 24575,'0'3'0,"-3"1"0,1-1 0,3-4 0</inkml:trace>
  <inkml:trace contextRef="#ctx0" brushRef="#br0" timeOffset="3938.59">989 559 24575,'0'18'0,"-1"9"0,1 1 0,2-1 0,0 1 0,12 48 0,-11-73 0,-2-13 0,-1-18 0,-3-16 0,1 20 0,1 1 0,0-1 0,5-39 0,-3 60 13,0 0 1,0 0-1,0 1 0,1-1 0,-1 0 0,1 0 0,-1 1 0,1-1 0,0 1 1,0 0-1,0-1 0,0 1 0,1 0 0,-1 0 0,0 0 0,1 0 0,-1 1 1,1-1-1,0 1 0,0-1 0,0 1 0,-1 0 0,1 0 0,0 1 0,5-2 1,-5 1-89,1 1 1,-1-1 0,1 1 0,-1 0 0,0 0-1,1 0 1,-1 0 0,1 1 0,-1-1 0,0 1-1,0 0 1,1 0 0,-1 0 0,0 0 0,0 1-1,0-1 1,0 1 0,0 0 0,0 0 0,0 0-1,-1 0 1,5 5 0,2 6-6752</inkml:trace>
  <inkml:trace contextRef="#ctx0" brushRef="#br0" timeOffset="4094.61">1029 687 24575,'-3'3'0,"5"-1"0,6 0 0,5-7 0,7-4 0,3-1 0,1-3 0,-1 1 0,-4 2-8191</inkml:trace>
  <inkml:trace contextRef="#ctx0" brushRef="#br0" timeOffset="4329.91">1245 575 24575,'-1'0'0,"0"1"0,0-1 0,0 0 0,0 1 0,0-1 0,0 0 0,0 1 0,0-1 0,0 1 0,0 0 0,0-1 0,0 1 0,1 0 0,-1 0 0,0-1 0,0 1 0,1 0 0,-1 0 0,0 0 0,1 0 0,-1 0 0,1 0 0,-1 0 0,1 0 0,0 0 0,-1 0 0,1 0 0,0 0 0,0 0 0,0 0 0,0 2 0,-1 1 0,1 1 0,-1-1 0,1 0 0,1 1 0,-1-1 0,2 7 0,0-4 0,1 0 0,1-1 0,-1 0 0,1 0 0,0 0 0,0 0 0,0 0 0,1-1 0,8 7 0,-8-7 0,0 0 0,0 1 0,0-1 0,-1 1 0,1 0 0,-2 0 0,1 0 0,5 13 0,-8-18 7,-1 0 0,0 0-1,1 0 1,-1 0 0,0 0-1,1-1 1,-1 1 0,0 0-1,0 0 1,0 0 0,0 0 0,0 0-1,0 0 1,0 0 0,0 0-1,0 0 1,0 0 0,-1 0-1,1-1 1,0 1 0,0 0 0,-1 0-1,1 0 1,-1 0 0,1-1-1,-1 1 1,1 0 0,-1 0-1,0-1 1,1 1 0,-1 0-1,0-1 1,1 1 0,-1-1 0,0 1-1,0-1 1,0 1 0,1-1-1,-1 1 1,0-1 0,0 0-1,0 0 1,0 1 0,0-1-1,0 0 1,0 0 0,0 0 0,1 0-1,-1 0 1,-2 0 0,-1 0-163,0-1 1,0 1 0,0-1 0,0 0 0,0 0 0,0 0 0,0-1-1,1 1 1,-1-1 0,-5-3 0,-7-9-6671</inkml:trace>
  <inkml:trace contextRef="#ctx0" brushRef="#br0" timeOffset="4517.33">1237 583 24575,'4'-3'0,"4"0"0,7-5 0,5 0 0,7-5 0,5 1 0,3-2 0,1 3 0,-3 3 0,-5 2 0,-6 4 0,-12 6 0,-7 0-8191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0:47:47.25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193 105 24575,'0'-3'0,"0"0"0,0-1 0,0 1 0,-1 0 0,1 0 0,-1 0 0,0 0 0,0 0 0,0 1 0,0-1 0,0 0 0,-1 0 0,1 1 0,-1-1 0,0 0 0,0 1 0,1 0 0,-2-1 0,-1-1 0,2 3 0,0 0 0,0 0 0,0 0 0,0 0 0,-1 0 0,1 0 0,0 1 0,0-1 0,-1 1 0,1 0 0,0-1 0,0 1 0,-1 0 0,1 0 0,0 1 0,-1-1 0,1 0 0,0 1 0,0 0 0,-1-1 0,1 1 0,0 0 0,0 0 0,0 0 0,0 0 0,-2 2 0,-5 4 0,0 0 0,1 0 0,0 1 0,0 0 0,1 1 0,0 0 0,0 0 0,1 0 0,0 1 0,1 0 0,0 0 0,0 0 0,1 1 0,1 0 0,0 0 0,0 0 0,1 0 0,-1 14 0,3-23 0,0 0 0,1 0 0,-1 1 0,1-1 0,-1 0 0,1 0 0,0 0 0,0 0 0,-1 0 0,2 0 0,-1 0 0,0 0 0,0 0 0,1 0 0,-1-1 0,0 1 0,1-1 0,0 1 0,-1-1 0,1 1 0,0-1 0,0 0 0,0 0 0,0 0 0,0 0 0,0 0 0,0 0 0,0-1 0,0 1 0,0-1 0,1 1 0,2-1 0,9 2 0,1 0 0,-1-1 0,26-2 0,-29 0 0,15 0-455,0-1 0,49-11 0,-56 8-6371</inkml:trace>
  <inkml:trace contextRef="#ctx0" brushRef="#br0" timeOffset="434.38">353 121 24575,'0'-5'0,"1"1"0,-1-1 0,1 1 0,0-1 0,0 1 0,0-1 0,1 1 0,-1-1 0,1 1 0,0 0 0,5-7 0,-6 10 0,0-1 0,0 1 0,0-1 0,1 1 0,-1-1 0,1 1 0,-1 0 0,1-1 0,0 1 0,-1 0 0,1 0 0,0 0 0,0 1 0,0-1 0,0 0 0,0 1 0,0-1 0,0 1 0,0-1 0,0 1 0,0 0 0,0 0 0,0 0 0,0 0 0,0 0 0,0 1 0,0-1 0,3 2 0,-3-2 0,-1 0 0,0 1 0,1 0 0,-1-1 0,1 1 0,-1 0 0,0-1 0,1 1 0,-1 0 0,0 0 0,0 0 0,0 0 0,0 1 0,0-1 0,0 0 0,0 0 0,0 1 0,0-1 0,0 0 0,-1 1 0,2 1 0,-2 0 0,1-1 0,-1 1 0,0 0 0,0 0 0,0-1 0,0 1 0,0 0 0,0-1 0,-1 1 0,1 0 0,-2 3 0,-1 2 0,-1 1 0,1-1 0,-2 0 0,1 0 0,-1 0 0,-6 8 0,3-7 0,-6 11 0,14-20 0,0 0 0,0 0 0,0 0 0,0 1 0,0-1 0,0 0 0,0 0 0,0 0 0,0 0 0,0 1 0,0-1 0,0 0 0,0 0 0,0 0 0,0 0 0,0 0 0,0 1 0,0-1 0,0 0 0,0 0 0,1 0 0,-1 0 0,0 0 0,0 1 0,0-1 0,0 0 0,0 0 0,0 0 0,1 0 0,-1 0 0,0 0 0,0 0 0,0 0 0,0 0 0,1 0 0,-1 1 0,0-1 0,0 0 0,0 0 0,17-2 0,-11 1 0,6-2 0,0 1 0,-1 0 0,22 1 0,-32 1 0,1 0 0,0 0 0,0 0 0,0 0 0,-1 1 0,1-1 0,0 1 0,0-1 0,-1 1 0,1 0 0,0 0 0,-1 0 0,4 2 0,-5-3 0,1 1 0,0 0 0,-1 0 0,1 0 0,-1 0 0,1 0 0,-1 0 0,0 0 0,1 1 0,-1-1 0,0 0 0,0 0 0,1 0 0,-1 0 0,0 0 0,0 0 0,0 0 0,-1 1 0,1-1 0,0 0 0,0 0 0,0 0 0,-1 0 0,0 2 0,-1 1 0,0 0 0,-1 0 0,1 0 0,-1 0 0,0 0 0,0-1 0,0 0 0,0 1 0,-1-1 0,1 0 0,-1 0 0,0-1 0,0 1 0,0-1 0,0 0 0,-8 3 0,5-2 0,0 0 0,0-1 0,0 0 0,-1-1 0,1 1 0,0-1 0,-1 0 0,1-1 0,-15-1 0,22 1-29,-1 0-1,0 0 0,0 0 1,1 0-1,-1 0 0,0 0 0,1-1 1,-1 1-1,0 0 0,1-1 1,-1 1-1,0 0 0,1-1 1,-1 1-1,0 0 0,1-1 1,-1 1-1,1-1 0,-1 1 1,1-1-1,-1 0 0,1 1 1,0-1-1,-1 1 0,1-1 1,0 0-1,-1 1 0,1-1 1,0 0-1,0 0 0,-1 1 0,1-1 1,0 0-1,0 1 0,0-1 1,0 0-1,0 0 0,0 1 1,0-1-1,0 0 0,1 0 1,-1 1-1,0-1 0,0 0 1,1 0-1,4-11-6796</inkml:trace>
  <inkml:trace contextRef="#ctx0" brushRef="#br0" timeOffset="623.79">634 49 24575,'-3'0'0,"2"0"0,1 1 0,7 1 0,1 5 0,-1 5 0,-1-1-8191</inkml:trace>
  <inkml:trace contextRef="#ctx0" brushRef="#br0" timeOffset="777.87">698 265 24575,'3'-1'0</inkml:trace>
  <inkml:trace contextRef="#ctx0" brushRef="#br0" timeOffset="1167.33">922 65 24575,'0'0'0,"0"0"0,-1 1 0,1-1 0,-1 0 0,1 1 0,-1-1 0,1 1 0,0-1 0,-1 0 0,1 1 0,0-1 0,0 1 0,-1-1 0,1 1 0,0-1 0,0 1 0,0-1 0,-1 1 0,1-1 0,0 1 0,0 0 0,0-1 0,0 1 0,0 0 0,-1 17 0,1-17 0,4 71 0,-1-42 0,-3-23 0,1-9 0,-1-14 0,-1-3 0,1 1 0,1-1 0,1 0 0,6-26 0,-8 41 0,1 1 0,0 0 0,0-1 0,0 1 0,1 0 0,-1 0 0,1 0 0,0 0 0,-1 0 0,1 0 0,1 0 0,-1 1 0,0-1 0,1 1 0,-1 0 0,1-1 0,0 1 0,-1 0 0,1 1 0,0-1 0,0 0 0,1 1 0,-1 0 0,0-1 0,0 1 0,1 1 0,-1-1 0,0 0 0,1 1 0,-1 0 0,5-1 0,9 5-1365,-5 2-5461</inkml:trace>
  <inkml:trace contextRef="#ctx0" brushRef="#br0" timeOffset="1341.36">938 161 24575,'2'0'0,"4"-3"0,5 0 0,4-3 0,1-1 0,2-1 0,0 0 0,-1-1 0,-2 2-8191</inkml:trace>
  <inkml:trace contextRef="#ctx0" brushRef="#br0" timeOffset="1747.43">1147 57 24575,'0'-2'0,"1"0"0,-1 0 0,1 1 0,0-1 0,-1 0 0,1 0 0,0 1 0,0-1 0,0 1 0,0-1 0,0 1 0,1-1 0,-1 1 0,0 0 0,1-1 0,-1 1 0,1 0 0,-1 0 0,1 0 0,-1 0 0,1 0 0,0 0 0,2 0 0,3-2 0,-1 1 0,1-1 0,0 1 0,13-1 0,-19 2 0,1 1 0,-1 0 0,0 0 0,1 0 0,-1 0 0,0 0 0,1 0 0,-1 0 0,0 0 0,1 1 0,-1-1 0,0 0 0,0 1 0,1-1 0,-1 1 0,0 0 0,2 0 0,-2 0 0,-1 0 0,0-1 0,1 1 0,-1-1 0,0 1 0,1 0 0,-1-1 0,0 1 0,0 0 0,1 0 0,-1-1 0,0 1 0,0 0 0,0 0 0,0-1 0,0 1 0,0 0 0,0-1 0,0 1 0,0 0 0,-1 0 0,1 1 0,-2 2 0,0 0 0,0 0 0,0 0 0,0 0 0,-1 0 0,0 0 0,0 0 0,-4 4 0,1-3 0,-5 9 0,11-13 0,0-1 0,0 1 0,1-1 0,-1 1 0,0 0 0,0-1 0,1 1 0,-1-1 0,1 1 0,-1-1 0,0 1 0,1-1 0,-1 0 0,1 1 0,-1-1 0,1 1 0,-1-1 0,1 0 0,-1 1 0,1-1 0,-1 0 0,1 0 0,0 0 0,-1 1 0,1-1 0,-1 0 0,1 0 0,0 0 0,-1 0 0,1 0 0,5 2 0,0 0 0,-1 0 0,0 1 0,1-1 0,-1 1 0,0 1 0,-1-1 0,1 1 0,0 0 0,-1 0 0,0 0 0,5 6 0,-8-8 0,0-1 0,0 1 0,0 0 0,0-1 0,0 1 0,-1 0 0,1 0 0,0 0 0,-1 0 0,0 0 0,1 0 0,-1 0 0,0 0 0,0 0 0,0 0 0,0 2 0,-1-1 0,0-1 0,0 0 0,0 0 0,0 1 0,0-1 0,0 0 0,-1 0 0,1 0 0,-1 0 0,1 0 0,-1-1 0,0 1 0,0 0 0,0-1 0,0 1 0,-3 1 0,0 0-136,0-1-1,-1 0 1,1 1-1,-1-2 1,1 1-1,-1-1 1,0 0-1,0 0 0,-6 0 1,-8 0-6690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01:54.01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153 122 24575,'-19'-1'0,"17"0"0,-1 1 0,1 0 0,0-1 0,-1 1 0,1 0 0,-1 0 0,1 1 0,0-1 0,-1 0 0,1 1 0,0-1 0,-1 1 0,1 0 0,0 0 0,0 0 0,-3 2 0,-1 1 0,1 0 0,-1 1 0,1 0 0,0 0 0,1 0 0,-1 1 0,1 0 0,0 0 0,1 0 0,-1 0 0,-3 9 0,0 4 0,0 1 0,-8 34 0,14-49 0,0 1 0,0 0 0,0 0 0,1 0 0,0 0 0,0 0 0,0 0 0,1 0 0,0 0 0,0 0 0,2 7 0,-1-10 0,-1-1 0,0 1 0,1-1 0,-1 0 0,1 1 0,0-1 0,-1 0 0,1 0 0,0 0 0,1-1 0,-1 1 0,0 0 0,0-1 0,1 1 0,-1-1 0,1 0 0,-1 0 0,1 0 0,-1 0 0,1 0 0,0-1 0,-1 1 0,1-1 0,0 0 0,0 1 0,3-2 0,-1 1 0,0 0 0,0 0 0,0-1 0,-1 1 0,1-1 0,0-1 0,0 1 0,-1-1 0,1 1 0,-1-1 0,1-1 0,-1 1 0,0-1 0,0 1 0,0-1 0,0 0 0,6-7 0,-5 3 0,0 1 0,0-1 0,0 0 0,-1 0 0,-1 0 0,1 0 0,-1-1 0,0 1 0,-1-1 0,2-8 0,-4 15 0,1 0 0,-1-1 0,0 1 0,0 0 0,0 0 0,1 0 0,-1-1 0,1 1 0,-1 0 0,1 0 0,-1 0 0,1 0 0,0 0 0,-1 0 0,1 0 0,0 0 0,0 0 0,0 0 0,0 0 0,0 0 0,0 1 0,0-1 0,1 0 0,-1 1 0,0 0 0,0 0 0,0 0 0,0 0 0,0 1 0,0-1 0,0 0 0,0 1 0,0-1 0,0 1 0,0-1 0,-1 1 0,1-1 0,0 1 0,0 0 0,0-1 0,-1 1 0,1 0 0,0 0 0,-1 0 0,1 0 0,4 6 0,0 0 0,-1 0 0,-1 0 0,1 0 0,4 15 0,-5-10 113,-2-1-1,2 20 0,-3-21-452,1-1-1,0 1 1,0 0-1,4 11 1,-2-14-6486</inkml:trace>
  <inkml:trace contextRef="#ctx0" brushRef="#br0" timeOffset="432.78">360 217 24575,'0'-2'0,"0"0"0,1 0 0,0 0 0,-1-1 0,1 1 0,0 0 0,0 0 0,0 1 0,0-1 0,0 0 0,1 0 0,-1 0 0,0 1 0,1-1 0,0 1 0,-1-1 0,1 1 0,0 0 0,2-2 0,0 0 0,1 0 0,0 1 0,0-1 0,0 1 0,0 0 0,7-2 0,-10 3 0,-1 1 0,1-1 0,-1 1 0,1 0 0,-1-1 0,1 1 0,-1 0 0,1 0 0,-1 0 0,1 0 0,-1 0 0,1 0 0,-1 1 0,1-1 0,-1 0 0,1 1 0,-1-1 0,1 1 0,-1 0 0,0-1 0,1 1 0,-1 0 0,0 0 0,0 0 0,1 0 0,-1 0 0,0 0 0,0 0 0,0 0 0,0 0 0,0 1 0,-1-1 0,1 0 0,0 1 0,-1-1 0,1 0 0,0 1 0,-1-1 0,0 1 0,1-1 0,-1 2 0,1 2 0,-1 0 0,0 0 0,0 0 0,-1 0 0,1 0 0,-1 0 0,0-1 0,0 1 0,-1 0 0,1 0 0,-1-1 0,-3 5 0,-6 8 0,9-15 0,-1 1 0,1-1 0,1 1 0,-1 0 0,0 0 0,1 0 0,-1 0 0,1 0 0,-2 5 0,3-8 0,1 1 0,-1-1 0,0 0 0,0 0 0,0 1 0,0-1 0,0 0 0,1 0 0,-1 0 0,0 1 0,0-1 0,0 0 0,1 0 0,-1 0 0,0 1 0,0-1 0,1 0 0,-1 0 0,0 0 0,1 0 0,-1 0 0,0 0 0,0 0 0,1 0 0,-1 1 0,0-1 0,1 0 0,-1 0 0,0 0 0,0 0 0,1-1 0,-1 1 0,0 0 0,1 0 0,-1 0 0,0 0 0,1 0 0,14-3 0,-13 2 0,4 0 0,0 1 0,0-1 0,0 1 0,0 0 0,0 0 0,0 1 0,0-1 0,-1 1 0,1 1 0,6 1 0,-10-2 0,0-1 0,-1 1 0,1 0 0,0 0 0,-1 0 0,1 0 0,-1 0 0,1 0 0,-1 0 0,1 1 0,-1-1 0,0 0 0,0 1 0,0-1 0,1 1 0,-1-1 0,-1 1 0,1 0 0,0-1 0,0 1 0,-1 0 0,1 0 0,-1 0 0,1-1 0,-1 1 0,0 0 0,0 0 0,0 0 0,0 0 0,0 0 0,0-1 0,0 1 0,0 0 0,-1 0 0,1 0 0,-2 2 0,-1 1 0,1-1 0,-1 1 0,0-1 0,-1 0 0,1 0 0,-1 0 0,0 0 0,0-1 0,0 0 0,0 1 0,0-1 0,-1-1 0,0 1 0,1-1 0,-1 0 0,0 0 0,0 0 0,0-1 0,0 1 0,-1-1 0,1 0 0,0-1 0,-9 1 0,13-2 17,0 1-1,0-1 0,-1 1 0,1-1 1,0 1-1,0-1 0,0 0 0,0 1 1,0-1-1,0 0 0,0 0 0,0 0 1,0 0-1,0 0 0,0 0 0,0 0 1,1 0-1,-1 0 0,0 0 0,0-2 1,-6-25-1724,5 5-5119</inkml:trace>
  <inkml:trace contextRef="#ctx0" brushRef="#br0" timeOffset="741.64">643 165 24575,'1'-1'0,"-1"0"0,1-1 0,-1 1 0,1 0 0,-1-1 0,1 1 0,0 0 0,0 0 0,-1 0 0,1-1 0,0 1 0,0 0 0,0 0 0,0 0 0,0 1 0,0-1 0,3-1 0,21-12 0,-22 13 0,0 0 0,0 0 0,0 0 0,0 0 0,0 1 0,0 0 0,0-1 0,0 1 0,0 0 0,0 0 0,0 0 0,0 1 0,0-1 0,0 1 0,0 0 0,0 0 0,0 0 0,5 2 0,-5-1 0,-1 0 0,0 0 0,1 1 0,-1-1 0,0 0 0,0 1 0,0-1 0,0 1 0,-1 0 0,1 0 0,-1-1 0,1 1 0,-1 0 0,0 0 0,0 0 0,-1 1 0,1-1 0,0 4 0,0-2 0,-1 0 0,0 1 0,0-1 0,0 0 0,-1 0 0,1 0 0,-1 0 0,0 0 0,-1 0 0,-2 7 0,-2 0 0,0-1 0,-12 18 0,-2 3 0,20-32 0,0 0 0,-1 1 0,1-1 0,0 0 0,0 0 0,-1 0 0,1 1 0,0-1 0,0 0 0,0 0 0,0 0 0,-1 1 0,1-1 0,0 0 0,0 0 0,0 1 0,0-1 0,0 0 0,0 1 0,0-1 0,0 0 0,0 0 0,0 1 0,0-1 0,0 0 0,0 1 0,0-1 0,0 0 0,0 0 0,0 1 0,0-1 0,0 0 0,0 0 0,0 1 0,1-1 0,-1 0 0,0 0 0,0 1 0,0-1 0,0 0 0,1 0 0,-1 1 0,0-1 0,0 0 0,0 0 0,1 0 0,-1 0 0,0 1 0,0-1 0,1 0 0,-1 0 0,0 0 0,0 0 0,1 0 0,-1 0 0,0 0 0,1 0 0,-1 0 0,0 0 0,0 0 0,1 0 0,-1 0 0,0 0 0,20-4 0,-19 3 0,42-13-455,-2-2 0,50-27 0,-61 26-6371</inkml:trace>
  <inkml:trace contextRef="#ctx0" brushRef="#br0" timeOffset="915.43">1040 122 24575,'-2'0'0,"0"-3"0,2 1 0,0 3 0,1 5 0,0 4 0,0 0-8191</inkml:trace>
  <inkml:trace contextRef="#ctx0" brushRef="#br0" timeOffset="1086.78">1074 312 24575,'0'0'-8191</inkml:trace>
  <inkml:trace contextRef="#ctx0" brushRef="#br0" timeOffset="1444.72">1366 122 24575,'0'2'0,"-1"-1"0,0 0 0,0 1 0,0-1 0,1 0 0,-1 1 0,1-1 0,-1 1 0,1-1 0,0 1 0,0-1 0,-1 1 0,1-1 0,0 1 0,0-1 0,1 3 0,-1-1 0,-1 84 0,-1 20 0,0-101 0,-1-11 0,-2-14 0,1-12 0,1 0 0,2 0 0,1 0 0,1 0 0,2 0 0,8-39 0,-10 68 12,-1 0 1,1-1-1,0 1 0,-1 0 0,1 0 0,0 0 1,1 0-1,-1 0 0,0 0 0,1 0 0,-1 0 1,1 1-1,-1-1 0,1 1 0,0-1 0,-1 1 0,1-1 1,0 1-1,0 0 0,0 0 0,0 0 0,0 0 1,0 0-1,1 0 0,-1 1 0,0-1 0,3 0 1,-2 1-88,-1 0 1,1 1 0,0-1 0,-1 0 0,1 1-1,0 0 1,-1-1 0,1 1 0,-1 0 0,1 0-1,-1 0 1,1 1 0,-1-1 0,0 1 0,0-1-1,1 1 1,-1 0 0,0 0 0,-1 0 0,1 0-1,0 0 1,1 3 0,7 11-6752</inkml:trace>
  <inkml:trace contextRef="#ctx0" brushRef="#br0" timeOffset="1625.3">1366 234 24575,'2'-1'0,"4"-1"0,5-3 0,6 0 0,4-3 0,4 0 0,1-1 0,-1 1 0,-4 1-8191</inkml:trace>
  <inkml:trace contextRef="#ctx0" brushRef="#br0" timeOffset="2049.16">1590 88 24575,'0'-4'0,"1"0"0,-1 0 0,0 0 0,1 0 0,0 0 0,0 0 0,0 0 0,1 0 0,-1 0 0,1 1 0,0-1 0,0 1 0,0-1 0,1 1 0,-1 0 0,1 0 0,-1 0 0,1 0 0,0 0 0,0 1 0,1-1 0,-1 1 0,0 0 0,7-3 0,-10 5 0,1-1 0,0 1 0,-1 0 0,1 0 0,0 0 0,-1 0 0,1 0 0,0 0 0,-1 0 0,1 0 0,0 0 0,-1 0 0,1 0 0,0 0 0,0 0 0,-1 1 0,1-1 0,-1 0 0,1 0 0,0 1 0,-1-1 0,1 1 0,-1-1 0,1 0 0,0 1 0,-1-1 0,0 1 0,1-1 0,-1 1 0,1-1 0,-1 1 0,1 0 0,-1-1 0,0 1 0,0-1 0,1 1 0,-1 0 0,0-1 0,0 1 0,0 0 0,1 0 0,-1-1 0,0 1 0,0 1 0,-1 37 0,1-30 0,0-6 0,0-1 0,0 1 0,1-1 0,-1 1 0,1-1 0,0 0 0,-1 1 0,1-1 0,1 0 0,-1 1 0,0-1 0,0 0 0,2 2 0,26 27 0,-10-10 0,-16-19 0,-1 1 0,0-1 0,-1 1 0,1 0 0,0 0 0,-1 0 0,0-1 0,1 2 0,-1-1 0,0 0 0,-1 0 0,1 0 0,-1 0 0,1 0 0,-1 1 0,0-1 0,0 0 0,0 0 0,-1 4 0,0-4 0,0 0 0,0-1 0,0 1 0,-1 0 0,1-1 0,-1 1 0,1-1 0,-1 0 0,0 1 0,0-1 0,0 0 0,0 0 0,0 0 0,-1-1 0,1 1 0,0 0 0,-1-1 0,0 0 0,1 1 0,-1-1 0,-4 1 0,5-1-28,1-1-1,0 0 1,0 1-1,-1-1 1,1 0 0,0 0-1,-1 0 1,1 1-1,0-1 1,-1-1-1,1 1 1,0 0-1,0 0 1,-1 0 0,1-1-1,0 1 1,0-1-1,-1 1 1,1-1-1,0 1 1,0-1-1,0 0 1,0 1 0,0-1-1,0 0 1,0 0-1,0 0 1,0 0-1,0 0 1,0 0-1,0 0 1,1 0 0,-1 0-1,0 0 1,1-1-1,-1 1 1,1 0-1,0 0 1,-1-1-1,1 1 1,0 0 0,0-1-1,-1 1 1,1 0-1,0-1 1,1 1-1,-1-2 1,2-14-6798</inkml:trace>
  <inkml:trace contextRef="#ctx0" brushRef="#br0" timeOffset="2345.36">1908 105 24575,'-10'21'0,"9"-19"0,0 1 0,0-1 0,0 1 0,0-1 0,1 1 0,-1-1 0,1 1 0,0-1 0,-1 1 0,1 0 0,0-1 0,1 1 0,-1-1 0,0 1 0,1 0 0,-1-1 0,1 1 0,0-1 0,1 3 0,-1-3 0,0 0 0,0-1 0,1 1 0,-1 0 0,0-1 0,1 1 0,-1-1 0,1 0 0,0 0 0,-1 1 0,1-1 0,0 0 0,0 0 0,0 0 0,0-1 0,0 1 0,0 0 0,0-1 0,0 1 0,0-1 0,0 0 0,0 0 0,0 0 0,0 0 0,2 0 0,-1 0 0,-1 0 0,0-1 0,0 1 0,0-1 0,0 0 0,1 1 0,-1-1 0,0 0 0,0 0 0,0 0 0,-1 0 0,1-1 0,0 1 0,0 0 0,-1-1 0,1 1 0,-1-1 0,1 0 0,-1 0 0,1 1 0,-1-1 0,0 0 0,0 0 0,0 0 0,0 0 0,0 0 0,-1 0 0,1-1 0,-1 1 0,1 0 0,-1 0 0,0 0 0,0-1 0,0-2 0,0 2 0,0 1 0,0-1 0,0 1 0,0-1 0,-1 0 0,0 1 0,1-1 0,-1 1 0,0 0 0,0-1 0,0 1 0,0 0 0,-1-1 0,1 1 0,-1 0 0,1 0 0,-1 0 0,0 0 0,1 0 0,-1 1 0,0-1 0,0 1 0,-1-1 0,1 1 0,0-1 0,0 1 0,-1 0 0,1 0 0,0 0 0,-5 0 0,-3 0-227,-1 0-1,1 1 1,0 1-1,-1-1 1,-16 5-1,2 0-6598</inkml:trace>
  <inkml:trace contextRef="#ctx0" brushRef="#br0" timeOffset="3290.45">300 716 24575,'0'0'0,"0"-1"0,0 1 0,0 0 0,0-1 0,0 1 0,0 0 0,0-1 0,0 1 0,0 0 0,0-1 0,0 1 0,0 0 0,0 0 0,0-1 0,-1 1 0,1 0 0,0-1 0,0 1 0,0 0 0,0-1 0,0 1 0,-1 0 0,1 0 0,0-1 0,0 1 0,-1 0 0,1 0 0,0 0 0,0-1 0,-1 1 0,1 0 0,0 0 0,-1 0 0,1 0 0,0 0 0,0-1 0,-1 1 0,1 0 0,0 0 0,-1 0 0,1 0 0,0 0 0,-1 0 0,1 0 0,0 0 0,-1 0 0,1 0 0,0 0 0,-1 0 0,1 1 0,0-1 0,-1 0 0,1 0 0,0 0 0,0 0 0,-1 0 0,1 1 0,-18 13 0,10-1 0,0-1 0,1 2 0,0-1 0,1 1 0,-6 20 0,3-2 0,-8 47 0,15-68 0,1 1 0,0-1 0,0 0 0,1 1 0,2 11 0,-2-20 0,1-1 0,-1 1 0,1 0 0,0 0 0,-1 0 0,1-1 0,1 1 0,-1 0 0,0-1 0,1 1 0,-1-1 0,1 0 0,0 1 0,0-1 0,0 0 0,0 0 0,0 0 0,0 0 0,0 0 0,1-1 0,-1 1 0,1-1 0,-1 1 0,1-1 0,2 1 0,0-1 0,-1 0 0,0 0 0,0 0 0,0 0 0,0-1 0,0 1 0,1-1 0,-1 0 0,0-1 0,0 1 0,1-1 0,-1 0 0,0 0 0,0 0 0,0 0 0,0-1 0,0 1 0,-1-1 0,1 0 0,4-3 0,-5 2 0,0 1 0,-1-1 0,1 0 0,-1 0 0,1 0 0,-1 0 0,0-1 0,0 1 0,0 0 0,-1-1 0,0 1 0,1-1 0,-1 0 0,0 1 0,0-1 0,-1 0 0,1 0 0,-1 1 0,0-1 0,0 0 0,0 0 0,-2-6 0,1 1 0,-2 1 0,1-1 0,-1 1 0,-5-10 0,-6-24 0,13 41 0,1 1 0,0 0 0,0-1 0,0 1 0,0 0 0,0-1 0,0 1 0,0 0 0,0-1 0,0 1 0,0 0 0,0-1 0,0 1 0,0 0 0,0-1 0,0 1 0,0 0 0,0-1 0,0 1 0,0 0 0,0 0 0,0-1 0,0 1 0,1 0 0,-1-1 0,0 1 0,0 0 0,0 0 0,1-1 0,-1 1 0,0 0 0,0 0 0,1-1 0,10 5 0,11 15 0,-16-11 0,0 0 0,0 1 0,-1-1 0,0 1 0,-1 1 0,0-1 0,0 0 0,3 18 0,-1 1 0,2 52 0,-8-80 0,0 2-151,1 0-1,-1 1 0,0-1 0,0 0 1,1 0-1,-1 0 0,1 0 1,2 4-1</inkml:trace>
  <inkml:trace contextRef="#ctx0" brushRef="#br0" timeOffset="3681.43">489 871 24575,'0'-4'0,"0"-1"0,1 1 0,-1 0 0,1 0 0,0 0 0,0 0 0,1 0 0,-1 0 0,1 0 0,0 1 0,0-1 0,3-4 0,-4 6 0,0 0 0,1 1 0,-1-1 0,1 1 0,0-1 0,-1 1 0,1 0 0,0-1 0,0 1 0,0 0 0,-1 0 0,1 0 0,0 0 0,0 1 0,1-1 0,-1 1 0,0-1 0,0 1 0,0-1 0,0 1 0,0 0 0,1 0 0,-1 0 0,0 1 0,3-1 0,-4 1 0,1-1 0,-1 0 0,1 1 0,-1-1 0,1 1 0,-1 0 0,1-1 0,-1 1 0,0 0 0,1 0 0,-1 0 0,0 0 0,0 0 0,0 0 0,0 0 0,0 0 0,0 1 0,0-1 0,0 0 0,1 3 0,-1-2 0,0 1 0,0 0 0,-1 0 0,1-1 0,-1 1 0,1 0 0,-1 0 0,0 0 0,0 0 0,-1 4 0,-1 4 0,-1 0 0,0 0 0,0-1 0,-7 15 0,10-24 0,-1-1 0,1 0 0,0 1 0,0-1 0,0 1 0,-1-1 0,1 1 0,0-1 0,0 1 0,0-1 0,0 1 0,0-1 0,0 1 0,0-1 0,0 1 0,0-1 0,0 1 0,0 0 0,0-1 0,0 1 0,0-1 0,1 0 0,-1 1 0,0-1 0,0 1 0,1-1 0,-1 1 0,0-1 0,0 1 0,1-1 0,-1 0 0,0 1 0,1-1 0,-1 0 0,1 1 0,-1-1 0,1 0 0,-1 1 0,0-1 0,1 0 0,-1 0 0,1 0 0,0 1 0,30 2 0,-27-3 0,-1 0 0,1 0 0,0 1 0,-1-1 0,1 1 0,4 1 0,-7-1 0,1 0 0,0 0 0,0 0 0,-1 0 0,1 0 0,0 0 0,-1 0 0,1 1 0,-1-1 0,0 1 0,0-1 0,1 1 0,-1-1 0,0 1 0,0 0 0,0 0 0,0-1 0,-1 1 0,1 0 0,-1 0 0,1 0 0,-1 0 0,1 0 0,-1 0 0,0 0 0,0 0 0,0 0 0,0 0 0,0 0 0,-1 0 0,1 0 0,0 0 0,-1 0 0,1-1 0,-1 1 0,0 0 0,0 0 0,-2 3 0,1-1 0,-1 1 0,0-1 0,0 0 0,0 1 0,-1-1 0,1-1 0,-1 1 0,0 0 0,0-1 0,0 0 0,-1 0 0,1 0 0,-10 3 0,13-5-36,0-1 0,0 1 0,0-1 1,0 0-1,0 1 0,0-1 0,0 0 0,0 0 0,0 0 0,0 0 0,-1 0 0,1 0 0,0 0 0,0 0 0,0-1 0,0 1 0,0 0 1,0-1-1,0 1 0,0-1 0,0 1 0,0-1 0,0 1 0,0-1 0,0 0 0,0 1 0,0-1 0,1 0 0,-1 0 0,0 0 0,0 1 1,1-1-1,-1 0 0,1 0 0,-1 0 0,1 0 0,-1-2 0,-5-13-6790</inkml:trace>
  <inkml:trace contextRef="#ctx0" brushRef="#br0" timeOffset="4067.4">712 802 24575,'1'-3'0,"0"-1"0,-1 1 0,1 0 0,0 0 0,1 0 0,-1 0 0,1 0 0,-1 0 0,1 0 0,0 0 0,0 1 0,0-1 0,0 1 0,1-1 0,-1 1 0,1 0 0,-1 0 0,5-3 0,3-2 0,0 1 0,1 0 0,19-8 0,-28 13 0,1 0 0,-1 0 0,1 0 0,-1 0 0,1 1 0,0-1 0,-1 1 0,1 0 0,0 0 0,-1 0 0,1 0 0,0 0 0,-1 0 0,1 1 0,3 0 0,-5 0 0,0 0 0,0 0 0,1-1 0,-1 1 0,0 0 0,0 0 0,-1 0 0,1 0 0,0 1 0,0-1 0,0 0 0,-1 0 0,1 0 0,-1 1 0,1-1 0,-1 0 0,1 0 0,-1 1 0,0-1 0,1 0 0,-1 1 0,0-1 0,0 1 0,0-1 0,0 0 0,0 1 0,-1-1 0,1 0 0,0 1 0,0-1 0,-1 2 0,-1 3 0,0 1 0,-1-1 0,1 1 0,-7 9 0,-4 13 0,13-28 0,0 1 0,0-1 0,0 1 0,1-1 0,-1 1 0,0-1 0,1 1 0,-1-1 0,1 1 0,0-1 0,-1 0 0,1 1 0,0-1 0,0 0 0,-1 1 0,1-1 0,0 0 0,1 0 0,-1 0 0,0 0 0,0 0 0,0 0 0,0 0 0,3 1 0,8 8 0,-11-8 0,1 0 0,0 1 0,-1-1 0,1 1 0,-1 0 0,0-1 0,0 1 0,0 0 0,0 0 0,0 0 0,-1-1 0,1 1 0,-1 0 0,0 0 0,0 0 0,0 0 0,0 0 0,-1 4 0,0-5 0,1 0 0,-1-1 0,1 1 0,-1 0 0,0 0 0,0-1 0,1 1 0,-1 0 0,0-1 0,-1 1 0,1-1 0,0 1 0,0-1 0,-1 0 0,1 0 0,-1 1 0,1-1 0,-1 0 0,1 0 0,-1 0 0,0-1 0,1 1 0,-1 0 0,0-1 0,0 1 0,0-1 0,1 1 0,-1-1 0,-4 0 0,-5-2-1365,2-5-5461</inkml:trace>
  <inkml:trace contextRef="#ctx0" brushRef="#br0" timeOffset="4221.22">1151 647 24575,'0'-3'0,"3"2"0,1 4 0,0 4 0,-1-1-8191</inkml:trace>
  <inkml:trace contextRef="#ctx0" brushRef="#br0" timeOffset="4379.35">1211 837 24575,'0'-2'0,"2"0"0,0-4 0,0-2-8191</inkml:trace>
  <inkml:trace contextRef="#ctx0" brushRef="#br0" timeOffset="4723.96">1435 690 24575,'1'15'0,"1"0"0,1 0 0,0 0 0,10 27 0,4 15 0,-13-41 0,-6-40 0,-1-3 0,2-4 0,-1-83 0,2 103 0,1 0 0,1 0 0,0 0 0,0 0 0,1 0 0,1 1 0,7-18 0,-9 24 31,0 1 0,0 0 0,0 1 0,0-1 0,0 0 0,1 1 0,0-1 0,-1 1 1,1-1-1,4-1 0,-6 3-86,0 0-1,0 1 1,0-1 0,1 1 0,-1-1 0,0 1 0,0 0 0,0-1 0,1 1 0,-1 0 0,0 0 0,0 0 0,1 0 0,-1 0 0,0 0 0,0 0 0,1 0 0,-1 1 0,0-1 0,0 0-1,0 1 1,1-1 0,-1 1 0,0-1 0,0 1 0,0 0 0,0-1 0,0 1 0,0 0 0,2 1 0,5 10-6771</inkml:trace>
  <inkml:trace contextRef="#ctx0" brushRef="#br0" timeOffset="4892.74">1487 716 24575,'3'-1'0,"4"-1"0,5-6 0,2-1 0,3-3 0,1 2 0,0 1 0,-4 1 0,-4 0-8191</inkml:trace>
  <inkml:trace contextRef="#ctx0" brushRef="#br0" timeOffset="5310.16">1659 638 24575,'0'0'0,"-1"0"0,1 0 0,0 0 0,-1-1 0,1 1 0,0 0 0,0-1 0,-1 1 0,1 0 0,0-1 0,0 1 0,-1 0 0,1-1 0,0 1 0,0 0 0,0-1 0,0 1 0,0-1 0,-1 1 0,1 0 0,0-1 0,0 1 0,0-1 0,0 1 0,0-1 0,0 1 0,0 0 0,1-1 0,-1 1 0,0-1 0,0 1 0,0 0 0,0-1 0,0 1 0,1 0 0,-1-1 0,0 1 0,0-1 0,0 1 0,1 0 0,0-1 0,8-17 0,-5 13 0,0 0 0,1 0 0,0 0 0,0 1 0,0 0 0,7-4 0,-9 6 0,-1 0 0,1 1 0,0-1 0,0 1 0,0 0 0,0 0 0,0 0 0,0 0 0,0 0 0,0 1 0,0-1 0,0 1 0,0 0 0,6 1 0,-8-1 0,0 0 0,0 0 0,0 1 0,0-1 0,0 1 0,-1-1 0,1 1 0,0-1 0,0 1 0,0-1 0,-1 1 0,1 0 0,0-1 0,-1 1 0,1 0 0,-1 0 0,1-1 0,-1 1 0,1 0 0,-1 0 0,0 0 0,1 1 0,5 24 0,-1-1 0,3-9 0,-4-9 0,0-1 0,-1 1 0,0 0 0,0 0 0,3 14 0,-6-19 0,1 0 0,-1 0 0,0-1 0,0 1 0,0 0 0,-1 0 0,1 0 0,0 0 0,-1-1 0,1 1 0,-1 0 0,1 0 0,-1-1 0,0 1 0,0-1 0,0 1 0,0 0 0,0-1 0,0 0 0,0 1 0,-1-1 0,1 0 0,0 1 0,-1-1 0,1 0 0,-1 0 0,1 0 0,-1 0 0,-2 1 0,0-1 31,1 1 0,-1-1 0,1 0 0,-1 0 0,1 0 0,-1-1 0,1 1 0,-1-1 1,0 0-1,-6 0 0,9 0-72,0-1 0,0 1 1,0 0-1,0 0 0,0 0 1,0-1-1,0 1 1,0-1-1,0 1 0,0-1 1,0 1-1,0-1 0,0 1 1,0-1-1,1 0 0,-1 1 1,0-1-1,0 0 1,1 0-1,-1 0 0,1 1 1,-1-1-1,1 0 0,-1 0 1,1 0-1,-1 0 0,1 0 1,0 0-1,-1 0 1,1 0-1,0 0 0,0 0 1,0 0-1,0 0 0,0 0 1,0 0-1,0-1 1,0 1-1,0 0 0,1 0 1,-1-1-1,4-12-6785</inkml:trace>
  <inkml:trace contextRef="#ctx0" brushRef="#br0" timeOffset="5495.54">1977 544 24575,'0'6'0,"0"6"0,0 9 0,0 9 0,0 5 0,0 6 0,0 3 0,0 0 0,0-7-8191</inkml:trace>
  <inkml:trace contextRef="#ctx0" brushRef="#br0" timeOffset="6823.89">360 1465 24575,'-23'-17'-3933,"21"15"3928,-1 1-1,1 0 0,-1 1 0,1-1 0,0 0 1,-1 1-1,0-1 0,1 1 0,-1 0 0,1 0 1,-1 0-1,-2 0 0,2 1 101,-1 0 0,1 0 1,0 0-1,0 0 0,0 0 0,1 1 1,-1-1-1,0 1 0,0 0 0,1 0 1,-1 0-1,1 0 0,0 0 0,0 1 1,0-1-1,0 1 0,0-1 0,-2 5 1,-4 7 140,0 0 0,2 1 0,-1 0 0,-5 22 0,10-27-109,-1 1 1,1 0-1,1-1 0,0 1 0,0 0 1,1 0-1,2 17 0,-1-25-127,0 0 0,0 0 0,0 0 0,0 0 0,0 0 0,1 0 0,-1 0 0,1 0 0,0 0 0,0-1 0,0 1 0,0-1 0,0 0 0,0 1 0,1-1 0,-1 0 0,1 0 0,0-1 0,0 1 0,-1 0 0,1-1 0,0 0 0,0 1 0,0-1 0,1-1 0,-1 1 0,3 0 0,-2 0 0,0-1 0,-1 1 0,1-1 0,-1 0 0,1 0 0,-1-1 0,1 1 0,0-1 0,-1 0 0,0 0 0,1 0 0,-1 0 0,1-1 0,-1 1 0,0-1 0,0 0 0,0 0 0,0 0 0,0 0 0,0 0 0,-1-1 0,1 1 0,-1-1 0,3-3 0,0-4 0,0 0 0,0 0 0,-1-1 0,-1 1 0,1-1 0,1-15 0,-3 15 0,0 1 0,1-1 0,0 1 0,1 0 0,0 0 0,7-11 0,-11 20 0,1-1 0,0 1 0,0 0 0,0 0 0,0 0 0,0 0 0,0 0 0,0 0 0,0 0 0,0 0 0,0 0 0,1 0 0,-1 0 0,0 1 0,1-1 0,-1 1 0,0-1 0,1 1 0,-1-1 0,1 1 0,-1 0 0,1 0 0,-1-1 0,1 1 0,-1 0 0,1 0 0,-1 1 0,1-1 0,-1 0 0,0 0 0,1 1 0,-1-1 0,1 1 0,-1-1 0,0 1 0,1 0 0,-1-1 0,0 1 0,0 0 0,1 0 0,-1 0 0,1 2 0,3 0 0,-1 2 0,0-1 0,0 0 0,0 1 0,-1 0 0,0-1 0,0 1 0,0 1 0,3 8 0,-2-2 0,-1 1 0,-1 0 0,0 0 0,-1 1 0,-1-1 0,-1 20 0,1 20 0,2-47-1365</inkml:trace>
  <inkml:trace contextRef="#ctx0" brushRef="#br0" timeOffset="7202.75">661 1456 24575,'0'-4'0,"0"1"0,0-1 0,0 1 0,0-1 0,0 0 0,1 1 0,0-1 0,0 1 0,0-1 0,0 1 0,1 0 0,-1-1 0,1 1 0,0 0 0,-1 0 0,2 0 0,-1 0 0,0 0 0,0 1 0,1-1 0,0 1 0,-1-1 0,1 1 0,0 0 0,0 0 0,0 0 0,1 1 0,-1-1 0,6-1 0,-6 2 0,0-1 0,0 1 0,0 0 0,0 0 0,0 0 0,0 1 0,1-1 0,-1 1 0,0 0 0,1 0 0,-1 0 0,0 0 0,0 1 0,6 1 0,-7-2 0,0 1 0,0 0 0,0 0 0,0 0 0,-1 1 0,1-1 0,0 0 0,-1 1 0,1-1 0,-1 1 0,0-1 0,1 1 0,-1 0 0,0-1 0,0 1 0,0 0 0,0 0 0,0 0 0,-1 0 0,1 0 0,-1 0 0,1 0 0,-1 0 0,1 3 0,-1 4 0,0 0 0,0 0 0,-1 0 0,0 0 0,-1 0 0,0 0 0,0 0 0,-1-1 0,0 1 0,-7 11 0,-6 25 0,15-44 0,1 0 0,0 0 0,-1 0 0,1-1 0,0 1 0,0 0 0,0 0 0,-1 0 0,1 0 0,0 0 0,0-1 0,1 1 0,-1 0 0,0 0 0,0 0 0,0 0 0,0 0 0,1-1 0,-1 1 0,0 0 0,1 0 0,-1 0 0,1-1 0,-1 1 0,1 0 0,-1-1 0,1 1 0,0 0 0,-1-1 0,1 1 0,0-1 0,-1 1 0,1-1 0,0 1 0,-1-1 0,3 1 0,1 0 0,1 1 0,0-1 0,0-1 0,0 1 0,8-1 0,10 3 0,-20-2 0,0-1 0,0 1 0,0 0 0,0 1 0,-1-1 0,1 0 0,0 1 0,-1 0 0,1-1 0,-1 1 0,0 0 0,0 0 0,1 1 0,-1-1 0,-1 0 0,1 1 0,0-1 0,0 1 0,-1-1 0,0 1 0,1 0 0,-1 0 0,0 0 0,0 0 0,-1 0 0,1 0 0,-1 0 0,1 0 0,-1 0 0,0 0 0,0 0 0,0 0 0,-1 3 0,0-1 0,0-1 0,0 1 0,0-1 0,-1 0 0,0 1 0,0-1 0,0 0 0,0 0 0,0 0 0,-1 0 0,0-1 0,0 1 0,0-1 0,0 1 0,-1-1 0,1 0 0,-1 0 0,1-1 0,-1 1 0,0-1 0,-6 3 0,7-4 34,-1 0 1,1 1-1,-1-1 0,1-1 0,-1 1 0,0 0 0,1-1 0,-1 0 0,-6 0 1,8-1-121,0 1 1,0 0 0,1-1-1,-1 0 1,0 1 0,0-1-1,0 0 1,1 0 0,-1 0-1,0 0 1,1 0 0,-1 0-1,1 0 1,-1-1 0,1 1-1,-1-1 1,1 1 0,0-1-1,-1-2 1,-8-14-6741</inkml:trace>
  <inkml:trace contextRef="#ctx0" brushRef="#br0" timeOffset="7545.32">1014 1318 24575,'-2'2'0,"0"-1"0,1 1 0,-1-1 0,1 1 0,0-1 0,-1 1 0,1 0 0,0 0 0,0 0 0,0-1 0,0 1 0,0 0 0,1 0 0,-1 0 0,0 3 0,0-1 0,-3 5 0,1 0 0,1 0 0,0 0 0,0 0 0,1 0 0,-1 15 0,2-22 0,0 1 0,0-1 0,1 0 0,-1 0 0,1 1 0,-1-1 0,1 0 0,0 0 0,-1 0 0,1 0 0,0 0 0,1 0 0,-1 0 0,2 2 0,-2-3 0,0 0 0,1 0 0,-1 0 0,1 0 0,-1 0 0,1 0 0,-1-1 0,1 1 0,-1 0 0,1-1 0,0 0 0,-1 1 0,1-1 0,0 0 0,-1 0 0,1 0 0,0 0 0,-1 0 0,1 0 0,0 0 0,2-1 0,0 0 0,-1-1 0,0 1 0,1 0 0,-1-1 0,0 1 0,0-1 0,0 0 0,0 0 0,-1 0 0,1-1 0,4-4 0,10-8 0,-16 15 0,-1 0 0,0 0 0,0-1 0,1 1 0,-1 0 0,0 0 0,0 0 0,1 0 0,-1-1 0,0 1 0,1 0 0,-1 0 0,0 0 0,1 0 0,-1 0 0,0 0 0,1 0 0,-1 0 0,0 0 0,1 0 0,-1 0 0,0 0 0,1 0 0,-1 0 0,0 0 0,1 1 0,-1-1 0,0 0 0,0 0 0,1 0 0,-1 0 0,0 1 0,0-1 0,1 0 0,-1 0 0,0 0 0,0 1 0,1-1 0,-1 0 0,0 0 0,0 1 0,0-1 0,0 0 0,1 1 0,-1-1 0,0 0 0,0 1 0,0-1 0,0 0 0,0 1 0,0-1 0,3 22 0,-3-20 0,1 77 0,-2-48 0,4 39 0,0-54-1365,0-9-5461</inkml:trace>
  <inkml:trace contextRef="#ctx0" brushRef="#br0" timeOffset="7716.35">1435 1250 24575,'-1'0'0,"-4"4"0,-1 6 0,1 4 0,1 3 0,1 1 0,1 1 0,2 1 0,-1 1 0,1-4-8191</inkml:trace>
  <inkml:trace contextRef="#ctx0" brushRef="#br0" timeOffset="7839.03">1435 1482 24575,'0'3'0,"-1"1"0,2-4 0,4-8 0,1-3-8191</inkml:trace>
  <inkml:trace contextRef="#ctx0" brushRef="#br0" timeOffset="8201.34">1762 1206 24575,'-1'0'0,"1"1"0,-1-1 0,1 0 0,-1 0 0,1 1 0,-1-1 0,1 0 0,-1 0 0,1 1 0,0-1 0,-1 1 0,1-1 0,-1 0 0,1 1 0,0-1 0,-1 1 0,1-1 0,0 1 0,-1-1 0,1 1 0,0-1 0,0 1 0,0-1 0,-1 1 0,1 0 0,0-1 0,0 1 0,-3 19 0,3-17 0,-1 17 0,0 0 0,2 0 0,0 0 0,1-1 0,1 1 0,1 0 0,1-1 0,1 0 0,0 0 0,15 28 0,-27-63 0,1 0 0,1 0 0,1 0 0,0-1 0,1 0 0,0-30 0,1 22 0,1-1 0,1 0 0,1 1 0,1-1 0,2 1 0,12-44 0,-16 66 17,0 1 0,1-1 0,-1 0 1,0 1-1,1-1 0,-1 1 0,1 0 0,0-1 0,0 1 0,0 0 0,0 0 0,0 0 0,0 0 0,0 1 0,1-1 0,-1 0 0,1 1 0,-1 0 1,4-2-1,-5 3-71,1 0 1,0 0 0,0 0-1,-1 0 1,1 0 0,0 0-1,-1 0 1,1 1 0,0-1-1,-1 1 1,1-1 0,0 1-1,-1-1 1,1 1 0,-1 0-1,1 0 1,-1 0 0,1 0-1,-1 0 1,0 0 0,0 0-1,1 0 1,-1 1 0,0-1-1,0 0 1,0 1 0,0-1-1,0 1 1,-1-1 0,1 1-1,1 3 1,4 10-6773</inkml:trace>
  <inkml:trace contextRef="#ctx0" brushRef="#br0" timeOffset="8353.53">1780 1310 24575,'0'-2'0,"1"0"0,5-4 0,8-4 0,5-5 0,4-3 0,6-1 0,0 3 0,-4 4-8191</inkml:trace>
  <inkml:trace contextRef="#ctx0" brushRef="#br0" timeOffset="8747.81">2012 1129 24575,'0'0'0,"-1"0"0,1 0 0,0 1 0,0-1 0,0 0 0,0 0 0,-1 0 0,1 0 0,0 0 0,0 0 0,0 0 0,0 0 0,-1 0 0,1 0 0,0 0 0,0 0 0,0 0 0,-1 0 0,1 0 0,0 0 0,0 0 0,0 0 0,0-1 0,-1 1 0,1 0 0,0 0 0,0 0 0,0 0 0,0 0 0,0 0 0,-1 0 0,1-1 0,0 1 0,0 0 0,0 0 0,0 0 0,0 0 0,0-1 0,0 1 0,0 0 0,-1 0 0,1 0 0,0 0 0,0-1 0,0 1 0,0 0 0,8-8 0,15-5 0,-22 13 0,0 0 0,0-1 0,0 1 0,0 0 0,0 0 0,0 0 0,0 0 0,0 0 0,0 0 0,0 0 0,0 0 0,0 0 0,0 1 0,0-1 0,0 0 0,0 1 0,0-1 0,0 1 0,0-1 0,0 1 0,0-1 0,0 1 0,-1 0 0,1-1 0,0 1 0,1 1 0,18 29 0,-2-4 0,-8-18 0,1 0 0,20 13 0,-23-18 0,-1 1 0,1 0 0,-1 1 0,0 0 0,0 0 0,-1 1 0,0-1 0,10 15 0,-15-20 0,0 1 0,-1 0 0,1-1 0,-1 1 0,1 0 0,-1 0 0,0-1 0,0 1 0,0 0 0,0 0 0,0-1 0,0 1 0,0 0 0,0 0 0,-1-1 0,1 1 0,-1 0 0,1-1 0,-1 1 0,0 0 0,0-1 0,0 1 0,1-1 0,-2 1 0,1-1 0,0 0 0,-2 3 0,1-2 0,1-1 0,-1 1 0,0-1 0,1 0 0,-1 0 0,0 1 0,0-1 0,0 0 0,1-1 0,-1 1 0,0 0 0,0 0 0,-1-1 0,1 1 0,0-1 0,0 0 0,0 0 0,0 0 0,0 0 0,0 0 0,0 0 0,-4-1 0,5 1-41,0-1 0,1 1-1,-1 0 1,0-1-1,1 1 1,-1-1 0,0 1-1,1-1 1,-1 1 0,0-1-1,1 0 1,-1 1-1,1-1 1,-1 0 0,1 1-1,0-1 1,-1 0 0,1 1-1,-1-1 1,1 0-1,0 0 1,0 0 0,0 1-1,-1-1 1,1 0 0,0 0-1,0 0 1,0 1-1,0-1 1,0 0 0,1 0-1,-1-1 1,4-14-6785</inkml:trace>
  <inkml:trace contextRef="#ctx0" brushRef="#br0" timeOffset="9075.41">2296 1060 24575,'-1'0'0,"1"0"0,0 0 0,-1 0 0,1 0 0,-1 0 0,1 0 0,0 0 0,-1 0 0,1 0 0,0 0 0,-1 0 0,1-1 0,0 1 0,-1 0 0,1 0 0,0 0 0,-1-1 0,1 1 0,0 0 0,0-1 0,-1 1 0,1 0 0,0 0 0,0-1 0,0 1 0,-1 0 0,1-1 0,0 1 0,0 0 0,0-1 0,0 1 0,0-1 0,0 1 0,0 0 0,0-1 0,0 1 0,0 0 0,0-1 0,0 1 0,0-1 0,0 1 0,0 0 0,0-1 0,0 1 0,0 0 0,0-1 0,0 1 0,1 0 0,-1-1 0,0 1 0,0 0 0,1-1 0,-1 1 0,0 0 0,0 0 0,1-1 0,14-19 0,-10 16 0,0 0 0,0 1 0,0-1 0,0 1 0,1 0 0,-1 1 0,1-1 0,0 1 0,0 0 0,0 1 0,0-1 0,0 1 0,0 1 0,1-1 0,-1 1 0,9 0 0,-11 1 0,0-1 0,-1 1 0,1 0 0,-1 0 0,1 0 0,0 0 0,-1 1 0,0-1 0,1 1 0,-1 0 0,0 0 0,0 0 0,0 0 0,0 1 0,0-1 0,-1 1 0,1 0 0,-1 0 0,0 0 0,0 0 0,0 0 0,0 0 0,0 1 0,0-1 0,-1 1 0,0-1 0,0 1 0,1 4 0,0 4 0,-1 0 0,-1 0 0,0 0 0,0 0 0,-1 0 0,-1 0 0,-3 15 0,0-1 0,5-24 0,-1-1 0,1 1 0,0 0 0,0 0 0,0 0 0,0 0 0,0-1 0,0 1 0,0 0 0,1 0 0,-1 0 0,0 0 0,1-1 0,0 1 0,-1 0 0,1-1 0,0 1 0,1 2 0,-1-3 0,1 0 0,-1 0 0,0 0 0,0-1 0,1 1 0,-1 0 0,0-1 0,1 1 0,-1 0 0,1-1 0,-1 0 0,1 1 0,-1-1 0,1 0 0,-1 0 0,1 1 0,2-2 0,6 0 0,0 0 0,0-1 0,0-1 0,0 0 0,11-4 0,-20 6 0,187-74-1365,-161 63-5461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09:10.29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103 29 24575,'10'-20'0,"-6"12"0,-5 14 0,-20 79 0,6-30 0,15-54 0,-1 0 0,1 0 0,0 0 0,-1 0 0,1 0 0,0 0 0,0 1 0,0-1 0,0 0 0,0 0 0,0 0 0,0 0 0,0 1 0,1-1 0,-1 0 0,0 0 0,1 0 0,-1 0 0,1 0 0,-1 0 0,1 0 0,-1 0 0,1 0 0,0 0 0,-1 0 0,1 0 0,0 0 0,0 0 0,0-1 0,0 1 0,0 0 0,0-1 0,0 1 0,0-1 0,0 1 0,0-1 0,0 1 0,0-1 0,0 0 0,0 1 0,1-1 0,-1 0 0,0 0 0,0 0 0,0 0 0,2 0 0,3 0 0,0 0 0,1-1 0,-1 0 0,0 0 0,0 0 0,0-1 0,9-4 0,-9 4 0,-1-1 0,0 0 0,0 0 0,0-1 0,0 1 0,-1-1 0,1 0 0,-1-1 0,0 1 0,0-1 0,3-5 0,-6 8 0,1 0 0,-1 0 0,0 1 0,0-1 0,-1 0 0,1 0 0,0 0 0,-1 0 0,1 0 0,-1 0 0,0 0 0,1-1 0,-1 1 0,0 0 0,0 0 0,0 0 0,-1 0 0,1 0 0,-1 0 0,1 0 0,-1 0 0,1 0 0,-1 0 0,0 0 0,0 0 0,0 0 0,0 0 0,0 1 0,-1-1 0,1 0 0,0 1 0,-1-1 0,1 1 0,-4-3 0,5 4 0,-1-1 0,1 1 0,-1-1 0,1 1 0,-1 0 0,1-1 0,-1 1 0,0-1 0,1 1 0,-1 0 0,0 0 0,1-1 0,-1 1 0,0 0 0,1 0 0,-1 0 0,0 0 0,1 0 0,-1 0 0,0 0 0,0 0 0,1 0 0,-1 0 0,0 0 0,1 0 0,-1 0 0,0 0 0,0 1 0,0 0 0,0 0 0,0 0 0,0 0 0,0 0 0,0 0 0,0 0 0,1 1 0,-1-1 0,1 0 0,-1 0 0,0 0 0,1 1 0,-1 1 0,-1 7 0,1-1 0,0 0 0,0 12 0,1-20 0,2 144 0,-2-145 1,0 1-58,-1 1 0,1-1 0,0 0 0,0 1 0,0-1 0,1 0 0,-1 1 0,0-1 0,0 0 1,1 0-1,-1 1 0,1-1 0,-1 0 0,1 0 0,0 1 0,-1-1 0,1 0 0,0 0 0,0 0 1,0 0-1,0 0 0,0 0 0,1 1 0,3-2-6769</inkml:trace>
  <inkml:trace contextRef="#ctx0" brushRef="#br0" timeOffset="310.69">362 63 24575,'0'-3'0,"0"2"0,0 7 0,0 7 0,0 6 0,0 6 0,0 4 0,0 2 0,0-3 0,0-2 0,0-1 0,0-7 0,0-6-8191</inkml:trace>
  <inkml:trace contextRef="#ctx0" brushRef="#br0" timeOffset="767.67">0 416 24575,'2'0'0,"3"0"0,3 0 0,6 0 0,5 0 0,8-2 0,7 1 0,10-1 0,10-4 0,9-1 0,1 1 0,0 1 0,-2-3 0,-9 0 0,-14 2 0,-14 1-8191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09:29.4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 13 24575,'0'-3'0,"0"5"0,0 6 0,0 7 0,0 7 0,0 7 0,0 5 0,0 3 0,0-1 0,0 0 0,0-3 0,-3-3 0,-1-4 0,1-3 0,1-7 0,2-4-8191</inkml:trace>
  <inkml:trace contextRef="#ctx0" brushRef="#br0" timeOffset="589.79">237 159 24575,'1'-10'0,"0"1"0,0 0 0,4-11 0,2-19 0,-7 39 0,1-6 0,0 0 0,-1 0 0,0 0 0,0 0 0,-2-9 0,2 14 0,-1 0 0,1 1 0,0-1 0,0 0 0,-1 1 0,1-1 0,0 0 0,-1 1 0,1-1 0,0 1 0,-1-1 0,1 0 0,-1 1 0,1 0 0,-1-1 0,1 1 0,-1-1 0,1 1 0,-1-1 0,0 1 0,1 0 0,-2-1 0,1 1 0,0 0 0,-1 0 0,1 0 0,0 0 0,-1 0 0,1 1 0,0-1 0,-1 0 0,1 1 0,0-1 0,-1 1 0,1-1 0,0 1 0,0-1 0,0 1 0,-2 1 0,0 0 0,0 1 0,-1-1 0,1 1 0,1-1 0,-1 1 0,0 0 0,1 0 0,-1 0 0,1 1 0,0-1 0,0 1 0,0-1 0,1 1 0,-1-1 0,1 1 0,-2 6 0,3-7 0,-1 0 0,1 0 0,0-1 0,0 1 0,0 0 0,0 0 0,1-1 0,-1 1 0,1 0 0,0 0 0,-1-1 0,1 1 0,0-1 0,1 1 0,-1-1 0,0 1 0,1-1 0,-1 0 0,1 1 0,0-1 0,0 0 0,0 0 0,0 0 0,3 2 0,21 14 0,-15-11 0,-1 1 0,0-1 0,18 19 0,-25-22 0,0-1 0,-1 1 0,1 0 0,-1 0 0,0 0 0,0 0 0,0 0 0,-1 0 0,1 0 0,-1 1 0,0-1 0,0 1 0,-1-1 0,1 1 0,-1 5 0,-1-6 0,1 0 0,-1-1 0,0 1 0,0 0 0,-1-1 0,1 1 0,-1-1 0,1 0 0,-1 1 0,0-1 0,0 0 0,-1 0 0,1 0 0,0 0 0,-1-1 0,0 1 0,0-1 0,0 1 0,0-1 0,0 0 0,-5 2 0,6-3 0,0 1 0,-1-1 0,1 0 0,0 0 0,-1 0 0,1 0 0,-1-1 0,1 1 0,-1-1 0,1 1 0,-1-1 0,0 0 0,1 0 0,-1 0 0,1 0 0,-1-1 0,1 1 0,-1-1 0,0 0 0,1 1 0,0-1 0,-1 0 0,1 0 0,0-1 0,-1 1 0,1 0 0,0-1 0,0 1 0,0-1 0,0 0 0,-3-3 0,0-3 0,0 0 0,0 0 0,1-1 0,0 1 0,1-1 0,-1 0 0,2 0 0,-1 0 0,1-1 0,1 1 0,0-1 0,0-11 0,1 15 0,0 1 0,0 0 0,1 0 0,0 1 0,0-1 0,0 0 0,1 0 0,0 0 0,0 1 0,0-1 0,3-4 0,-3 6 0,0 1 0,0-1 0,1 0 0,-1 1 0,1-1 0,0 1 0,-1 0 0,1 0 0,0 0 0,1 0 0,-1 1 0,0-1 0,0 1 0,1 0 0,-1 0 0,7-2 0,-6 3-151,0-1-1,0 1 0,0 0 0,0 0 1,0 0-1,0 1 0,-1-1 1,7 3-1,7 2-6674</inkml:trace>
  <inkml:trace contextRef="#ctx0" brushRef="#br0" timeOffset="1250.56">529 99 24575,'0'-9'0,"0"0"0,-1 1 0,0-1 0,0 1 0,-1-1 0,-3-9 0,4 16 0,1 1 0,-1-1 0,0 1 0,1-1 0,-1 1 0,0-1 0,0 1 0,0 0 0,0-1 0,0 1 0,0 0 0,0 0 0,0 0 0,-1-1 0,1 1 0,0 0 0,-1 1 0,1-1 0,-1 0 0,1 0 0,-1 1 0,1-1 0,-1 1 0,1-1 0,-1 1 0,0 0 0,1-1 0,-1 1 0,0 0 0,1 0 0,-1 0 0,0 0 0,1 1 0,-1-1 0,0 0 0,1 1 0,-1-1 0,1 1 0,-3 0 0,2 1 0,-1-1 0,0 1 0,0-1 0,1 1 0,-1 0 0,1 0 0,-1 0 0,1 0 0,0 1 0,0-1 0,0 1 0,0-1 0,0 1 0,1-1 0,-1 1 0,1 0 0,0 0 0,-1 0 0,1 0 0,1 0 0,-1 0 0,0 5 0,0-6 0,1 0 0,0-1 0,0 1 0,0 0 0,1 0 0,-1 0 0,0-1 0,1 1 0,-1 0 0,1 0 0,-1-1 0,1 1 0,0 0 0,0-1 0,0 1 0,0-1 0,0 1 0,0-1 0,0 1 0,0-1 0,1 0 0,-1 1 0,0-1 0,1 0 0,-1 0 0,1 0 0,-1 0 0,1-1 0,0 1 0,-1 0 0,1 0 0,0-1 0,0 0 0,-1 1 0,1-1 0,0 0 0,0 1 0,0-1 0,2-1 0,-2 1 0,-1 1 0,1-1 0,-1 0 0,1-1 0,-1 1 0,1 0 0,-1 0 0,1-1 0,-1 1 0,1-1 0,-1 1 0,1-1 0,-1 1 0,0-1 0,1 0 0,-1 0 0,0 0 0,0 0 0,0 0 0,0 0 0,0 0 0,0 0 0,0 0 0,1-2 0,1-2 0,-1 1 0,-1-1 0,1 0 0,-1 0 0,2-10 0,-2 10 0,0 0 0,0 0 0,0 0 0,5-9 0,-6 14 0,0 0 0,0 0 0,0-1 0,0 1 0,0 0 0,0 0 0,0 0 0,0 0 0,0 0 0,1 0 0,-1 0 0,0 0 0,0-1 0,0 1 0,0 0 0,0 0 0,0 0 0,0 0 0,1 0 0,-1 0 0,0 0 0,0 0 0,0 0 0,0 0 0,0 0 0,0 0 0,1 0 0,-1 0 0,0 0 0,0 0 0,0 0 0,0 0 0,0 0 0,0 0 0,1 0 0,-1 0 0,0 0 0,0 0 0,0 0 0,0 0 0,0 0 0,0 0 0,0 0 0,1 0 0,-1 0 0,0 1 0,0-1 0,0 0 0,0 0 0,0 0 0,6 10 0,1 10 0,-1 7 0,11 60 0,-16-79 0,0 1 0,-1-1 0,0 1 0,0-1 0,-1 1 0,0-1 0,-4 15 0,4-21 10,1-1-1,0 1 0,-1 0 1,1-1-1,-1 1 1,0-1-1,1 1 0,-1-1 1,0 0-1,0 1 0,0-1 1,0 0-1,0 1 1,0-1-1,0 0 0,-1 0 1,1 0-1,0 0 1,-1 0-1,1 0 0,0 0 1,-1-1-1,1 1 0,-1-1 1,1 1-1,-1-1 1,0 1-1,1-1 0,-1 0 1,0 1-1,1-1 1,-1 0-1,1 0 0,-3-1 1,-3-1-138,0 0 0,1 0 0,-1-1 0,0 0 0,1 0 0,-9-6 0,2 1-670,-4-1-6028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09:44.1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43 126 24575,'-2'-20'0,"1"18"0,1 0 0,0 0 0,-1 0 0,1 0 0,0 0 0,0 0 0,0 0 0,0 0 0,0 0 0,1 0 0,-1 0 0,0 0 0,1 0 0,0 0 0,-1 0 0,1 0 0,1-2 0,2-1 0,0 0 0,0-1 0,0 1 0,0 1 0,1-1 0,0 1 0,0 0 0,0 0 0,0 0 0,1 1 0,0-1 0,-1 1 0,1 1 0,9-4 0,-13 6 0,1-1 0,-1 0 0,1 1 0,-1-1 0,1 1 0,-1 0 0,1 0 0,-1 0 0,1 0 0,-1 0 0,1 1 0,-1-1 0,1 1 0,-1-1 0,1 1 0,-1 0 0,0 0 0,1 0 0,-1 0 0,0 1 0,0-1 0,0 1 0,0-1 0,0 1 0,0 0 0,0-1 0,-1 1 0,1 0 0,0 0 0,-1 0 0,0 1 0,1-1 0,-1 0 0,0 0 0,0 1 0,0-1 0,-1 1 0,2 4 0,-1 0 0,0-1 0,0 1 0,0 0 0,-1 0 0,0 0 0,-2 13 0,2-17 0,-1-1 0,1 1 0,0-1 0,-1 1 0,0-1 0,0 1 0,0-1 0,0 1 0,0-1 0,0 0 0,0 1 0,-1-1 0,1 0 0,-1 0 0,0 0 0,1 0 0,-1 0 0,0-1 0,0 1 0,-4 2 0,0-3 0,6-4 0,11-6 0,-9 9 0,1-1 0,0 1 0,-1 0 0,1 0 0,0 0 0,-1 0 0,1 0 0,0 0 0,-1 1 0,1-1 0,-1 1 0,1 0 0,-1-1 0,1 1 0,-1 1 0,1-1 0,-1 0 0,0 1 0,0-1 0,1 1 0,-1-1 0,0 1 0,-1 0 0,1 0 0,0 0 0,0 0 0,-1 0 0,1 0 0,-1 1 0,0-1 0,0 0 0,0 1 0,2 4 0,-2-4 0,0 0 0,1 0 0,-1 0 0,0 0 0,-1 1 0,1-1 0,-1 0 0,1 1 0,-1-1 0,0 0 0,0 1 0,0-1 0,-1 0 0,1 1 0,-1-1 0,0 0 0,0 0 0,0 0 0,0 1 0,-1-1 0,1 0 0,-1 0 0,1-1 0,-1 1 0,0 0 0,-1-1 0,-2 4 0,-1-2 27,0 0-1,0-1 0,0 0 0,0 0 1,-1 0-1,1-1 0,-1 0 0,0 0 1,1-1-1,-1 1 0,0-1 0,-9-1 1,13 1-88,0-1 0,-1-1 0,1 1 0,0 0 0,0-1 0,-1 1 0,1-1 0,0 0 0,0 0 0,0 0 0,0-1 0,0 1 0,0-1 0,0 0 0,0 1 0,1-1 0,-1 0 0,1-1 1,-1 1-1,1 0 0,0-1 0,0 1 0,0-1 0,0 0 0,0 0 0,1 0 0,-2-3 0,-1-7-6765</inkml:trace>
  <inkml:trace contextRef="#ctx0" brushRef="#br0" timeOffset="667.5">413 91 24575,'0'-3'0,"-1"-1"0,1 0 0,-1 1 0,0-1 0,0 0 0,0 1 0,-1-1 0,1 1 0,-1 0 0,0-1 0,0 1 0,0 0 0,0 0 0,0 0 0,-1 1 0,1-1 0,-1 0 0,0 1 0,0 0 0,-4-3 0,5 3 0,0 1 0,-1 0 0,1-1 0,0 1 0,-1 0 0,1 1 0,0-1 0,-1 0 0,1 1 0,-1-1 0,0 1 0,1 0 0,-1 0 0,1 0 0,-1 0 0,1 0 0,-1 0 0,1 1 0,-1-1 0,1 1 0,-1 0 0,1 0 0,-1 0 0,1 0 0,0 0 0,0 0 0,0 1 0,-1-1 0,1 1 0,-2 2 0,1-1 0,0 0 0,0 0 0,1 1 0,-1-1 0,1 1 0,-1 0 0,1 0 0,0-1 0,1 2 0,-1-1 0,1 0 0,0 0 0,0 0 0,-1 5 0,2-7 0,0 0 0,0 0 0,0 0 0,1 0 0,-1 0 0,0 0 0,1-1 0,0 1 0,-1 0 0,1 0 0,0 0 0,0-1 0,0 1 0,0 0 0,0-1 0,0 1 0,0-1 0,0 1 0,1-1 0,-1 1 0,1-1 0,-1 0 0,1 0 0,0 0 0,-1 0 0,1 0 0,0 0 0,-1 0 0,1-1 0,0 1 0,0-1 0,0 1 0,2 0 0,-2-1 0,1 1 0,-1-1 0,0 1 0,1-1 0,-1 0 0,0 0 0,1 0 0,-1 0 0,0 0 0,1-1 0,-1 1 0,0-1 0,1 1 0,-1-1 0,0 0 0,0 0 0,0 0 0,0 0 0,0 0 0,0 0 0,0-1 0,0 1 0,0-1 0,0 1 0,-1-1 0,3-3 0,1-2 0,0-1 0,-1 0 0,-1 0 0,1 0 0,3-14 0,-6 19 0,-1 2 0,0 0 0,1 0 0,-1 0 0,0 1 0,0-1 0,0 0 0,1 1 0,-1-1 0,0 0 0,1 0 0,-1 1 0,1-1 0,-1 1 0,0-1 0,1 0 0,0 1 0,-1-1 0,1 1 0,-1-1 0,1 1 0,0-1 0,-1 1 0,1 0 0,0-1 0,-1 1 0,2-1 0,-1 2 0,0-1 0,0 0 0,-1 1 0,1-1 0,0 1 0,0-1 0,0 1 0,-1-1 0,1 1 0,0 0 0,-1-1 0,1 1 0,-1 0 0,1 0 0,-1-1 0,1 1 0,-1 0 0,1 1 0,17 43 0,-15-37 0,-1 1 0,0 0 0,0-1 0,-1 1 0,0 0 0,-1 0 0,-1 16 0,1-22 0,-1 0 0,1-1 0,-1 1 0,1 0 0,-1-1 0,0 1 0,0-1 0,-1 1 0,1-1 0,0 1 0,-1-1 0,1 0 0,-1 0 0,0 1 0,0-1 0,0-1 0,0 1 0,0 0 0,0 0 0,0-1 0,0 1 0,-1-1 0,1 0 0,-1 0 0,1 1 0,-1-2 0,0 1 0,-4 1 0,-31 5-1365,22-1-5461</inkml:trace>
  <inkml:trace contextRef="#ctx0" brushRef="#br0" timeOffset="1073.75">0 436 24575,'51'-4'0,"-1"-3"0,87-21 0,-72 13 0,64-10 0,125-32 0,-238 50-1365,-22 7-5461</inkml:trace>
  <inkml:trace contextRef="#ctx0" brushRef="#br0" timeOffset="1572.76">190 488 24575,'0'-3'0,"0"3"0,0 8 0,0 8 0,0 7 0,3 8 0,1 6 0,-1 5 0,0 1 0,-1-1 0,0-3 0,3-4 0,1-5 0,2-5 0,4-6 0,-2-10 0,-1-6-8191</inkml:trace>
  <inkml:trace contextRef="#ctx0" brushRef="#br0" timeOffset="2014.53">405 668 24575,'0'-17'-2293,"1"4"2207,-1 1 0,-3-25 0,3 35 130,0 0 0,0 0 1,0 0-1,-1 1 1,1-1-1,-1 0 0,0 1 1,1-1-1,-1 0 1,0 1-1,0-1 1,0 1-1,0-1 0,0 1 1,0-1-1,0 1 1,-1 0-1,1-1 1,0 1-1,-1 0 0,1 0 1,-1 0-1,1 0 1,-1 1-1,0-1 1,1 0-1,-3 0 0,3 1-22,-1-1-1,1 1 0,0 0 0,0 0 1,-1 0-1,1 0 0,0 0 0,-1 0 1,1 1-1,0-1 0,0 0 0,0 1 1,-1-1-1,1 1 0,0-1 0,0 1 1,0-1-1,0 1 0,0 0 0,0 0 1,0-1-1,0 1 0,0 0 1,0 0-1,0 0 0,0 0 0,1 0 1,-1 0-1,0 0 0,1 0 0,-1 1 1,1-1-1,-1 0 0,1 0 0,0 0 1,-1 1-1,1-1 0,0 0 0,0 2 1,0 0 3,-1 0 0,1 0 1,0 0-1,1 0 1,-1-1-1,0 1 1,1 0-1,0 0 0,-1-1 1,1 1-1,0 0 1,0-1-1,1 1 1,-1-1-1,0 1 0,1-1 1,2 4-1,4 0-25,0 1 0,1-1 0,0-1 0,14 7 0,-13-6 0,0-1 0,0 1 0,15 12 0,-21-15 0,0 1 0,-1 0 0,0-1 0,1 1 0,-1 0 0,0 0 0,-1 1 0,1-1 0,-1 1 0,0-1 0,0 1 0,0 0 0,1 6 0,-3-9 0,0 1 0,0-1 0,0 1 0,0-1 0,0 1 0,0 0 0,-1-1 0,0 0 0,1 1 0,-1-1 0,0 1 0,0-1 0,0 0 0,0 1 0,0-1 0,-1 0 0,1 0 0,-1 0 0,0 0 0,1 0 0,-1-1 0,0 1 0,0 0 0,0-1 0,0 1 0,0-1 0,0 0 0,-3 1 0,3 0 0,0-1 0,1 0 0,-1 0 0,0 0 0,0-1 0,0 1 0,0 0 0,0-1 0,0 1 0,0-1 0,0 1 0,0-1 0,0 0 0,0 0 0,0 0 0,0 0 0,-1-1 0,1 1 0,0 0 0,0-1 0,0 0 0,0 1 0,0-1 0,1 0 0,-1 0 0,0 0 0,-2-2 0,1 1 0,1-1 0,-1 0 0,1 0 0,0 0 0,0 0 0,1 0 0,-1 0 0,0-1 0,1 1 0,0-1 0,0 1 0,0-1 0,0 1 0,0-8 0,0 5 0,1 0 0,-1-1 0,1 1 0,0 0 0,1 0 0,0 0 0,0-1 0,3-10 0,-3 15 0,0-1 0,0 1 0,1 0 0,-1-1 0,1 1 0,-1 0 0,1 0 0,0 0 0,0 0 0,0 0 0,0 1 0,0-1 0,0 1 0,1-1 0,-1 1 0,0 0 0,1 0 0,-1 0 0,1 0 0,-1 0 0,1 0 0,4 0 0,12-1-1365,-4 3-5461</inkml:trace>
  <inkml:trace contextRef="#ctx0" brushRef="#br0" timeOffset="2547.47">672 608 24575,'1'-26'0,"0"19"0,-1 0 0,1-1 0,-1 1 0,0 0 0,-1 0 0,0 0 0,0 0 0,-1 0 0,1 0 0,-5-10 0,5 16 0,1 1 0,0-1 0,-1 0 0,1 1 0,-1-1 0,1 0 0,-1 1 0,1-1 0,-1 0 0,0 1 0,1-1 0,-1 1 0,0-1 0,1 1 0,-1 0 0,0-1 0,1 1 0,-1 0 0,0-1 0,0 1 0,0 0 0,1 0 0,-1 0 0,0 0 0,-1 0 0,0 0 0,1 0 0,0 1 0,-1-1 0,1 1 0,0 0 0,0-1 0,-1 1 0,1 0 0,0 0 0,0 0 0,0 0 0,0 0 0,-2 1 0,-1 3 0,0 0 0,1 0 0,-1 1 0,1-1 0,-4 9 0,5-8 0,0 1 0,0-1 0,0 1 0,1-1 0,0 1 0,0 0 0,1 0 0,0 12 0,0-17 0,0 0 0,0 0 0,1 0 0,-1 0 0,1 0 0,-1 0 0,1-1 0,0 1 0,-1 0 0,1 0 0,0 0 0,0-1 0,1 1 0,-1-1 0,0 1 0,0-1 0,1 1 0,-1-1 0,1 0 0,-1 1 0,1-1 0,0 0 0,-1 0 0,1 0 0,0 0 0,0-1 0,-1 1 0,1 0 0,0-1 0,0 1 0,0-1 0,0 0 0,0 0 0,2 0 0,-2 1 0,-1-1 0,1 0 0,0 0 0,-1 0 0,1-1 0,-1 1 0,1 0 0,-1-1 0,1 1 0,-1-1 0,1 1 0,-1-1 0,1 1 0,-1-1 0,0 0 0,1 0 0,-1 0 0,0 0 0,0 0 0,0 0 0,0 0 0,0 0 0,0 0 0,0-1 0,0 1 0,0 0 0,0-1 0,0-1 0,1-3 0,0 0 0,-1-1 0,0 1 0,0 0 0,0-11 0,3-14 0,-4 31 0,0 0 0,0 0 0,0-1 0,0 1 0,0 0 0,0 0 0,0-1 0,0 1 0,0 0 0,0 0 0,0-1 0,0 1 0,1 0 0,-1 0 0,0 0 0,0-1 0,0 1 0,0 0 0,0 0 0,1 0 0,-1-1 0,0 1 0,0 0 0,0 0 0,1 0 0,-1 0 0,0 0 0,0 0 0,1-1 0,-1 1 0,0 0 0,0 0 0,1 0 0,-1 0 0,0 0 0,0 0 0,1 0 0,-1 0 0,0 0 0,0 0 0,1 0 0,-1 0 0,0 0 0,11 11 0,6 17 0,-11-14 0,-1-1 0,0 1 0,-1 0 0,-1 0 0,4 26 0,-7-36 0,1-1 0,-1 0 0,0 1 0,-1-1 0,1 1 0,-1-1 0,1 0 0,-1 0 0,0 1 0,0-1 0,0 0 0,-1 0 0,1 0 0,-1 0 0,1 0 0,-1 0 0,0 0 0,0-1 0,-1 1 0,1-1 0,0 1 0,-1-1 0,0 0 0,1 0 0,-1 0 0,0 0 0,0-1 0,0 1 0,0-1 0,-5 2 0,0 0-227,-1-2-1,1 1 1,0-1-1,-1 0 1,-13-1-1,5 0-6598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09:47.93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35 161 24575,'-6'1'0,"7"1"0,12 1 0,2-3 0,1 0 0,-1-1 0,24-5 0,-33 5 0,-1 0 0,0 0 0,0-1 0,-1 1 0,1-1 0,0 0 0,-1-1 0,1 1 0,-1-1 0,1 0 0,-1 0 0,0 0 0,0-1 0,4-4 0,-5 3 0,-5 6 0,-5 8 0,0 8 0,1 1 0,0 0 0,1 0 0,0 0 0,2 1 0,0-1 0,2 1 0,0 0 0,1 0 0,0 0 0,2-1 0,0 1 0,6 21 0,-6-29-1365</inkml:trace>
  <inkml:trace contextRef="#ctx0" brushRef="#br0" timeOffset="173.23">53 333 24575,'0'1'0,"1"1"0,4 0 0,4-2 0,4-1 0,6-3 0,4-1 0,-1-3 0,0 1 0,-4-2 0,0 0 0,-2 3-8191</inkml:trace>
  <inkml:trace contextRef="#ctx0" brushRef="#br0" timeOffset="391.47">354 186 24575,'-2'0'0,"3"0"0,4 0 0,7-4 0,3-2 0,2 1 0,-3-3 0,1 1 0,-5 2 0,-7 3 0,-6 4 0,-3 0-8191</inkml:trace>
  <inkml:trace contextRef="#ctx0" brushRef="#br0" timeOffset="742.88">311 195 24575,'-1'28'0,"0"-20"0,0 0 0,1 0 0,0-1 0,0 1 0,1 0 0,0 0 0,0-1 0,1 1 0,3 9 0,-4-16 0,-1 0 0,1 0 0,0-1 0,-1 1 0,1 0 0,0-1 0,0 1 0,0-1 0,-1 1 0,1-1 0,0 1 0,0-1 0,0 0 0,0 1 0,0-1 0,0 0 0,0 0 0,0 0 0,0 0 0,0 1 0,0-2 0,1 1 0,29-3 0,-5 1 0,-25 2 0,1 0 0,0 0 0,-1 0 0,1 1 0,-1-1 0,1 0 0,-1 1 0,1-1 0,-1 1 0,1 0 0,-1-1 0,0 1 0,1 0 0,-1 0 0,0 0 0,0 0 0,0 0 0,1 0 0,-1 0 0,0 0 0,0 1 0,-1-1 0,1 0 0,0 1 0,0-1 0,-1 1 0,1-1 0,0 0 0,-1 1 0,0-1 0,1 1 0,-1 0 0,0-1 0,0 1 0,0-1 0,0 1 0,0-1 0,0 1 0,0 1 0,-1 1 0,0-1 0,0 1 0,0-1 0,-1 1 0,1-1 0,-1 1 0,0-1 0,0 0 0,0 0 0,0 0 0,0 0 0,-1 0 0,1-1 0,-1 1 0,-4 3 0,3-4-76,1 0 1,0 0-1,0-1 0,-1 1 0,1-1 0,-1 0 0,0 0 0,1 0 1,-1 0-1,0 0 0,1-1 0,-1 0 0,0 0 0,0 0 1,1 0-1,-1-1 0,-6 0 0,-7-5-6750</inkml:trace>
  <inkml:trace contextRef="#ctx0" brushRef="#br0" timeOffset="1025.33">70 530 24575,'-3'0'0,"-1"3"0,8 1 0,13-3 0,16-6 0,16-2 0,11-9 0,5-2 0,-1-3 0,-9 1 0,-17 8 0,-19 8 0,-18 8 0,-10 4-8191</inkml:trace>
  <inkml:trace contextRef="#ctx0" brushRef="#br0" timeOffset="1301.58">1 703 24575,'0'-2'0,"0"-3"0,1 0 0,6 4 0,0 5 0,0 9 0,-1 9 0,-2 9 0,-2 8 0,-1 4 0,0 2 0,-1-2 0,-1-3 0,1-5 0,3-6 0,3-8 0,2-8-8191</inkml:trace>
  <inkml:trace contextRef="#ctx0" brushRef="#br0" timeOffset="1719.44">181 918 24575,'7'-18'0,"-1"0"0,-1 0 0,-1 0 0,-1 0 0,2-33 0,-5 49 0,0 0 0,0 0 0,0 1 0,0-1 0,0 0 0,0 0 0,-1 0 0,1 0 0,-1 1 0,1-1 0,-1 0 0,0 0 0,1 1 0,-1-1 0,0 0 0,0 1 0,0-1 0,-1 1 0,1 0 0,0-1 0,-3-1 0,3 2 0,-1 1 0,1-1 0,-1 1 0,1 0 0,-1-1 0,1 1 0,-1 0 0,1 0 0,-1 0 0,1 0 0,0 0 0,-1 1 0,1-1 0,-1 0 0,1 1 0,-1-1 0,1 1 0,0-1 0,-1 1 0,1 0 0,0-1 0,-1 1 0,1 0 0,0 0 0,0 0 0,0 0 0,-2 2 0,0 0 0,-1 1 0,1-1 0,0 1 0,0-1 0,0 1 0,1 0 0,-1 0 0,1 1 0,-3 6 0,5-10 0,-1 1 0,1 0 0,-1 0 0,1-1 0,0 1 0,0 0 0,0 0 0,0-1 0,0 1 0,0 0 0,0 0 0,0-1 0,1 1 0,-1 0 0,1 0 0,-1-1 0,1 1 0,0-1 0,0 1 0,0 0 0,0-1 0,0 1 0,0-1 0,0 0 0,0 1 0,0-1 0,1 0 0,1 2 0,37 21 0,-28-17 0,0 0 0,0 0 0,17 16 0,-26-21 0,-1 1 0,0-1 0,0 1 0,0-1 0,0 1 0,0-1 0,0 1 0,-1 0 0,1 0 0,-1 0 0,0 0 0,0 0 0,0 0 0,0 0 0,-1 1 0,1-1 0,-1 0 0,0 0 0,0 0 0,0 6 0,-1-6 0,1-1 0,-1 0 0,1 0 0,-1 1 0,0-1 0,0 0 0,0 0 0,0 0 0,-1 0 0,1 0 0,0 0 0,-1-1 0,1 1 0,-1 0 0,0-1 0,0 1 0,1-1 0,-1 0 0,0 1 0,0-1 0,0 0 0,0 0 0,-1 0 0,1 0 0,0-1 0,0 1 0,-1-1 0,1 1 0,0-1 0,0 0 0,-1 0 0,1 0 0,0 0 0,-1 0 0,1 0 0,0-1 0,0 1 0,-3-2 0,3 2 0,-1 0 0,1-1 0,0 0 0,0 0 0,-1 1 0,1-1 0,0-1 0,0 1 0,0 0 0,0 0 0,0-1 0,1 1 0,-1-1 0,0 1 0,0-1 0,1 0 0,0 0 0,-1 0 0,1 0 0,0 0 0,0 0 0,0 0 0,0 0 0,0 0 0,0-1 0,0 1 0,1 0 0,0 0 0,-1-1 0,1 1 0,0-1 0,0 1 0,0 0 0,0-1 0,0 1 0,1 0 0,-1-1 0,2-3 0,-1 4 20,0-1 0,1 1 0,-1-1 0,1 1 0,-1 0 1,1-1-1,0 1 0,0 0 0,0 0 0,0 0 0,0 0 0,0 1 0,0-1 0,1 0 0,-1 1 0,4-2 0,4-1-527,0 0 0,19-5-1,-27 8 324,16-4-6642</inkml:trace>
  <inkml:trace contextRef="#ctx0" brushRef="#br0" timeOffset="2225.53">439 763 24575,'1'-6'0,"-1"0"0,-1-1 0,1 1 0,-1 0 0,0 0 0,-3-8 0,4 13 0,-1 0 0,1 0 0,-1 0 0,1 0 0,-1 0 0,1 1 0,-1-1 0,1 0 0,-1 1 0,0-1 0,1 0 0,-1 1 0,0-1 0,0 0 0,1 1 0,-1 0 0,0-1 0,0 1 0,-1-1 0,0 1 0,0 0 0,1 0 0,-1 0 0,1 0 0,-1 0 0,0 0 0,1 1 0,-1-1 0,1 0 0,-1 1 0,1 0 0,-1-1 0,1 1 0,-1 0 0,-1 1 0,-2 2 0,0 0 0,1-1 0,0 1 0,0 1 0,0-1 0,1 1 0,-1-1 0,1 1 0,0 0 0,-4 10 0,6-14 0,0 0 0,1 1 0,-1-1 0,0 1 0,1-1 0,-1 1 0,1 0 0,0-1 0,-1 1 0,1 0 0,0-1 0,0 1 0,0 0 0,0-1 0,0 1 0,1 0 0,-1-1 0,0 1 0,1-1 0,-1 1 0,1-1 0,0 1 0,-1-1 0,1 1 0,0-1 0,0 1 0,0-1 0,0 0 0,0 1 0,0-1 0,0 0 0,1 0 0,-1 0 0,0 0 0,1 0 0,-1 0 0,0 0 0,1-1 0,-1 1 0,1 0 0,1 0 0,-1-1 0,0 1 0,0-1 0,0 1 0,0-1 0,0 0 0,0 1 0,0-1 0,0 0 0,0-1 0,0 1 0,0 0 0,0-1 0,0 1 0,0-1 0,0 1 0,0-1 0,0 0 0,0 0 0,-1 0 0,1 0 0,0 0 0,-1 0 0,1 0 0,2-3 0,2-3 0,-1 1 0,0-1 0,0 0 0,6-13 0,1-2 0,-12 22 0,0-1 0,1 1 0,-1 0 0,0-1 0,0 1 0,1-1 0,-1 1 0,0 0 0,0-1 0,1 1 0,-1 0 0,0 0 0,1-1 0,-1 1 0,0 0 0,1 0 0,-1-1 0,1 1 0,-1 0 0,1 0 0,-1 0 0,0 0 0,1-1 0,-1 1 0,1 0 0,-1 0 0,1 0 0,-1 0 0,0 0 0,2 0 0,7 12 0,2 26 0,-10-33 0,3 8 0,-1-1 0,1 0 0,-1 1 0,-1-1 0,0 1 0,-1 0 0,0-1 0,-2 25 0,0-35 12,0 0 1,0 1-1,0-1 0,0 0 0,0 0 0,-1 0 1,1 0-1,-1 0 0,1 0 0,-1 0 0,0 0 1,0-1-1,1 1 0,-1-1 0,0 1 0,-1-1 0,1 0 1,0 1-1,0-1 0,0 0 0,-1-1 0,1 1 1,-1 0-1,1-1 0,0 1 0,-1-1 0,-2 0 1,-2 1-184,1-1 0,-1 0 1,1 0-1,-1 0 0,1-1 1,-1 0-1,1 0 0,0-1 1,-9-3-1,1-1-6655</inkml:trace>
  <inkml:trace contextRef="#ctx0" brushRef="#br0" timeOffset="3514.32">913 92 24575,'-1'-1'0,"0"0"0,0 0 0,0 0 0,0 0 0,1 0 0,-1-1 0,0 1 0,1 0 0,-1 0 0,0-1 0,1 1 0,0 0 0,-1-1 0,1 1 0,0 0 0,0-1 0,-1 1 0,1 0 0,0-1 0,0 1 0,1-3 0,0 2 0,-1-1 0,1 1 0,0-1 0,0 1 0,1-1 0,-1 1 0,0 0 0,1 0 0,-1-1 0,5-2 0,-3 1 0,0 1 0,0 1 0,0-1 0,1 0 0,-1 1 0,1 0 0,0-1 0,0 1 0,0 1 0,0-1 0,0 1 0,0-1 0,8 0 0,-11 2 0,1 0 0,-1 1 0,0-1 0,1 0 0,-1 1 0,1 0 0,-1-1 0,0 1 0,0 0 0,0-1 0,1 1 0,-1 0 0,0 0 0,0 0 0,0 0 0,0 0 0,0 0 0,0 0 0,-1 0 0,1 1 0,0-1 0,0 0 0,-1 1 0,1-1 0,-1 0 0,1 1 0,-1-1 0,0 0 0,0 1 0,1-1 0,-1 3 0,1 4 0,-1-1 0,1 0 0,-1 0 0,-1 0 0,0 8 0,-2-6 0,1 1 0,-2-1 0,1 0 0,-1 0 0,0 0 0,-1-1 0,0 0 0,-8 11 0,4-6 0,44-6 0,-34-7 0,1 1 0,-1-1 0,1 1 0,0 0 0,-1 0 0,0-1 0,1 1 0,-1 0 0,1 0 0,-1 0 0,0 1 0,0-1 0,1 0 0,-1 0 0,0 1 0,0-1 0,-1 0 0,1 1 0,0-1 0,0 1 0,-1-1 0,1 1 0,0 0 0,-1-1 0,0 1 0,1 0 0,-1-1 0,0 1 0,0 0 0,0-1 0,0 1 0,0 0 0,0-1 0,-1 1 0,0 2 0,0 0 0,-1-1 0,1 0 0,-1 1 0,0-1 0,0 0 0,-1 0 0,1 0 0,-1-1 0,1 1 0,-1-1 0,0 1 0,0-1 0,0 0 0,0 0 0,-4 2 0,-1 0 0,-1 0 0,0 0 0,0-1 0,0 0 0,0-1 0,0 0 0,-13 1 0,20-3 0,0 0 0,-1 1 0,1-1 0,0-1 0,0 1 0,-1 0 0,1 0 0,0-1 0,0 1 0,0-1 0,0 0 0,0 0 0,-1 1 0,1-1 0,1-1 0,-1 1 0,0 0 0,0 0 0,0-1 0,1 1 0,-1-1 0,0 1 0,1-1 0,0 0 0,-1 0 0,1 0 0,0 1 0,0-1 0,0 0 0,0 0 0,0-1 0,1 1 0,-1 0 0,0 0 0,0-5 0,0-11-1365,1 0-5461</inkml:trace>
  <inkml:trace contextRef="#ctx0" brushRef="#br0" timeOffset="3964.07">1077 5 24575,'-8'58'0,"7"-52"0,1 1 0,1-1 0,-1 1 0,1-1 0,0 1 0,1-1 0,-1 0 0,4 7 0,-5-11 0,1 0 0,0 0 0,0-1 0,0 1 0,0 0 0,0-1 0,0 1 0,1-1 0,-1 1 0,0-1 0,1 0 0,-1 1 0,1-1 0,0 0 0,-1 0 0,1 0 0,0 0 0,0 0 0,0-1 0,-1 1 0,1 0 0,0-1 0,0 1 0,0-1 0,0 0 0,0 0 0,0 0 0,0 0 0,0 0 0,3-1 0,-2 1 0,-1-1 0,1 0 0,-1 0 0,1 0 0,-1 0 0,0-1 0,1 1 0,-1-1 0,0 1 0,0-1 0,0 0 0,0 0 0,0 0 0,-1 0 0,1 0 0,0 0 0,-1 0 0,3-5 0,-3 4 0,1 0 0,-1 0 0,0 0 0,0 0 0,0 0 0,0 0 0,0-1 0,-1 1 0,1 0 0,-1 0 0,0 0 0,0-1 0,0 1 0,-1 0 0,0-4 0,-2 4 0,-1 9 0,-1 10 0,3 9 114,0 1-1,2 31 1,1-33-683,-1 0 1,-6 42-1,2-51-6257</inkml:trace>
  <inkml:trace contextRef="#ctx0" brushRef="#br0" timeOffset="4272.57">887 410 24575,'-4'0'0,"-1"0"0,6 0 0,11 0 0,17-3 0,15-1 0,11-4 0,11-1 0,2-3 0,-5 0 0,-11 3 0,-18 2 0,-17 3 0,-16 6 0,-11 3 0,-5 1-8191</inkml:trace>
  <inkml:trace contextRef="#ctx0" brushRef="#br0" timeOffset="4584.96">921 625 24575,'0'-3'0,"0"-4"0,0 1 0,0 5 0,2 7 0,0 9 0,0 10 0,-1 6 0,0 5 0,0 2 0,-1 2 0,1-1 0,-1-3 0,0-5 0,-1-4 0,1-8-8191</inkml:trace>
  <inkml:trace contextRef="#ctx0" brushRef="#br0" timeOffset="5032.69">1085 668 24575,'-2'-6'0,"-1"0"0,1 0 0,-1 1 0,0-1 0,-6-7 0,9 11 0,-1 1 0,0 0 0,1 0 0,-1 1 0,0-1 0,0 0 0,1 0 0,-1 0 0,0 0 0,0 1 0,0-1 0,0 0 0,0 1 0,0-1 0,0 1 0,-1-1 0,1 1 0,0 0 0,0-1 0,0 1 0,0 0 0,0 0 0,-1 0 0,1-1 0,0 1 0,0 1 0,0-1 0,-1 0 0,1 0 0,0 0 0,0 1 0,0-1 0,0 0 0,0 1 0,0-1 0,-1 1 0,0 1 0,0-1 0,1 0 0,0 1 0,-1-1 0,1 0 0,0 1 0,0 0 0,0-1 0,0 1 0,0 0 0,0-1 0,1 1 0,-1 0 0,1 0 0,-1 0 0,1 0 0,-1 0 0,1 0 0,0-1 0,0 1 0,0 0 0,0 0 0,0 0 0,1 0 0,-1 0 0,0 0 0,1 0 0,0-1 0,-1 1 0,1 0 0,2 3 0,1 3 0,0 0 0,1 1 0,0-2 0,12 15 0,8 3 0,-15-15 0,0 0 0,-1 0 0,13 18 0,-21-26 0,1 1 0,-1-1 0,1 1 0,-1-1 0,0 1 0,0-1 0,0 1 0,-1-1 0,1 1 0,-1 0 0,1-1 0,-1 1 0,0 0 0,0 0 0,0-1 0,0 1 0,0 0 0,-1 0 0,1-1 0,-1 1 0,0-1 0,0 1 0,-1 3 0,0-4 0,1 0 0,-1 0 0,1 0 0,-1 0 0,1 0 0,-1-1 0,0 1 0,0-1 0,0 1 0,0-1 0,0 0 0,0 1 0,0-1 0,0 0 0,-1-1 0,1 1 0,0 0 0,-1-1 0,1 1 0,0-1 0,-1 0 0,1 1 0,-1-1 0,1 0 0,0-1 0,-1 1 0,1 0 0,-1-1 0,1 1 0,0-1 0,0 0 0,-1 0 0,1 0 0,0 0 0,0 0 0,0 0 0,0-1 0,0 1 0,0-1 0,0 1 0,0-1 0,1 0 0,-1 1 0,1-1 0,-1 0 0,1 0 0,0 0 0,0 0 0,-2-3 0,2 0 27,-1 0-1,1 0 0,0 0 0,0 1 1,0-1-1,1 0 0,-1 0 0,1 0 1,1-1-1,-1 1 0,1 1 0,1-9 1,-1 10-96,0 1 1,0-1 0,1 1 0,-1-1-1,0 1 1,1 0 0,0-1-1,-1 1 1,1 0 0,0 0 0,0 0-1,0 1 1,0-1 0,1 0 0,-1 1-1,0-1 1,1 1 0,-1 0 0,1 0-1,-1 0 1,1 0 0,-1 0-1,1 1 1,3-1 0,12-2-6758</inkml:trace>
  <inkml:trace contextRef="#ctx0" brushRef="#br0" timeOffset="5611.71">1257 660 24575,'0'-7'-315,"0"-1"248,0 0-1,0 0 1,-1 0-1,-3-15 0,4 22 88,-1 0-1,1 0 0,0 0 1,-1 0-1,1 0 0,-1 0 0,0 0 1,1 0-1,-1 0 0,0 0 1,1 0-1,-1 0 0,0 1 0,0-1 1,0 0-1,1 1 0,-1-1 1,-2 0-1,2 1-7,0-1-1,-1 1 1,1 0 0,0 0 0,-1 0 0,1 0-1,0 0 1,-1 1 0,1-1 0,0 0 0,-1 0-1,1 1 1,0-1 0,0 1 0,-1-1-1,1 1 1,0 0 0,-2 1 0,-2 1-7,1 1 1,0-1-1,0 1 1,1 0 0,-1 0-1,1 0 1,0 0-1,0 1 1,0 0 0,1-1-1,-1 1 1,1 0-1,-2 8 1,3-11-7,0 0 1,1 0 0,-1 0-1,1 0 1,-1 0-1,1 0 1,0 1-1,0-1 1,0 0 0,0 0-1,0 0 1,0 1-1,1-1 1,-1 0-1,1 0 1,0 0 0,-1 0-1,1 0 1,0 0-1,0 0 1,0 0-1,1 0 1,-1-1-1,0 1 1,1 0 0,-1-1-1,1 1 1,-1-1-1,1 1 1,0-1-1,0 0 1,-1 1 0,1-1-1,0 0 1,2 0-1,-2 0 1,-1-1 0,0 1 0,0-1 0,0 1 0,0-1 0,1 0 0,-1 0 0,0 0 0,0 1 0,1-1 0,-1 0 0,0-1 0,0 1 0,1 0 0,-1 0 0,0 0 0,0-1 0,0 1 0,1-1 0,-1 1 0,0-1 0,0 1 0,2-2 0,-1 0 0,-1 0 0,1 1 0,-1-1 0,0 0 0,0 0 0,1 0 0,-1 0 0,-1 0 0,1 0 0,0 0 0,0-1 0,0-2 0,1-5 0,-1 0 0,0 0 0,-1 0 0,-1-18 0,25 108 0,-24-80 0,2 11 0,0 0 0,-1 1 0,0-1 0,-1 0 0,0 14 0,-1-23 0,1 1 0,-1-1 0,1 0 0,-1 1 0,0-1 0,0 1 0,0-1 0,0 0 0,0 0 0,0 1 0,0-1 0,-1 0 0,0 0 0,1 0 0,-1 0 0,0-1 0,0 1 0,0 0 0,0-1 0,0 0 0,0 1 0,0-1 0,0 0 0,-1 0 0,1 0 0,0 0 0,-1 0 0,1-1 0,-4 1 0,0 0-195,-1 0 0,0-1 0,1 0 0,-1 0 0,1-1 0,-10-1 0,2-1-6631</inkml:trace>
  <inkml:trace contextRef="#ctx0" brushRef="#br0" timeOffset="5986.56">1034 754 24575,'1'0'0,"7"-1"0,4-4 0,1-4 0,-2-3 0,-3-4 0,-3-2 0,-2 2-8191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11:03.23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198 112 24575,'0'-1'0,"0"0"0,1 0 0,-1 0 0,0 1 0,0-1 0,-1 0 0,1 0 0,0 0 0,0 0 0,0 0 0,0 0 0,-1 1 0,1-1 0,0 0 0,-1 0 0,1 0 0,-1 1 0,1-1 0,-1 0 0,1 0 0,-1 1 0,0-1 0,1 1 0,-1-1 0,0 0 0,1 1 0,-1-1 0,0 1 0,0 0 0,1-1 0,-1 1 0,0 0 0,0-1 0,0 1 0,0 0 0,0 0 0,1 0 0,-1-1 0,0 1 0,0 0 0,0 0 0,0 1 0,0-1 0,0 0 0,0 0 0,1 0 0,-1 0 0,-1 1 0,-2 0 0,0 1 0,0-1 0,0 1 0,1 0 0,-1 0 0,1 0 0,-1 0 0,1 1 0,-5 3 0,3 1 0,-1 0 0,1 0 0,1 0 0,-1 0 0,1 1 0,0 0 0,1 0 0,0 0 0,-4 15 0,4-10 0,1-1 0,0 1 0,1 0 0,0 0 0,1 0 0,2 13 0,-2-23 0,0 0 0,1 0 0,0-1 0,-1 1 0,1 0 0,1 0 0,-1 0 0,0-1 0,0 1 0,1 0 0,0-1 0,-1 1 0,1-1 0,0 0 0,0 0 0,1 0 0,-1 0 0,0 0 0,1 0 0,-1 0 0,1-1 0,-1 1 0,1-1 0,0 0 0,-1 0 0,1 0 0,0 0 0,0 0 0,0 0 0,0-1 0,0 0 0,0 1 0,0-1 0,0 0 0,3-1 0,2 1 0,0-1 0,0 0 0,0 0 0,-1-1 0,1 0 0,-1 0 0,1-1 0,-1 0 0,0-1 0,0 1 0,0-1 0,10-8 0,1-5-1365,-3 0-5461</inkml:trace>
  <inkml:trace contextRef="#ctx0" brushRef="#br0" timeOffset="374.69">413 77 24575,'0'0'0,"0"0"0,0 0 0,1-1 0,-1 1 0,0 0 0,0 0 0,0-1 0,0 1 0,-1 0 0,1 0 0,0-1 0,0 1 0,0 0 0,0 0 0,0-1 0,0 1 0,0 0 0,0 0 0,0-1 0,-1 1 0,1 0 0,0 0 0,0 0 0,0-1 0,0 1 0,-1 0 0,1 0 0,0 0 0,0 0 0,0 0 0,-1-1 0,1 1 0,0 0 0,0 0 0,-1 0 0,1 0 0,0 0 0,0 0 0,-1 0 0,1 0 0,0 0 0,0 0 0,-1 0 0,1 0 0,0 0 0,0 0 0,-1 0 0,1 0 0,0 0 0,0 0 0,-1 0 0,1 0 0,0 1 0,0-1 0,0 0 0,-1 0 0,1 0 0,0 0 0,0 0 0,0 1 0,-1-1 0,1 0 0,-14 13 0,7-4 0,0 1 0,1 0 0,0 1 0,0-1 0,1 1 0,1 0 0,-5 18 0,7-24 0,1 0 0,0 1 0,0-1 0,0 0 0,1 1 0,-1-1 0,1 1 0,0-1 0,1 1 0,0-1 0,-1 0 0,2 1 0,-1-1 0,1 0 0,-1 0 0,2 0 0,-1 0 0,5 8 0,-5-10 0,-1-2 0,1 1 0,0 0 0,0 0 0,0-1 0,0 1 0,0-1 0,0 1 0,0-1 0,1 0 0,-1 0 0,0 0 0,1 0 0,-1 0 0,1-1 0,-1 1 0,1-1 0,-1 0 0,1 1 0,-1-1 0,1 0 0,-1 0 0,1-1 0,-1 1 0,5-2 0,-5 2 0,-1-1 0,1 0 0,-1 1 0,1-1 0,-1 0 0,1 0 0,-1 0 0,1 0 0,-1-1 0,0 1 0,0 0 0,0 0 0,1-1 0,-1 1 0,-1-1 0,1 1 0,0-1 0,0 1 0,0-1 0,-1 0 0,1 1 0,-1-1 0,0 0 0,1 1 0,-1-1 0,0 0 0,0 0 0,0 1 0,0-1 0,0 0 0,0 0 0,-1 1 0,1-1 0,0 0 0,-1 1 0,1-1 0,-2-1 0,2 1-39,-1 1 0,0-1 0,1 0 0,-1 1 0,0-1 0,0 1 0,0-1 0,0 1 0,0 0 0,0-1 0,0 1 0,0 0 0,-1 0 0,1 0 0,0 0 0,-1 0 0,1 0 0,-1 0 0,1 0 0,-1 0 0,1 1 0,-1-1 0,0 1 0,1-1 0,-1 1 0,0 0 0,0-1 0,1 1 0,-1 0 0,0 0 0,1 0 0,-1 1 0,0-1 0,-2 1 0,-6 4-6787</inkml:trace>
  <inkml:trace contextRef="#ctx0" brushRef="#br0" timeOffset="848.43">508 95 24575,'-1'0'0,"1"0"0,-1 0 0,1-1 0,-1 1 0,1 0 0,-1 0 0,1-1 0,-1 1 0,1 0 0,-1 0 0,1-1 0,-1 1 0,1-1 0,0 1 0,-1 0 0,1-1 0,-1 1 0,1-1 0,0 1 0,0-1 0,-1 1 0,1-1 0,0 1 0,0-1 0,-1 1 0,1-1 0,0 1 0,0-1 0,0 0 0,0 1 0,0-1 0,0 1 0,0-1 0,0 1 0,0-1 0,0 1 0,0-1 0,1 0 0,4-23 0,-3 20 0,1 0 0,-1 0 0,1 0 0,0 0 0,0 0 0,0 1 0,1-1 0,-1 1 0,1 0 0,0 0 0,5-3 0,-8 5 0,0 0 0,0 1 0,0-1 0,0 0 0,1 1 0,-1-1 0,0 1 0,1-1 0,-1 1 0,0 0 0,1-1 0,-1 1 0,0 0 0,1 0 0,-1 0 0,1 0 0,-1 0 0,0 0 0,1 0 0,-1 1 0,1-1 0,-1 0 0,0 1 0,1-1 0,-1 1 0,0 0 0,0-1 0,0 1 0,1 0 0,-1 0 0,0 0 0,0 0 0,0 0 0,0 0 0,0 0 0,0 0 0,-1 0 0,1 0 0,0 0 0,0 0 0,-1 1 0,1 1 0,2 4 0,-1 0 0,-1 0 0,1 0 0,-1 0 0,0 0 0,-1 0 0,0 1 0,0-1 0,-1 0 0,1 0 0,-2 1 0,1-1 0,-1 0 0,0 0 0,0 0 0,-1-1 0,0 1 0,-5 7 0,9-15 0,0 0 0,1 0 0,-1 0 0,0 1 0,0-1 0,0 0 0,0 0 0,1 1 0,-1-1 0,0 0 0,1 1 0,-1-1 0,0 1 0,1 0 0,-1-1 0,1 1 0,-1 0 0,1 0 0,-1 0 0,0 0 0,1 0 0,-1 0 0,1 1 0,-1-1 0,1 0 0,-1 1 0,0-1 0,1 1 0,-1-1 0,0 1 0,2 1 0,1 0 0,0 0 0,0 1 0,0-1 0,-1 1 0,1 0 0,-1 0 0,1 0 0,4 7 0,-6-8 0,-1 0 0,1 0 0,-1 0 0,0 1 0,1-1 0,-1 0 0,0 1 0,0-1 0,-1 1 0,1-1 0,0 1 0,-1 0 0,0-1 0,1 1 0,-1 0 0,0-1 0,-1 1 0,1-1 0,0 1 0,-1 0 0,1-1 0,-1 1 0,0-1 0,0 1 0,0-1 0,0 1 0,0-1 0,0 0 0,-1 0 0,1 1 0,-1-1 0,-3 3 0,1-2 0,0 0 0,0 0 0,0 0 0,0 0 0,-1-1 0,1 0 0,-1 0 0,1 0 0,-1 0 0,0-1 0,0 0 0,0 0 0,0 0 0,0 0 0,0-1 0,-7 0 0,-27-4-1365,23 1-5461</inkml:trace>
  <inkml:trace contextRef="#ctx0" brushRef="#br0" timeOffset="1285.07">1 577 24575,'3'0'0,"5"0"0,6 0 0,10-5 0,11-5 0,15-6 0,13-4 0,13-3 0,7 1 0,9-1 0,1 2 0,-6 1 0,-12 3 0,-17 5 0,-18 3 0,-13 3 0,-11 2-8191</inkml:trace>
  <inkml:trace contextRef="#ctx0" brushRef="#br0" timeOffset="3015.13">216 680 24575,'0'-1'0,"0"0"0,0 0 0,0 1 0,0-1 0,-1 0 0,1 0 0,0 1 0,0-1 0,0 0 0,-1 0 0,1 1 0,0-1 0,-1 0 0,1 1 0,-1-1 0,1 0 0,-1 1 0,1-1 0,-1 1 0,1-1 0,-1 1 0,0-1 0,1 1 0,-1-1 0,0 1 0,1-1 0,-1 1 0,0 0 0,1 0 0,-1-1 0,0 1 0,0 0 0,1 0 0,-1 0 0,0 0 0,0 0 0,-1 0 0,0 0 0,0 0 0,-1 0 0,1 0 0,0 1 0,0-1 0,-1 1 0,1-1 0,0 1 0,0 0 0,0 0 0,-4 2 0,1 2 0,-1 0 0,1 0 0,1 0 0,-1 1 0,1 0 0,0 0 0,0 0 0,0 0 0,1 1 0,0-1 0,-4 14 0,-1 7 0,-8 44 0,13-57 0,1 0 0,0 0 0,1-1 0,1 1 0,2 28 0,-2-39 0,1 0 0,0 0 0,-1 0 0,1 0 0,0 0 0,1 0 0,-1 0 0,0 0 0,1 0 0,0 0 0,-1-1 0,1 1 0,0-1 0,1 1 0,-1-1 0,0 0 0,1 0 0,-1 0 0,1 0 0,-1 0 0,1-1 0,0 1 0,0-1 0,0 0 0,0 0 0,0 0 0,0 0 0,0 0 0,0 0 0,0-1 0,6 1 0,-5-1 0,0 0 0,-1-1 0,1 1 0,0 0 0,0-1 0,0 0 0,0 0 0,0 0 0,-1-1 0,1 1 0,0-1 0,-1 0 0,0 0 0,1 0 0,-1 0 0,0-1 0,0 1 0,0-1 0,4-4 0,-5 4 0,-1 1 0,1 0 0,-1 0 0,1-1 0,-1 1 0,0-1 0,0 1 0,0-1 0,0 1 0,0-1 0,-1 0 0,1 1 0,-1-1 0,0 0 0,0 0 0,0 1 0,0-1 0,0 0 0,0 0 0,-1 1 0,0-1 0,1 0 0,-1 1 0,0-1 0,0 1 0,0-1 0,-1 1 0,-1-4 0,-11-10 0,11 12 0,-1 0 0,1 1 0,0-2 0,0 1 0,1 0 0,-3-5 0,5 8 0,-1 0 0,1 1 0,0-1 0,0 0 0,0 0 0,0 0 0,0 0 0,0 0 0,0 1 0,0-1 0,0 0 0,0 0 0,0 0 0,0 0 0,1 0 0,-1 1 0,0-1 0,1 0 0,-1 0 0,1 1 0,-1-1 0,1 0 0,-1 0 0,1 1 0,-1-1 0,1 1 0,-1-1 0,1 0 0,0 1 0,0-1 0,-1 1 0,1 0 0,0-1 0,0 1 0,-1-1 0,1 1 0,0 0 0,0 0 0,0 0 0,1-1 0,0 0 0,1 0 0,0 1 0,-1-1 0,1 1 0,0-1 0,0 1 0,0 0 0,0 0 0,-1 0 0,1 0 0,0 1 0,0-1 0,0 1 0,-1 0 0,1 0 0,0 0 0,-1 0 0,1 0 0,0 0 0,-1 1 0,0-1 0,1 1 0,-1 0 0,0 0 0,0-1 0,0 1 0,0 1 0,0-1 0,0 0 0,-1 0 0,3 4 0,0 1 0,0 0 0,-1 0 0,0 0 0,0 1 0,-1-1 0,0 1 0,0 0 0,0-1 0,-1 1 0,0 11 0,-2-6 88,1-8-51,0 0 0,0 0 0,0 0 0,0 0 0,2 7 0,-2-11-81,1 0 0,-1-1 0,0 1 0,1 0 0,-1 0 0,0-1 0,1 1-1,-1 0 1,1 0 0,-1-1 0,1 1 0,-1-1 0,1 1 0,0 0 0,-1-1 0,1 1 0,0-1 0,0 0 0,-1 1-1,1-1 1,0 1 0,0-1 0,-1 0 0,1 0 0,0 1 0,0-1 0,0 0 0,0 0 0,0 0 0,-1 0 0,1 0-1,0 0 1,0 0 0,0 0 0,0-1 0,-1 1 0,2 0 0,12-4-6782</inkml:trace>
  <inkml:trace contextRef="#ctx0" brushRef="#br0" timeOffset="3359.79">551 697 24575,'0'-1'0,"0"1"0,0 0 0,0-1 0,0 1 0,0-1 0,0 1 0,0-1 0,0 1 0,0 0 0,0-1 0,0 1 0,0-1 0,0 1 0,0-1 0,0 1 0,-1 0 0,1-1 0,0 1 0,0 0 0,0-1 0,-1 1 0,1 0 0,0-1 0,-1 1 0,1 0 0,0-1 0,-1 1 0,1 0 0,0 0 0,-1-1 0,1 1 0,0 0 0,-1 0 0,1 0 0,-1-1 0,1 1 0,0 0 0,-1 0 0,1 0 0,-1 0 0,1 0 0,-1 0 0,1 0 0,0 0 0,-1 0 0,1 0 0,-1 0 0,1 0 0,-1 0 0,1 1 0,0-1 0,-1 0 0,-2 1 0,1 0 0,0 0 0,0 1 0,0-1 0,0 0 0,0 1 0,1-1 0,-4 4 0,-1 4 0,0 1 0,1 0 0,1 0 0,-1 0 0,2 0 0,-1 1 0,2-1 0,-1 1 0,1 0 0,1 0 0,0 0 0,1 18 0,0-25 0,1 1 0,-1-1 0,1 0 0,0 0 0,0 0 0,1 0 0,0 0 0,-1 0 0,1 0 0,0 0 0,1 0 0,-1-1 0,1 1 0,0-1 0,-1 0 0,1 0 0,1 0 0,-1 0 0,0 0 0,1-1 0,0 1 0,-1-1 0,7 3 0,-8-4 0,1 0 0,0 0 0,-1 0 0,1 0 0,0-1 0,0 1 0,0-1 0,0 0 0,-1 0 0,1 1 0,0-2 0,0 1 0,0 0 0,0-1 0,0 1 0,-1-1 0,1 0 0,0 0 0,0 0 0,-1 0 0,1 0 0,-1-1 0,1 1 0,-1-1 0,0 0 0,1 0 0,-1 0 0,0 0 0,0 0 0,0 0 0,-1 0 0,1 0 0,0-1 0,-1 1 0,2-4 0,-2 5 9,-1-1-1,1 1 0,0-1 1,-1 1-1,1-1 0,-1 1 1,1-1-1,-1 0 0,0 1 1,0-1-1,0 1 0,0-1 0,0 0 1,0 1-1,0-1 0,0 1 1,-1-1-1,1 0 0,-1 1 1,1-1-1,-1 1 0,1-1 1,-1 1-1,0-1 0,0 1 1,0 0-1,0-1 0,0 1 1,0 0-1,0 0 0,0 0 1,0 0-1,-1 0 0,1 0 1,0 0-1,-1 0 0,1 0 1,-1 1-1,1-1 0,-3 0 1,1-1-99,-1 1 0,1 0 0,0 0 0,0 0 0,-1 1 1,1-1-1,-1 1 0,1 0 0,-1 0 0,1 0 1,0 0-1,-1 1 0,1-1 0,-1 1 0,1 0 0,0 0 1,0 0-1,-6 3 0,-1 4-6736</inkml:trace>
  <inkml:trace contextRef="#ctx0" brushRef="#br0" timeOffset="3828.59">680 723 24575,'0'-1'0,"0"0"0,0 0 0,-1 0 0,1 0 0,0 0 0,0 0 0,-1 0 0,1 0 0,-1 1 0,1-1 0,-1 0 0,1 0 0,-1 0 0,0 0 0,0 0 0,0 0 0,1 1 0,-1-1 0,0 0 0,1 0 0,-1 0 0,1 0 0,-1 0 0,1 0 0,0 1 0,-1-1 0,1 0 0,0 0 0,0 0 0,0 0 0,0 0 0,-1 0 0,1 0 0,0 0 0,1 0 0,-1 0 0,0-2 0,2-2 0,1 0 0,-1 1 0,1 0 0,-1-1 0,1 1 0,1 0 0,-1 0 0,0 0 0,1 1 0,0-1 0,0 1 0,7-4 0,-9 5 0,0 1 0,1-1 0,-1 1 0,1 0 0,-1 0 0,1 0 0,0 0 0,-1 1 0,1-1 0,0 1 0,3-1 0,-5 1 0,1 0 0,-1 1 0,1-1 0,-1 0 0,0 1 0,1-1 0,-1 0 0,0 1 0,1 0 0,-1-1 0,0 1 0,1 0 0,-1 0 0,0 0 0,0 0 0,0 0 0,0 0 0,0 0 0,0 0 0,0 0 0,0 0 0,0 2 0,1-1 0,-1 0 0,0 1 0,0-1 0,0 1 0,-1-1 0,1 1 0,-1-1 0,1 1 0,-1-1 0,0 1 0,0 0 0,0-1 0,0 1 0,0-1 0,-1 5 0,-14 35 0,14-40 0,1-2 0,0 1 0,0-1 0,0 0 0,0 0 0,1 1 0,-1-1 0,0 0 0,0 0 0,0 1 0,0-1 0,1 0 0,-1 0 0,0 0 0,0 1 0,0-1 0,1 0 0,-1 0 0,0 0 0,0 0 0,1 0 0,-1 1 0,0-1 0,1 0 0,-1 0 0,0 0 0,0 0 0,1 0 0,-1 0 0,0 0 0,1 0 0,-1 0 0,0 0 0,0 0 0,1 0 0,-1 0 0,0 0 0,1 0 0,-1 0 0,0-1 0,0 1 0,1 0 0,-1 0 0,1 0 0,23-4 0,-12 1 0,-8 3 0,0 0 0,1 0 0,-1 0 0,0 0 0,0 1 0,0 0 0,0-1 0,0 2 0,0-1 0,0 0 0,0 1 0,0 0 0,0-1 0,-1 2 0,1-1 0,3 3 0,-6-4 0,1 0 0,-1 1 0,0-1 0,0 1 0,0-1 0,0 1 0,0-1 0,0 1 0,0 0 0,0-1 0,-1 1 0,1 0 0,-1 0 0,1-1 0,-1 1 0,0 0 0,1 0 0,-1 0 0,0 0 0,0 0 0,0-1 0,-1 1 0,1 0 0,0 0 0,-1 0 0,1-1 0,-1 1 0,0 0 0,1 0 0,-1-1 0,0 1 0,0-1 0,0 1 0,0-1 0,-1 1 0,1-1 0,0 1 0,-2 0 0,-1 3-80,0-1 0,-1 0-1,1-1 1,-1 1 0,0-1-1,0 0 1,0 0 0,0 0-1,-1-1 1,1 1 0,-1-1 0,1-1-1,-1 1 1,0-1 0,0 0-1,-9 0 1,0-1-6746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11:21.23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40 218 24575,'-1'-1'0,"-1"0"0,1 0 0,0 0 0,0 0 0,0 1 0,-1-1 0,1 0 0,0 1 0,-1-1 0,1 1 0,-1 0 0,1-1 0,0 1 0,-1 0 0,-2 0 0,3 0 0,0 1 0,0 0 0,0-1 0,1 1 0,-1 0 0,0 0 0,0 0 0,1-1 0,-1 1 0,0 0 0,1 0 0,-1 0 0,1 0 0,-1 0 0,1 0 0,0 0 0,-1 0 0,1 1 0,0-1 0,0 0 0,0 0 0,0 0 0,0 2 0,-2 15 0,1-1 0,0 1 0,5 35 0,14 55 0,-10-65 0,-14-124 0,5-110 0,1 171 0,1 1 0,2 0 0,0 0 0,8-29 0,-9 42 0,0 0 0,0 0 0,1 0 0,0 1 0,1-1 0,-1 1 0,7-9 0,-7 12 0,-1-1 0,1 1 0,0-1 0,0 1 0,0 0 0,0 0 0,0 0 0,0 1 0,0-1 0,1 1 0,-1 0 0,1 0 0,-1 0 0,6-1 0,-6 2 16,-1 0-1,0 0 1,0-1-1,0 2 1,0-1-1,1 0 1,-1 0-1,0 1 1,0-1-1,0 1 1,0-1-1,0 1 1,0 0-1,0 0 1,0 0-1,0 0 1,0 0 0,0 1-1,-1-1 1,1 0-1,2 4 1,-1-2-206,-1 1 0,1 0 1,-1 1-1,0-1 0,0 0 1,0 1-1,0-1 1,1 8-1,1 8-6636</inkml:trace>
  <inkml:trace contextRef="#ctx0" brushRef="#br0" timeOffset="235.56">40 321 24575,'1'0'0,"8"-2"0,6 0 0,3-2 0,1-2 0,0 1 0,1-1 0,-2-1 0,1 2 0,-1-1 0,-1-1 0,-2 3-8191</inkml:trace>
  <inkml:trace contextRef="#ctx0" brushRef="#br0" timeOffset="918.83">444 71 24575,'0'-1'0,"0"0"0,0 0 0,0 0 0,0 0 0,0-1 0,0 1 0,0 0 0,0 0 0,-1 0 0,1 0 0,0 0 0,-1-1 0,1 1 0,-1 0 0,1 0 0,-1 0 0,0 0 0,1 1 0,-2-3 0,1 3 0,0 0 0,0-1 0,0 1 0,0 0 0,0 0 0,0 0 0,0 0 0,0 0 0,-1 0 0,1 0 0,0 0 0,0 0 0,0 0 0,0 1 0,0-1 0,0 0 0,1 1 0,-1-1 0,0 1 0,0-1 0,0 1 0,0-1 0,-1 2 0,-3 2 0,0-1 0,1 2 0,-1-1 0,1 0 0,0 1 0,0 0 0,1 0 0,-1 0 0,1 1 0,0-1 0,0 1 0,1-1 0,-4 12 0,2-1 0,0-1 0,1 1 0,0 0 0,0 18 0,3-28 0,1-1 0,-1 0 0,1 1 0,0-1 0,0 0 0,1 0 0,-1 0 0,1 0 0,0 0 0,1 0 0,4 7 0,-6-10 0,0 0 0,0 0 0,1 0 0,-1-1 0,0 1 0,1-1 0,-1 1 0,1-1 0,0 0 0,-1 1 0,1-1 0,0 0 0,0 0 0,0 0 0,0 0 0,0-1 0,0 1 0,0 0 0,0-1 0,0 0 0,0 1 0,0-1 0,0 0 0,0 0 0,1 0 0,-1 0 0,0 0 0,0-1 0,0 1 0,0-1 0,3-1 0,-2 1 0,0-1 0,0 0 0,-1 0 0,1-1 0,-1 1 0,1 0 0,-1-1 0,0 1 0,0-1 0,0 0 0,0 0 0,-1 0 0,1 0 0,-1 0 0,0 0 0,0 0 0,0 0 0,0-1 0,0 1 0,-1 0 0,1-1 0,-1 1 0,0 0 0,0-1 0,-1-3 0,1 5 0,0 0 0,0 0 0,0-1 0,0 1 0,0 0 0,-1-1 0,0 1 0,1 0 0,-1 0 0,0 0 0,0 0 0,0 0 0,0 0 0,0 0 0,-1 0 0,1 0 0,0 0 0,-1 1 0,0-1 0,1 0 0,-1 1 0,0-1 0,0 1 0,0 0 0,0 0 0,0 0 0,0 0 0,0 0 0,0 0 0,0 0 0,0 1 0,-1-1 0,1 1 0,0-1 0,0 1 0,-5 0 0,4 1-49,0 0 1,1-1-1,-1 2 0,0-1 0,1 0 1,-1 0-1,1 1 0,-1-1 0,1 1 1,0 0-1,-1 0 0,1 0 0,0 0 1,0 0-1,0 0 0,1 1 0,-1-1 1,1 1-1,-1-1 0,1 1 0,0-1 1,0 1-1,0 0 0,0 0 0,0-1 0,0 1 1,1 5-1,-2 6-6777</inkml:trace>
  <inkml:trace contextRef="#ctx0" brushRef="#br0" timeOffset="1450.1">565 106 24575,'0'-7'0,"1"1"0,-1-1 0,2 1 0,-1 0 0,1 0 0,0 0 0,0 0 0,1 0 0,3-7 0,-5 11 0,0-1 0,1 1 0,-1 0 0,1 0 0,-1-1 0,1 1 0,0 0 0,0 0 0,0 1 0,0-1 0,0 0 0,0 1 0,1-1 0,-1 1 0,0 0 0,1-1 0,-1 1 0,1 1 0,0-1 0,-1 0 0,1 0 0,0 1 0,4-1 0,-5 2 0,0-1 0,-1 1 0,1-1 0,0 1 0,-1-1 0,1 1 0,-1 0 0,1 0 0,-1 0 0,1 0 0,-1 0 0,1 0 0,-1 0 0,0 1 0,0-1 0,0 0 0,1 1 0,-1-1 0,-1 1 0,1-1 0,0 1 0,0 0 0,0-1 0,-1 1 0,1 0 0,-1-1 0,0 1 0,1 2 0,0 2 0,0 0 0,0 0 0,-1 0 0,0 0 0,0 0 0,0 0 0,-2 7 0,-1-2 0,0-1 0,-1 0 0,0 0 0,0 0 0,-1-1 0,-1 1 0,1-1 0,-2 0 0,1-1 0,-1 1 0,0-2 0,-11 10 0,24-20 0,0 1 0,0-1 0,0 1 0,0 0 0,0 0 0,1 1 0,-1 0 0,1 0 0,8 0 0,-13 1 0,0 0 0,0 0 0,1 1 0,-1-1 0,0 0 0,0 1 0,0-1 0,1 1 0,-1 0 0,0 0 0,0 0 0,0 0 0,0 0 0,0 0 0,2 2 0,-3-2 0,0 1 0,0-1 0,0 1 0,0-1 0,-1 1 0,1-1 0,0 1 0,-1 0 0,1-1 0,-1 1 0,1 0 0,-1 0 0,0 0 0,0-1 0,0 1 0,0 0 0,0 0 0,0-1 0,0 1 0,-1 0 0,1 0 0,-2 3 0,1-2 20,0 0 0,0 1 0,0-1 1,-1 0-1,0 1 0,1-1 0,-1 0 0,0 0 0,0-1 0,-1 1 0,1 0 0,-1-1 0,1 1 0,-1-1 0,0 0 0,-4 3 1,2-2-177,0-1 1,0 0 0,0 0 0,-1 0 0,1-1 0,0 1 0,-1-1-1,1 0 1,-1-1 0,-5 0 0,-3 0-6671</inkml:trace>
  <inkml:trace contextRef="#ctx0" brushRef="#br0" timeOffset="1975.66">74 579 24575,'-3'0'0,"4"0"0,5 0 0,10 0 0,10-3 0,18-5 0,18-9 0,18-9 0,12-4 0,11-1 0,4-1 0,-3 7 0,-13 3 0,-16 6 0,-22 6 0,-23 8 0,-16 6-8191</inkml:trace>
  <inkml:trace contextRef="#ctx0" brushRef="#br0" timeOffset="3029.16">384 648 24575,'0'-1'0,"1"-1"0,-1 1 0,0 0 0,0-1 0,0 1 0,-1 0 0,1 0 0,0-1 0,0 1 0,-1 0 0,1-1 0,0 1 0,-1 0 0,1 0 0,-1 0 0,0-1 0,1 1 0,-1 0 0,0 0 0,0 0 0,0 0 0,0 0 0,0 0 0,0 1 0,0-1 0,0 0 0,0 0 0,0 1 0,0-1 0,0 1 0,-1-1 0,1 1 0,0-1 0,-2 1 0,1 0 0,0 0 0,-1 0 0,1 0 0,0 1 0,0-1 0,-1 1 0,1-1 0,0 1 0,0 0 0,0 0 0,0 0 0,0 0 0,0 0 0,0 1 0,0-1 0,0 1 0,1-1 0,-1 1 0,-1 2 0,-3 3 0,1 0 0,0 1 0,0 0 0,1 0 0,0 0 0,1 0 0,0 1 0,0 0 0,-3 17 0,4-13 0,0 0 0,1 0 0,1 1 0,0-1 0,1 0 0,2 16 0,-3-25 0,1 0 0,0-1 0,0 1 0,0 0 0,1-1 0,-1 1 0,1-1 0,0 0 0,0 1 0,0-1 0,0 0 0,0 0 0,1 0 0,0 0 0,-1-1 0,1 1 0,0-1 0,0 1 0,0-1 0,1 0 0,-1 0 0,0-1 0,1 1 0,-1-1 0,1 1 0,0-1 0,-1 0 0,9 1 0,-7-2 0,-1 0 0,1 0 0,0-1 0,0 1 0,0-1 0,-1 0 0,1 0 0,0 0 0,-1-1 0,1 0 0,-1 0 0,0 0 0,0 0 0,1-1 0,-1 0 0,-1 1 0,1-1 0,0-1 0,-1 1 0,0-1 0,1 1 0,3-7 0,-5 7 0,-1 0 0,1 0 0,-1 0 0,0 0 0,0 0 0,0 0 0,-1 0 0,1 0 0,-1 0 0,0-1 0,1 1 0,-1 0 0,-1 0 0,1 0 0,0 0 0,-1-1 0,0 1 0,1 0 0,-1 0 0,0 0 0,-3-4 0,3 5 0,0-1 0,0 1 0,-1 0 0,1 0 0,-1 0 0,1 0 0,-1 0 0,0 0 0,0 0 0,0 1 0,0-1 0,0 1 0,0-1 0,0 1 0,-1 0 0,1 0 0,0 0 0,-1 0 0,1 0 0,-1 0 0,1 1 0,-1-1 0,1 1 0,-1 0 0,1 0 0,-1 0 0,-3 0 0,3 1 0,0-1 0,0 1 0,0 1 0,0-1 0,0 0 0,0 1 0,0-1 0,-4 4 0,6-5 0,0 1 0,1-1 0,-1 1 0,0-1 0,0 1 0,1 0 0,-1-1 0,0 1 0,1 0 0,-1-1 0,1 1 0,-1 0 0,1 0 0,-1-1 0,1 1 0,0 0 0,-1 0 0,1 0 0,0 0 0,0-1 0,-1 1 0,1 0 0,0 0 0,0 0 0,0 0 0,0 0 0,0 0 0,0 0 0,0-1 0,1 1 0,-1 0 0,0 0 0,0 0 0,1 0 0,0 0 0,-1 0 0,1 0 0,0 0 0,0 0 0,0-1 0,0 1 0,0 0 0,0-1 0,0 1 0,0-1 0,0 1 0,1-1 0,-1 1 0,0-1 0,0 0 0,0 0 0,0 0 0,1 1 0,-1-1 0,0 0 0,0 0 0,0-1 0,1 1 0,-1 0 0,0 0 0,0-1 0,0 1 0,0 0 0,0-1 0,2 0 0,35-20 0,-33 18 0,1 0 0,-1-1 0,0 1 0,1 0 0,0 1 0,-1 0 0,13-4 0,-17 6 0,0 0 0,1 0 0,-1 0 0,1 0 0,-1 0 0,0 1 0,1-1 0,-1 0 0,1 1 0,-1-1 0,0 1 0,0-1 0,1 1 0,-1-1 0,0 1 0,0 0 0,1 0 0,-1 0 0,0 0 0,0 0 0,0 0 0,0 0 0,0 0 0,-1 0 0,1 0 0,0 0 0,0 1 0,-1-1 0,1 0 0,-1 0 0,1 1 0,-1-1 0,1 0 0,-1 1 0,0 2 0,3 9-96,-1 1 0,-1 0-1,0 0 1,-3 24 0,2-24-788,-1-3-5942</inkml:trace>
  <inkml:trace contextRef="#ctx0" brushRef="#br0" timeOffset="5293.15">651 613 24575,'0'0'0,"-1"1"0,1-1 0,0 0 0,0 0 0,-1 0 0,1 0 0,0 0 0,0 0 0,-1 0 0,1 0 0,0 0 0,0 0 0,-1 0 0,1 0 0,0 0 0,0 0 0,-1 0 0,1 0 0,0 0 0,0 0 0,-1-1 0,1 1 0,0 0 0,0 0 0,-1 0 0,1 0 0,0 0 0,0-1 0,0 1 0,-1 0 0,1 0 0,0 0 0,0-1 0,0 1 0,0 0 0,0 0 0,-1-1 0,1 1 0,0 0 0,0 0 0,0-1 0,0 1 0,0 0 0,0 0 0,0-1 0,0 1 0,0 0 0,0 0 0,0-1 0,0 1 0,0 0 0,0-1 0,0 1 0,0 0 0,1-1 0,-1 0 0,1 0 0,0 0 0,-1 1 0,1-1 0,0 0 0,-1 0 0,1 1 0,0-1 0,0 1 0,0-1 0,-1 1 0,1-1 0,2 0 0,0 0 0,0 0 0,0 1 0,0-1 0,0 1 0,0-1 0,0 1 0,0 0 0,0 0 0,0 1 0,0-1 0,1 0 0,-1 1 0,0 0 0,0 0 0,0 0 0,-1 0 0,1 0 0,0 1 0,0-1 0,-1 1 0,1 0 0,-1 0 0,5 4 0,-5-4 0,0 0 0,0 0 0,0 0 0,-1 0 0,1 0 0,-1 1 0,0-1 0,0 1 0,0-1 0,0 1 0,0-1 0,0 1 0,-1-1 0,1 1 0,-1 0 0,0-1 0,0 1 0,1 0 0,-2-1 0,1 1 0,0 0 0,-1-1 0,1 1 0,-1-1 0,0 1 0,0 0 0,0-1 0,-1 4 0,-4 1 0,18-19 0,-10 11 0,0 0 0,0 0 0,0 0 0,0 0 0,0 0 0,1 0 0,-1 1 0,0-1 0,0 1 0,1-1 0,-1 1 0,0 0 0,1 0 0,-1 0 0,0 1 0,1-1 0,-1 0 0,0 1 0,3 0 0,-16-16 0,6 10 0,0 0 0,0 1 0,-1 0 0,1 0 0,-1 0 0,0 1 0,0 0 0,0 0 0,0 1 0,0-1 0,-12-1 0,17 4 0,0 0 0,-1 0 0,1 0 0,0 1 0,0-1 0,0 1 0,0-1 0,-1 1 0,1-1 0,0 1 0,0 0 0,0-1 0,0 1 0,0 0 0,0 0 0,1 0 0,-1 0 0,0 0 0,0 0 0,0 0 0,1 0 0,-1 0 0,1 0 0,-1 0 0,0 2 0,-9 34 0,8-28 0,1-4 0,-4 13 0,1 1 0,1 0 0,-1 33 0,4-47 0,1 0 0,-1 0 0,1 0 0,0-1 0,0 1 0,0 0 0,1 0 0,3 7 0,-4-10 0,1 0 0,-1 1 0,1-1 0,0 0 0,0 0 0,0 0 0,0 0 0,0 0 0,0-1 0,0 1 0,0-1 0,1 1 0,-1-1 0,1 0 0,-1 0 0,5 2 0,-4-3 0,1 1 0,-1-1 0,0 1 0,1-1 0,-1 0 0,0-1 0,1 1 0,-1 0 0,0-1 0,1 0 0,-1 0 0,0 0 0,0 0 0,0 0 0,0-1 0,0 1 0,0-1 0,0 0 0,0 0 0,0 0 0,-1 0 0,1 0 0,-1-1 0,0 1 0,0-1 0,0 0 0,0 1 0,0-1 0,0 0 0,-1 0 0,1 0 0,0-5 0,0 5 0,-1 0 0,0 1 0,0-1 0,0 0 0,-1 0 0,1 1 0,-1-1 0,0 0 0,1 0 0,-1 0 0,-1 0 0,1 0 0,0 0 0,-1 0 0,1 1 0,-1-1 0,0 0 0,0 0 0,0 1 0,0-1 0,0 0 0,-1 1 0,1-1 0,-1 1 0,0 0 0,0 0 0,0-1 0,0 1 0,0 0 0,0 0 0,0 1 0,-1-1 0,1 0 0,-1 1 0,1 0 0,-1-1 0,1 1 0,-5-1 0,3 1 0,1 0 0,-1 1 0,0-1 0,1 1 0,-1 0 0,0 0 0,0 0 0,1 0 0,-1 1 0,-5 1 0,8-2 0,-1 0 0,1 1 0,-1-1 0,1 1 0,-1-1 0,1 1 0,-1 0 0,1 0 0,-1 0 0,1 0 0,0 0 0,0 0 0,-1 0 0,1 0 0,0 0 0,0 1 0,0-1 0,0 0 0,0 1 0,1-1 0,-1 1 0,0-1 0,1 1 0,-2 2 0,2-3-50,0 0-1,0 0 1,0-1-1,1 1 0,-1 0 1,0 0-1,0 0 1,0-1-1,1 1 1,-1 0-1,0 0 0,1-1 1,-1 1-1,1 0 1,-1-1-1,1 1 1,-1-1-1,1 1 0,-1 0 1,1-1-1,0 1 1,-1-1-1,1 1 1,0-1-1,-1 0 1,2 1-1,11 5-6775</inkml:trace>
  <inkml:trace contextRef="#ctx0" brushRef="#br0" timeOffset="5805.36">935 596 24575,'-1'0'-49,"-1"0"0,1 0 0,0 0-1,0 0 1,0 0 0,-1-1 0,1 1-1,0 0 1,0-1 0,0 1 0,0-1-1,0 1 1,0-1 0,0 0 0,0 1-1,0-1 1,0 0 0,0 0 0,0 0 0,0 0-1,1 0 1,-1 1 0,0-1 0,1-1-1,-2-1 1,2 2 69,0 1-1,0-1 1,-1 0-1,1 0 1,0 0-1,0 0 1,0 0-1,0 0 1,1 0 0,-1 0-1,0 1 1,0-1-1,0 0 1,1 0-1,-1 0 1,0 0-1,1 1 1,-1-1-1,1 0 1,-1 0-1,1 1 1,-1-1 0,1 0-1,0 1 1,-1-1-1,1 0 1,0 1-1,0-1 1,-1 1-1,1-1 1,0 1-1,0 0 1,0-1-1,-1 1 1,3-1-1,1 0 2,0 0 0,-1 0 0,1 0 0,1 0 0,-1 0-1,0 1 1,0 0 0,0 0 0,0 0 0,0 0 0,0 1-1,0 0 1,0-1 0,0 2 0,0-1 0,0 0 0,5 3-1,-7-3-13,0 1-1,0-1 0,0 0 1,0 1-1,0 0 0,-1-1 1,1 1-1,0 0 0,-1 0 0,0 0 1,1 0-1,-1 0 0,0 0 1,0 0-1,0 0 0,0 0 1,0 0-1,-1 1 0,1-1 1,-1 0-1,1 1 0,-1-1 0,0 1 1,0-1-1,0 0 0,0 1 1,0-1-1,-1 0 0,1 1 1,-1-1-1,-1 4 0,0-1-6,0 0 0,0 0 0,-1 0 0,1 0 0,-1-1 0,0 1 0,0-1 0,-1 0 0,0 0 0,1 0 0,-1 0 0,-8 5 0,13-10 0,-1 1 0,0-1 0,1 1 0,-1-1 0,0 1 0,1-1 0,-1 1 0,1-1 0,-1 1 0,1-1 0,-1 1 0,1-1 0,-1 1 0,1 0 0,0-1 0,-1 1 0,1 0 0,0 0 0,-1 0 0,1-1 0,-1 1 0,1 0 0,0 0 0,-1 0 0,1 0 0,0 0 0,0 0 0,-1 0 0,1 0 0,0 0 0,-1 0 0,1 1 0,-1-1 0,1 0 0,0 0 0,-1 1 0,1-1 0,0 1 0,2 1 0,-1 0 0,0 0 0,1 0 0,-1 0 0,0 1 0,0-1 0,-1 0 0,1 1 0,0 0 0,-1-1 0,0 1 0,1 0 0,-1 0 0,0 0 0,-1 0 0,1 0 0,0 0 0,-1 0 0,1 6 0,-1-7 0,0 1 0,-1-1 0,1 0 0,0 1 0,-1-1 0,1 0 0,-1 1 0,0-1 0,0 0 0,1 0 0,-2 0 0,1 1 0,0-1 0,0 0 0,-1 0 0,1-1 0,-1 1 0,1 0 0,-1 0 0,0-1 0,0 1 0,0-1 0,0 0 0,0 1 0,-4 1 0,-83 29-1365,76-27-5461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11:32.96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167 120 24575,'-12'-15'0,"10"13"0,0-1 0,1 1 0,-1-1 0,0 1 0,0 0 0,-1 0 0,1 0 0,0 0 0,-4-2 0,6 4 0,0 0 0,-1 1 0,1-1 0,-1 0 0,1 0 0,0 0 0,-1 0 0,1 1 0,0-1 0,-1 0 0,1 0 0,0 1 0,0-1 0,-1 0 0,1 1 0,0-1 0,0 0 0,-1 1 0,1-1 0,0 0 0,0 1 0,0-1 0,0 0 0,0 1 0,-1-1 0,1 1 0,0-1 0,0 1 0,-5 18 0,3-9 0,1-8 0,0 1 0,0-1 0,-1 0 0,1 1 0,-1-1 0,1 0 0,-1 0 0,0 0 0,0 0 0,0-1 0,0 1 0,0 0 0,0-1 0,0 1 0,-1-1 0,1 0 0,0 0 0,-1 0 0,1 0 0,-1 0 0,-2 0 0,3 0 0,0-1 0,-1 0 0,1 0 0,0 0 0,0 0 0,0 0 0,0-1 0,0 1 0,0-1 0,0 1 0,0-1 0,0 0 0,0 0 0,0 0 0,0 0 0,1 0 0,-1 0 0,0 0 0,1 0 0,-1-1 0,1 1 0,-1-1 0,1 1 0,0-1 0,-1 0 0,1 1 0,-1-4 0,-2-2 0,1-1 0,0 0 0,1 1 0,-1-1 0,0-11 0,2 16 0,0-1 0,1 0 0,-1 0 0,1 0 0,0 1 0,0-1 0,1 0 0,-1 0 0,1 0 0,0 0 0,0 1 0,0-1 0,2-4 0,-2 6 0,-1 1 0,1 0 0,0 1 0,0-1 0,-1 0 0,1 0 0,0 0 0,0 0 0,0 0 0,0 1 0,0-1 0,0 0 0,0 1 0,0-1 0,0 1 0,0-1 0,0 1 0,0 0 0,0-1 0,0 1 0,0 0 0,1 0 0,-1 0 0,2-1 0,-1 2 0,0-1 0,0 1 0,0 0 0,0-1 0,0 1 0,0 0 0,0 0 0,0 0 0,-1 1 0,1-1 0,0 0 0,2 3 0,1 1 0,-1 0 0,1 0 0,-1 1 0,0 0 0,0-1 0,0 2 0,3 8 0,-6-11 0,1 0 0,-1 1 0,-1-1 0,1 0 0,-1 1 0,1-1 0,-1 0 0,0 1 0,-1-1 0,1 1 0,-1-1 0,-2 7 0,3-8 0,-1-1 0,0 0 0,0 0 0,0 0 0,0 0 0,0 0 0,0 0 0,-1-1 0,1 1 0,0 0 0,-1-1 0,0 1 0,1-1 0,-1 1 0,0-1 0,0 0 0,0 1 0,0-1 0,0 0 0,0 0 0,0-1 0,0 1 0,0 0 0,0-1 0,0 1 0,-4-1 0,5 0 0,-1 0 0,0 0 0,1-1 0,-1 1 0,1 0 0,-1-1 0,1 0 0,-1 1 0,1-1 0,-1 0 0,1 0 0,0 0 0,-1 1 0,1-2 0,0 1 0,0 0 0,0 0 0,0 0 0,0 0 0,0-1 0,0 1 0,0 0 0,0-1 0,1 1 0,-1-1 0,0 1 0,1-1 0,-1 1 0,1-1 0,-1-2 0,-1-5 0,1 1 0,-1-1 0,1 1 0,1-11 0,-1 17 0,1 0 0,0 0 0,0 0 0,0 0 0,1 1 0,-1-1 0,0 0 0,1 0 0,-1 1 0,1-1 0,-1 0 0,1 1 0,0-1 0,0 0 0,0 1 0,0-1 0,0 1 0,0-1 0,0 1 0,3-3 0,-3 4 0,1-1 0,-1 0 0,0 1 0,1-1 0,-1 1 0,1 0 0,-1-1 0,1 1 0,-1 0 0,1 0 0,-1 0 0,1 0 0,-1 0 0,1 0 0,-1 1 0,1-1 0,-1 0 0,0 1 0,1-1 0,1 1 0,-1 1 0,1-1 0,0 0 0,-1 1 0,1-1 0,0 1 0,-1 0 0,0 0 0,1 0 0,-1 0 0,0 0 0,0 1 0,0-1 0,-1 1 0,1-1 0,-1 1 0,1 0 0,-1-1 0,0 1 0,0 0 0,0 0 0,0 0 0,0 0 0,-1 0 0,1 4 0,-1-4 0,-1-1 0,1 0 0,-1 1 0,0-1 0,1 0 0,-1 1 0,0-1 0,0 0 0,0 0 0,-1 0 0,1 0 0,-1 0 0,1 0 0,-1 0 0,1 0 0,-1-1 0,0 1 0,0-1 0,0 1 0,0-1 0,-4 2 0,5-2 0,0-1 0,0 1 0,0-1 0,0 0 0,0 0 0,0 1 0,-1-1 0,1 0 0,0 0 0,0 0 0,0 0 0,-1 0 0,1 0 0,0 0 0,0-1 0,0 1 0,0 0 0,0-1 0,-1 1 0,1-1 0,0 1 0,0-1 0,0 1 0,0-1 0,0 0 0,0 0 0,1 1 0,-1-1 0,0 0 0,0 0 0,0 0 0,1 0 0,-1 0 0,0 0 0,1 0 0,-1 0 0,1 0 0,0 0 0,-1 0 0,1 0 0,0-1 0,-1 1 0,1 0 0,0 0 0,0-2 0,-1-2 0,0 0 0,0 0 0,1 0 0,0 0 0,0 0 0,0-1 0,0 1 0,1 0 0,2-10 0,-2 14 0,-1 0 0,0 0 0,1 0 0,-1 0 0,1 0 0,0 0 0,-1 0 0,1 1 0,0-1 0,-1 0 0,1 0 0,0 0 0,0 1 0,0-1 0,-1 1 0,1-1 0,0 0 0,0 1 0,0-1 0,2 1 0,-1-1 0,0 1 0,-1 0 0,1 0 0,0 0 0,0 1 0,0-1 0,0 0 0,0 1 0,-1-1 0,1 1 0,0 0 0,0-1 0,-1 1 0,1 0 0,-1 0 0,3 2 0,0 0-76,-1 0 1,1 0-1,-1 1 0,1 0 0,-1-1 0,0 1 0,-1 0 0,1 1 1,-1-1-1,0 0 0,0 1 0,0-1 0,0 1 0,-1 0 1,0-1-1,0 1 0,1 7 0,0 9-6750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11:34.1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31 24 24575,'-1'-1'0,"1"0"0,0 0 0,0 0 0,0 0 0,1 0 0,-1 0 0,0 0 0,0 0 0,0 0 0,1 0 0,-1 0 0,1 0 0,-1 0 0,0 0 0,1 0 0,0 0 0,-1 0 0,1 1 0,1-3 0,-2 3 0,1 0 0,0-1 0,0 1 0,-1 0 0,1 0 0,0-1 0,0 1 0,-1 0 0,1 0 0,0 0 0,0 0 0,0 0 0,-1 0 0,1 0 0,0 0 0,0 0 0,-1 1 0,1-1 0,1 1 0,1 0 0,-1 0 0,0 0 0,1 0 0,-1 1 0,0-1 0,0 1 0,0 0 0,0-1 0,0 1 0,-1 0 0,1 0 0,0 0 0,-1 0 0,2 3 0,-2-1 0,0-1 0,0 1 0,0 0 0,-1 0 0,1 0 0,-1-1 0,0 1 0,0 0 0,0 0 0,-1 0 0,0 0 0,1-1 0,-1 1 0,0 0 0,-1 0 0,-2 5 0,3-6 0,0 0 0,-1-1 0,1 1 0,-1 0 0,0-1 0,1 0 0,-1 1 0,0-1 0,0 0 0,-1 0 0,1 0 0,0 0 0,-1 0 0,1-1 0,-1 1 0,1-1 0,-1 0 0,0 0 0,0 1 0,0-2 0,1 1 0,-5 1 0,6-3 0,-1 1 0,1 0 0,0 0 0,0-1 0,0 1 0,0-1 0,-1 1 0,1-1 0,0 1 0,0-1 0,0 0 0,0 1 0,0-1 0,0 0 0,1 0 0,-1 0 0,0 0 0,0 0 0,0 0 0,1 0 0,-1 0 0,1 0 0,-1 0 0,1 0 0,-1 0 0,1 0 0,-1 0 0,1-1 0,0 1 0,0 0 0,0 0 0,0-1 0,0 1 0,0 0 0,0 0 0,0-3 0,0 2 0,0 0 0,0 0 0,0 0 0,0-1 0,1 1 0,-1 0 0,1 0 0,-1 0 0,1 0 0,0 0 0,-1 0 0,1 0 0,0 0 0,0 0 0,1 0 0,-1 0 0,0 0 0,1 1 0,-1-1 0,3-2 0,-2 4 0,-1-1 0,1 0 0,-1 1 0,1 0 0,-1-1 0,1 1 0,0 0 0,-1 0 0,1 0 0,-1 0 0,1 0 0,-1 0 0,1 0 0,-1 1 0,1-1 0,-1 1 0,1-1 0,-1 1 0,1-1 0,2 3 0,-1-1 0,0 0 0,0 0 0,0 1 0,0-1 0,-1 1 0,1 0 0,-1 0 0,1 0 0,1 3 0,-2-2 0,1 0 0,-1 0 0,0 1 0,-1-1 0,1 0 0,-1 1 0,1 5 0,-1-8 0,-1 0 0,0 0 0,0 0 0,0 0 0,0 0 0,0 1 0,0-1 0,0-1 0,-1 1 0,1 0 0,-1 0 0,0 0 0,1 0 0,-1 0 0,0 0 0,-1 1 0,1-1 0,0-1 0,0 1 0,0-1 0,0 0 0,-1 1 0,1-1 0,0 0 0,-1 0 0,1 0 0,0 0 0,-1 0 0,1 0 0,-1-1 0,0 1 0,1 0 0,-1-1 0,1 1 0,-1-1 0,0 0 0,1 1 0,-1-1 0,0 0 0,0 0 0,-3 0 0,4-1 0,-1 0 0,0 0 0,1 0 0,-1 1 0,1-1 0,-1-1 0,1 1 0,-1 0 0,1 0 0,0 0 0,0-1 0,0 1 0,-1-1 0,1 1 0,1-1 0,-1 1 0,0-1 0,0 0 0,0 1 0,1-1 0,-1 0 0,1 0 0,-1-2 0,-1-6 0,1 0 0,0 0 0,0 0 0,1 0 0,1-17 0,0 25 0,-1 0 0,0 0 0,1 0 0,-1 0 0,1 0 0,0 0 0,0 0 0,0 0 0,0 0 0,0 0 0,0 0 0,0 1 0,1-1 0,1-2 0,-2 4 0,0-1 0,1 0 0,-1 1 0,1-1 0,-1 0 0,0 1 0,1 0 0,-1-1 0,1 1 0,-1 0 0,1 0 0,-1 0 0,1 0 0,-1 0 0,1 0 0,-1 0 0,1 0 0,-1 1 0,0-1 0,1 0 0,-1 1 0,1-1 0,1 2 0,0 0 0,1-1 0,0 1 0,-1 0 0,0 1 0,1-1 0,-1 0 0,0 1 0,0 0 0,0 0 0,-1 0 0,1 0 0,-1 0 0,0 0 0,1 1 0,-2-1 0,1 1 0,0 0 0,-1-1 0,2 6 0,-2-6 0,-1-1 0,1 1 0,-1-1 0,0 0 0,0 1 0,0-1 0,0 1 0,-1-1 0,1 1 0,-1-1 0,1 0 0,-1 1 0,0-1 0,0 0 0,0 1 0,0-1 0,0 0 0,0 0 0,-1 0 0,1 0 0,-1 0 0,1 0 0,-1-1 0,0 1 0,0 0 0,0-1 0,0 1 0,0-1 0,0 0 0,0 0 0,0 0 0,-4 2 0,4-3 0,1 1 0,-1-1 0,1 1 0,-1-1 0,0 1 0,1-1 0,-1 0 0,0 0 0,1 0 0,-1 0 0,0 0 0,1 0 0,-1 0 0,1-1 0,-1 1 0,0-1 0,1 1 0,-1-1 0,1 1 0,-1-1 0,1 0 0,-1 0 0,1 0 0,0 0 0,-1 0 0,1 0 0,0 0 0,0 0 0,0-1 0,0 1 0,0 0 0,0-1 0,0 1 0,0-1 0,0 1 0,0-3 0,-1 1 0,1-1 0,-1 1 0,1-1 0,0 0 0,1 1 0,-1-1 0,0 0 0,1 1 0,0-1 0,0 0 0,0 0 0,1 1 0,-1-1 0,1 0 0,1-5 0,0 6-124,-1-1 0,1 1 0,0 0 0,0 0 0,1 0 0,-1 0-1,1 0 1,-1 0 0,1 1 0,4-4 0,10-5-6702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11:34.92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192 121 24575,'-2'-3'0,"1"1"0,-1 0 0,1 0 0,-1 0 0,0 1 0,0-1 0,0 0 0,0 1 0,0-1 0,0 1 0,-1 0 0,1 0 0,0 0 0,-1 0 0,1 0 0,-1 0 0,1 0 0,-1 1 0,1-1 0,-4 1 0,2-1 0,-1 1 0,1 0 0,0 0 0,-1 0 0,1 1 0,0 0 0,0-1 0,-1 1 0,1 1 0,0-1 0,-5 3 0,3 0 0,-1 1 0,1 0 0,1 0 0,-1 1 0,1 0 0,-1-1 0,2 2 0,-1-1 0,1 1 0,0-1 0,0 1 0,1 1 0,0-1 0,0 0 0,0 1 0,-1 12 0,1-8 0,1 0 0,0 1 0,1-1 0,0 0 0,1 1 0,0-1 0,1 1 0,1-1 0,5 24 0,-5-31 11,0-1 0,0 1-1,0-1 1,0 0 0,0 0-1,1 1 1,0-2 0,0 1-1,0 0 1,1-1 0,-1 1-1,1-1 1,-1 0 0,1 0-1,8 4 1,-6-4 4,0 0 1,1-1-1,-1 0 1,0 0-1,1 0 1,0-1 0,-1 0-1,1 0 1,0-1-1,11 0 1,-10-1-98,-1 1 1,1-1 0,0-1 0,-1 1-1,1-2 1,-1 1 0,0-1-1,1 0 1,-1 0 0,0-1 0,-1 0-1,1 0 1,-1 0 0,0-1 0,0 0-1,0 0 1,-1-1 0,1 0-1,-1 0 1,5-8 0,-1-6-6745</inkml:trace>
  <inkml:trace contextRef="#ctx0" brushRef="#br0" timeOffset="403.41">467 26 24575,'0'-1'0,"0"1"0,0-1 0,0 0 0,1 0 0,-1 1 0,0-1 0,-1 0 0,1 1 0,0-1 0,0 0 0,0 1 0,0-1 0,0 0 0,-1 1 0,1-1 0,0 0 0,-1 1 0,1-1 0,0 1 0,-1-1 0,1 0 0,-1 1 0,1-1 0,-1 1 0,1-1 0,-1 1 0,1 0 0,-1-1 0,1 1 0,-1-1 0,0 1 0,1 0 0,-1 0 0,0-1 0,1 1 0,-1 0 0,0 0 0,1 0 0,-1 0 0,0 0 0,1 0 0,-1 0 0,0 0 0,0 0 0,1 0 0,-1 0 0,0 0 0,1 0 0,-1 0 0,0 1 0,0 0 0,-2 0 0,0 0 0,0 0 0,1 1 0,-1-1 0,0 1 0,1 0 0,0 0 0,-1 0 0,1 0 0,0 0 0,-2 3 0,-4 9 0,1 1 0,1 0 0,0 0 0,1 1 0,1-1 0,0 1 0,1 0 0,1 0 0,0 29 0,2-40 0,0-1 0,0 0 0,0 1 0,1-1 0,0 0 0,0 0 0,0 1 0,1-1 0,-1 0 0,1 0 0,0 0 0,0-1 0,0 1 0,1 0 0,-1-1 0,1 1 0,0-1 0,0 0 0,0 0 0,1 0 0,-1-1 0,5 4 0,-5-4 0,1 0 0,-1-1 0,0 1 0,1-1 0,0 0 0,-1 0 0,1 0 0,0-1 0,0 1 0,-1-1 0,1 0 0,0 0 0,0 0 0,-1 0 0,1-1 0,0 1 0,0-1 0,-1 0 0,1 0 0,-1-1 0,1 1 0,-1-1 0,1 0 0,-1 1 0,5-5 0,-5 4 0,-1 0 0,1-1 0,0 0 0,-1 1 0,0-1 0,0 0 0,1 0 0,-2 0 0,1 0 0,0 0 0,-1-1 0,1 1 0,-1 0 0,0-1 0,0 1 0,0-1 0,0-6 0,-1 8 0,0 0 0,0 0 0,0-1 0,0 1 0,-1 0 0,1 0 0,-1 0 0,1-1 0,-1 1 0,0 0 0,0 0 0,0 0 0,0 0 0,0 0 0,0 0 0,-1 1 0,1-1 0,-1 0 0,1 1 0,-1-1 0,0 1 0,1-1 0,-1 1 0,0 0 0,0 0 0,0 0 0,0 0 0,0 0 0,0 0 0,-2 0 0,1 0 0,1 1 0,-1 0 0,0-1 0,1 1 0,-1 0 0,1 1 0,-1-1 0,1 0 0,-1 1 0,1-1 0,-1 1 0,1 0 0,0 0 0,-1 0 0,-2 2 0,3-2 0,1 0 0,-1 0 0,0 0 0,1 0 0,-1 0 0,1 0 0,-1 0 0,1 1 0,0-1 0,0 1 0,-1-1 0,1 1 0,0-1 0,0 1 0,1 0 0,-1-1 0,0 1 0,0 0 0,1 0 0,-1 3 0,3 4-1365,4-3-5461</inkml:trace>
  <inkml:trace contextRef="#ctx0" brushRef="#br0" timeOffset="825.64">656 0 24575,'-1'30'0,"0"-11"0,0 0 0,5 36 0,-4-51 0,1 0 0,-1 0 0,1 0 0,0-1 0,1 1 0,-1 0 0,0 0 0,1-1 0,0 1 0,0-1 0,0 1 0,1-1 0,-1 0 0,1 0 0,-1 0 0,1 0 0,0 0 0,0-1 0,6 5 0,-7-6 0,0 0 0,0-1 0,-1 1 0,1 0 0,0-1 0,0 1 0,0-1 0,0 1 0,0-1 0,0 0 0,0 0 0,0 0 0,0 0 0,0 0 0,-1 0 0,1 0 0,0-1 0,0 1 0,0-1 0,0 0 0,3-1 0,-2 0 0,-1 0 0,1 0 0,-1 0 0,1 0 0,-1-1 0,0 1 0,0-1 0,0 0 0,0 1 0,0-1 0,2-5 0,1-4 0,-1 0 0,0 0 0,-1 0 0,0 0 0,1-19 0,-7 229-43,3-134-1279,0-43-5504</inkml:trace>
  <inkml:trace contextRef="#ctx0" brushRef="#br0" timeOffset="1246.12">28 637 24575,'0'0'0,"-1"0"0,1 0 0,-1 0 0,1 0 0,-1 0 0,1 0 0,-1 0 0,1 0 0,-1 0 0,1 0 0,-1 0 0,1 1 0,-1-1 0,1 0 0,-1 0 0,1 1 0,0-1 0,-1 0 0,1 1 0,-1-1 0,1 0 0,0 1 0,-1-1 0,1 0 0,-1 2 0,1-2 0,0 1 0,1-1 0,-1 0 0,0 1 0,0-1 0,0 0 0,0 1 0,1-1 0,-1 0 0,0 1 0,0-1 0,1 0 0,-1 1 0,0-1 0,0 0 0,1 0 0,-1 1 0,0-1 0,1 0 0,-1 0 0,0 0 0,1 1 0,-1-1 0,1 0 0,-1 0 0,0 0 0,1 0 0,-1 0 0,1 0 0,-1 0 0,0 0 0,1 0 0,-1 0 0,1 0 0,-1 0 0,0 0 0,1 0 0,20-1 0,-1 0 0,1-2 0,-1 0 0,0-1 0,26-9 0,-11 3 0,665-158 0,-658 160 0,-20 5 0,0-2 0,-1 0 0,31-12 0,-51 15-1365,-6 2-5461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11:42.41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113 67 24575,'-3'0'0,"-1"0"0,1 1 0,0-1 0,-1 1 0,1-1 0,0 1 0,-1 0 0,1 0 0,0 1 0,0-1 0,0 1 0,0 0 0,0-1 0,0 1 0,-2 3 0,1-2 0,0 2 0,1-1 0,-1 0 0,1 1 0,0-1 0,0 1 0,1 0 0,-4 8 0,0 4 0,1 1 0,0 1 0,2-1 0,-2 27 0,3-31 0,1-1 0,1 1 0,0 0 0,1 0 0,0-1 0,1 1 0,7 21 0,-7-29 0,0 0 0,0 0 0,1-1 0,0 1 0,1-1 0,-1 0 0,1 0 0,0 0 0,0 0 0,0-1 0,1 1 0,-1-1 0,1 0 0,0-1 0,0 1 0,1-1 0,-1 0 0,1 0 0,6 2 0,-5-3 0,1 1 0,-1-1 0,1-1 0,0 1 0,-1-1 0,1-1 0,0 1 0,0-1 0,-1-1 0,15-2 0,-19 3 0,0-1 0,0 0 0,0 0 0,0 0 0,0 0 0,0 0 0,0-1 0,-1 1 0,1-1 0,0 0 0,-1 0 0,0 0 0,1 0 0,-1 0 0,0-1 0,0 1 0,0 0 0,0-1 0,-1 0 0,1 1 0,-1-1 0,0 0 0,1 0 0,-1 0 0,-1 0 0,1 0 0,0 0 0,-1 0 0,1-5 0,-1 4 0,0 0 0,-1 1 0,1-1 0,-1 0 0,0 1 0,0-1 0,0 1 0,0-1 0,-1 1 0,1 0 0,-1-1 0,0 1 0,0 0 0,0 0 0,-1 0 0,1 0 0,-1 1 0,1-1 0,-1 1 0,0 0 0,0-1 0,-4-1 0,1 0 0,1 1 0,-1 0 0,0 0 0,0 0 0,0 1 0,-1 0 0,1 0 0,-1 1 0,1 0 0,-1 0 0,-10 0 0,9 2 0,11 0 0,15 1 0,-7-4 0,0-1 0,-1 1 0,14-6 0,-15 5 0,-1 0 0,1 0 0,0 1 0,0 0 0,14 0 0,-21 2 0,-1 0 0,1 0 0,0 1 0,-1-1 0,1 1 0,0 0 0,-1-1 0,1 1 0,-1 0 0,1 0 0,-1 0 0,0 0 0,1 0 0,-1 0 0,0 0 0,0 0 0,1 1 0,-1-1 0,0 1 0,0-1 0,0 0 0,-1 1 0,1 0 0,0-1 0,-1 1 0,1-1 0,-1 1 0,1 0 0,-1-1 0,0 1 0,1 2 0,0 9 0,1-1 0,-2 1 0,0 16 0,-1-16 0,1 2 0,-1-4 0,1 1 0,0-1 0,1 1 0,0-1 0,1 0 0,0 1 0,4 11 0,-6-22-28,0-1-1,1 1 1,-1 0-1,0 0 1,0-1 0,1 1-1,-1 0 1,0 0-1,1-1 1,-1 1-1,1 0 1,-1-1-1,0 1 1,1-1 0,0 1-1,-1-1 1,1 1-1,-1-1 1,1 1-1,0-1 1,-1 1-1,1-1 1,0 0 0,-1 1-1,1-1 1,0 0-1,0 0 1,-1 1-1,1-1 1,0 0-1,0 0 1,-1 0 0,1 0-1,0 0 1,0 0-1,0 0 1,-1 0-1,1 0 1,0-1-1,0 1 1,-1 0 0,1 0-1,0-1 1,-1 1-1,1 0 1,0-1-1,0 0 1,9-8-6798</inkml:trace>
  <inkml:trace contextRef="#ctx0" brushRef="#br0" timeOffset="385.59">483 67 24575,'0'0'0,"1"0"0,-1-1 0,0 1 0,0 0 0,0-1 0,0 1 0,0 0 0,0 0 0,0-1 0,0 1 0,0 0 0,-1-1 0,1 1 0,0 0 0,0 0 0,0-1 0,0 1 0,0 0 0,0 0 0,0-1 0,-1 1 0,1 0 0,0 0 0,0 0 0,0-1 0,-1 1 0,1 0 0,0 0 0,0 0 0,-1-1 0,1 1 0,0 0 0,0 0 0,-1 0 0,1 0 0,0 0 0,0 0 0,-1 0 0,1 0 0,0 0 0,-1 0 0,1 0 0,0 0 0,0 0 0,-1 0 0,1 0 0,0 0 0,0 0 0,-1 0 0,1 0 0,0 0 0,-1 0 0,1 0 0,0 0 0,0 1 0,-1-1 0,1 0 0,0 0 0,0 0 0,0 1 0,-1-1 0,1 0 0,0 1 0,-16 13 0,11-6 0,0 0 0,0 1 0,1 0 0,0 0 0,0 0 0,1 1 0,-2 10 0,1-3 0,1-1 0,1 1 0,0 22 0,2-35 0,0-1 0,1 1 0,-1-1 0,1 1 0,0-1 0,0 1 0,0-1 0,1 1 0,-1-1 0,1 0 0,0 0 0,0 0 0,0 0 0,0 0 0,0 0 0,1 0 0,5 4 0,-7-6 0,1 1 0,0-1 0,0 0 0,0 0 0,-1 0 0,1 0 0,1 0 0,-1 0 0,0-1 0,0 1 0,0-1 0,0 1 0,0-1 0,0 0 0,1 0 0,-1 0 0,0 0 0,0 0 0,0 0 0,1-1 0,-1 1 0,0-1 0,0 0 0,0 1 0,0-1 0,0 0 0,0 0 0,0 0 0,0-1 0,2-1 0,-2 2 0,-1 0 0,0 0 0,1-1 0,-1 1 0,0 0 0,1-1 0,-1 1 0,0-1 0,0 0 0,0 1 0,0-1 0,-1 0 0,1 1 0,0-1 0,-1 0 0,1 0 0,-1 0 0,0 0 0,1 1 0,-1-1 0,0 0 0,0 0 0,0 0 0,-1 0 0,1 0 0,0 0 0,-1 1 0,1-1 0,-1 0 0,1 0 0,-1 0 0,0 1 0,0-1 0,0 0 0,0 1 0,-2-3 0,2 2 0,-1 1 0,1-1 0,-1 0 0,1 1 0,-1 0 0,1-1 0,-1 1 0,0 0 0,0 0 0,0 0 0,0 0 0,0 0 0,0 0 0,0 1 0,0-1 0,0 1 0,0-1 0,0 1 0,0 0 0,0 0 0,0 0 0,0 0 0,-1 0 0,1 0 0,0 1 0,0-1 0,0 1 0,0-1 0,0 1 0,0 0 0,0 0 0,-2 1 0,2-1-50,0 0-1,1-1 1,0 1-1,-1 0 0,1 0 1,0 0-1,-1 1 1,1-1-1,0 0 1,0 0-1,0 1 0,0-1 1,0 1-1,0-1 1,0 1-1,1-1 1,-1 1-1,0-1 0,1 1 1,-1 0-1,1-1 1,0 1-1,-1 0 1,1-1-1,0 1 1,0 2-1,6 6-6775</inkml:trace>
  <inkml:trace contextRef="#ctx0" brushRef="#br0" timeOffset="870.45">595 50 24575,'0'-43'0,"0"36"0,0 28 0,-1 28 0,-1-29 0,2 1 0,0 0 0,7 42 0,-7-62 0,0 1 0,0 0 0,1-1 0,-1 1 0,1-1 0,0 1 0,-1 0 0,1-1 0,0 0 0,0 1 0,0-1 0,0 1 0,0-1 0,0 0 0,0 0 0,0 0 0,0 1 0,1-1 0,-1 0 0,1-1 0,1 2 0,-2-1 0,1-1 0,0 0 0,0 0 0,-1 1 0,1-1 0,0 0 0,-1-1 0,1 1 0,0 0 0,0 0 0,-1-1 0,1 1 0,-1-1 0,1 0 0,0 1 0,2-3 0,1 0 0,1 0 0,-1-1 0,0 0 0,-1 0 0,1-1 0,-1 1 0,0-1 0,0 0 0,0 0 0,3-6 0,1-15 0,-6 15 0,-3 24 0,-4 36-455,2-1 0,6 85 0,-1-114-6371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11:44.88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122 381 24575,'0'0'0,"0"0"0,0 0 0,0 0 0,0 0 0,0 0 0,0 0 0,0 0 0,-1 0 0,1 1 0,0-1 0,0 0 0,0 0 0,0 0 0,0 0 0,-1 0 0,1 0 0,0 0 0,0 0 0,0 0 0,0 0 0,0-1 0,0 1 0,-1 0 0,1 0 0,0 0 0,0 0 0,0 0 0,0 0 0,0 0 0,0 0 0,-1 0 0,1 0 0,0 0 0,0 0 0,0-1 0,0 1 0,0 0 0,0 0 0,0 0 0,0 0 0,0 0 0,0 0 0,0 0 0,0-1 0,-1 1 0,1 0 0,0 0 0,0 0 0,0 0 0,0 0 0,0-1 0,0 1 0,0 0 0,0 0 0,0 0 0,0 0 0,1 0 0,-1 0 0,0-1 0,0 1 0,0 0 0,0 0 0,-7 12 0,-4 37 0,-11 86 0,17-89 0,-3 0 0,-19 69 0,27-114 0,0 0 0,-1-1 0,1 1 0,0 0 0,0 0 0,-1 0 0,1 0 0,-1 0 0,1 0 0,-1 0 0,1 0 0,-1-1 0,1 1 0,-1 0 0,0 0 0,0-1 0,1 1 0,-1 0 0,0-1 0,0 1 0,-1 0 0,2-1 0,-1-1 0,0 1 0,1 0 0,-1 0 0,1-1 0,-1 1 0,1 0 0,-1-1 0,1 1 0,-1 0 0,1-1 0,-1 1 0,1-1 0,-1 1 0,1-1 0,0 1 0,-1-1 0,1 0 0,0 1 0,-1-1 0,1 1 0,0-2 0,-3-5 0,1 1 0,0-1 0,0 0 0,-1-10 0,2 12 0,0-3 0,1 1 0,-1-1 0,1 1 0,0-1 0,1 1 0,0-1 0,2-8 0,-3 15 0,1 1 0,-1-1 0,0 1 0,1-1 0,-1 1 0,1-1 0,-1 1 0,0-1 0,1 1 0,-1-1 0,1 1 0,-1 0 0,1-1 0,0 1 0,-1 0 0,1-1 0,-1 1 0,1 0 0,0 0 0,-1 0 0,1-1 0,-1 1 0,1 0 0,0 0 0,-1 0 0,1 0 0,0 0 0,-1 0 0,1 0 0,-1 1 0,1-1 0,0 0 0,-1 0 0,1 0 0,-1 1 0,1-1 0,0 0 0,-1 0 0,1 1 0,-1-1 0,1 1 0,0 0 0,27 19 0,-24-17 0,9 7 0,-2 0 0,1-1 0,0 0 0,1-1 0,26 13 0,-35-20 0,-1 1 0,1-1 0,0 0 0,0 0 0,-1-1 0,1 1 0,0-1 0,0 0 0,0 0 0,-1 0 0,1 0 0,0-1 0,0 1 0,0-1 0,-1 0 0,1-1 0,0 1 0,-1 0 0,1-1 0,-1 0 0,0 0 0,1 0 0,-1 0 0,5-5 0,-4 4 0,0-1 0,0 0 0,0-1 0,-1 1 0,0-1 0,1 0 0,-2 1 0,1-1 0,-1-1 0,1 1 0,-1 0 0,2-8 0,-3 4 0,1 1 0,-2-1 0,1 1 0,-1-1 0,0 0 0,-1 1 0,-2-13 0,-1 1 0,-2 1 0,0-1 0,-1 1 0,-1 1 0,-1-1 0,-11-17 0,14 26 0,-1 1 0,0-1 0,0 1 0,-1 1 0,-11-11 0,17 17 0,0 1 0,0-1 0,0 1 0,0-1 0,0 1 0,-1 0 0,1 0 0,-1 0 0,1 0 0,-1 0 0,1 1 0,-6-1 0,7 1 0,-1 0 0,0 0 0,1 0 0,-1 1 0,1-1 0,-1 1 0,1-1 0,-1 1 0,1 0 0,-1 0 0,1-1 0,0 1 0,-1 0 0,1 0 0,0 0 0,0 1 0,0-1 0,-1 0 0,1 0 0,1 1 0,-1-1 0,-2 3 0,1 1 0,-1 0 0,1 0 0,0 0 0,0 0 0,0 0 0,1 0 0,-1 1 0,1-1 0,1 1 0,-1-1 0,1 1 0,0-1 0,0 1 0,1-1 0,-1 1 0,1-1 0,1 0 0,-1 1 0,1-1 0,-1 0 0,2 0 0,-1 0 0,0 0 0,1 0 0,0-1 0,0 1 0,1-1 0,-1 1 0,1-1 0,0-1 0,0 1 0,0 0 0,0-1 0,1 0 0,-1 0 0,1 0 0,0 0 0,0-1 0,0 0 0,0 0 0,0 0 0,1-1 0,-1 0 0,1 0 0,-1 0 0,0-1 0,1 1 0,-1-1 0,1-1 0,-1 1 0,1-1 0,6-1 0,21-10-1365,-2-4-5461</inkml:trace>
  <inkml:trace contextRef="#ctx0" brushRef="#br0" timeOffset="359">475 269 24575,'0'0'0,"0"-1"0,0 1 0,0 0 0,-1-1 0,1 1 0,0 0 0,0-1 0,0 1 0,-1 0 0,1-1 0,0 1 0,-1 0 0,1 0 0,0-1 0,0 1 0,-1 0 0,1 0 0,0 0 0,-1-1 0,1 1 0,-1 0 0,1 0 0,0 0 0,-1 0 0,1 0 0,0 0 0,-1 0 0,1 0 0,-1 0 0,1 0 0,-1 0 0,-11 8 0,-6 18 0,12-8 0,0 0 0,1 0 0,0 0 0,2 0 0,0 1 0,1-1 0,1 1 0,1 0 0,4 35 0,-4-50 0,1 0 0,1 0 0,-1 0 0,0 1 0,1-1 0,0 0 0,0-1 0,0 1 0,1 0 0,-1-1 0,1 1 0,0-1 0,0 0 0,0 0 0,0 0 0,4 3 0,-5-5 0,-1 0 0,1 0 0,0 0 0,0-1 0,-1 1 0,1 0 0,0-1 0,0 1 0,0-1 0,0 1 0,0-1 0,0 0 0,-1 0 0,1 0 0,0 0 0,0 0 0,0-1 0,0 1 0,0 0 0,0-1 0,0 0 0,-1 1 0,1-1 0,0 0 0,-1 0 0,1 0 0,0 0 0,-1 0 0,1 0 0,-1 0 0,1-1 0,-1 1 0,0-1 0,0 1 0,1-1 0,-1 1 0,1-4 0,0 3 0,0-1 0,-1 0 0,1 0 0,-1 0 0,0 0 0,0 0 0,0 0 0,0 0 0,0 0 0,-1 0 0,1-1 0,-1 1 0,0 0 0,0 0 0,0-1 0,0 1 0,-2-4 0,2 5 0,-1 1 0,1-1 0,-1 0 0,0 1 0,0-1 0,0 0 0,0 1 0,0-1 0,0 1 0,0 0 0,0-1 0,0 1 0,-1 0 0,1 0 0,-1 0 0,1 0 0,-1 0 0,1 0 0,-1 0 0,0 0 0,1 0 0,-1 1 0,0-1 0,0 1 0,1-1 0,-1 1 0,0 0 0,0 0 0,0 0 0,1 0 0,-4 0 0,3 0 20,0 1 0,0-1 0,0 1 1,1 0-1,-1-1 0,0 1 0,0 0 0,1 0 0,-1 0 0,1 0 0,-1 0 0,1 0 0,-1 1 0,1-1 0,0 0 0,-3 3 1,4-3-58,-1-1 1,1 1 0,-1 0-1,1-1 1,0 1 0,-1-1-1,1 1 1,0 0 0,0-1-1,-1 1 1,1 0 0,0-1 0,0 1-1,0 0 1,0-1 0,0 1-1,0 0 1,0-1 0,0 1-1,0 0 1,0-1 0,0 1-1,0 0 1,1-1 0,-1 1-1,0 0 1,0-1 0,1 1 0,-1 0-1,0-1 1,1 1 0,-1-1-1,1 1 1,-1-1 0,1 1-1,-1-1 1,1 1 0,-1-1-1,1 1 1,-1-1 0,1 0-1,-1 1 1,1-1 0,0 0 0,-1 0-1,2 1 1,9 2-6790</inkml:trace>
  <inkml:trace contextRef="#ctx0" brushRef="#br0" timeOffset="732.67">596 364 24575,'7'-31'0,"-1"23"0,-2 22 0,-3 0 0,0 0 0,1 0 0,1 0 0,7 22 0,-9-32 0,0-1 0,0 0 0,0 0 0,1 0 0,-1 0 0,1 0 0,0 0 0,0-1 0,0 1 0,0-1 0,0 1 0,1-1 0,-1 0 0,1 0 0,0 0 0,-1 0 0,1 0 0,0-1 0,0 1 0,0-1 0,0 1 0,0-1 0,1 0 0,-1-1 0,0 1 0,4 0 0,-5-1 0,-1 0 0,1 0 0,-1 0 0,1 0 0,-1-1 0,1 1 0,-1 0 0,1-1 0,-1 1 0,1-1 0,-1 1 0,0-1 0,1 0 0,-1 0 0,0 1 0,0-1 0,1 0 0,-1 0 0,2-2 0,-2 0 0,1 1 0,0-1 0,0 0 0,-1 1 0,0-1 0,0 0 0,1 0 0,-2 0 0,2-4 0,0-4 0,-1-1 0,0 0 0,-1-21 0,-1 124 291,0-36-1119,5 55 0,-2-93-5998</inkml:trace>
  <inkml:trace contextRef="#ctx0" brushRef="#br0" timeOffset="1059.74">80 923 24575,'-3'4'0,"3"2"0,10 0 0,14-9 0,19-9 0,20-11 0,18-8 0,17-6 0,9-1 0,-1 5 0,-13 9 0,-19 8 0,-27 8 0,-24 7 0,-19 4 0,-10 1-8191</inkml:trace>
  <inkml:trace contextRef="#ctx0" brushRef="#br0" timeOffset="1710.74">381 1104 24575,'-1'-2'0,"1"0"0,-1 0 0,1 0 0,-1 0 0,0 0 0,0 0 0,0 0 0,0 1 0,0-1 0,0 0 0,0 1 0,-1-1 0,1 1 0,0-1 0,-1 1 0,0 0 0,1-1 0,-3 0 0,3 1 0,-1 0 0,1 0 0,-1 0 0,1 0 0,-1 0 0,1 0 0,-1 1 0,1-1 0,-1 1 0,0-1 0,1 1 0,-1 0 0,0-1 0,1 1 0,-1 0 0,0 0 0,1 0 0,-1 0 0,0 1 0,0-1 0,-2 1 0,1 1 0,1 0 0,-1 0 0,1 1 0,-1-1 0,1 1 0,0-1 0,0 1 0,0 0 0,0 0 0,0 0 0,1 0 0,-1 0 0,1 0 0,-1 5 0,-11 48 0,12-51 0,-3 16 0,2 0 0,0 0 0,1 28 0,1-44 0,1 0 0,-1-1 0,1 1 0,-1-1 0,1 1 0,1-1 0,-1 0 0,1 1 0,-1-1 0,1 0 0,0 0 0,1 0 0,-1 0 0,1-1 0,0 1 0,0-1 0,0 1 0,0-1 0,0 0 0,1 0 0,-1 0 0,5 2 0,-1-2 0,0 0 0,0-1 0,1 1 0,-1-2 0,1 1 0,-1-1 0,1 0 0,-1 0 0,1-1 0,0 0 0,-1-1 0,12-1 0,-15 1 0,0 0 0,0 1 0,0-2 0,0 1 0,0 0 0,0-1 0,0 0 0,-1 0 0,1 0 0,-1 0 0,1 0 0,-1-1 0,0 0 0,0 0 0,0 1 0,0-2 0,0 1 0,-1 0 0,1-1 0,-1 1 0,0-1 0,0 1 0,0-1 0,1-6 0,-2 8 0,-1 1 0,1-1 0,-1 0 0,0 1 0,0-1 0,0 0 0,1 1 0,-2-1 0,1 0 0,0 0 0,0 1 0,0-1 0,-1 0 0,1 1 0,-1-1 0,0 0 0,1 1 0,-1-1 0,0 1 0,0-1 0,0 1 0,-2-3 0,-1 1 0,0-1 0,0 1 0,0 0 0,0 1 0,-1-1 0,-4-1 0,4 2 0,1 0 0,0-1 0,0 1 0,0-1 0,1 1 0,-6-6 0,9 8 0,-1-1 0,1 1 0,0-1 0,-1 1 0,1-1 0,0 0 0,0 1 0,0-1 0,-1 1 0,1-1 0,0 0 0,0 1 0,0-1 0,0 0 0,0 1 0,0-1 0,0 0 0,0 1 0,1-1 0,-1 1 0,0-1 0,0 0 0,0 1 0,1-1 0,-1 1 0,0-1 0,1 0 0,-1 1 0,0-1 0,1 1 0,-1-1 0,1 1 0,-1-1 0,1 1 0,0-1 0,21-15 0,-19 14 0,4-3 0,2-1 0,1 0 0,-1 1 0,1 0 0,12-4 0,-20 8 0,-1 0 0,1 1 0,-1-1 0,0 1 0,1-1 0,0 1 0,-1 0 0,1 0 0,-1 0 0,1 0 0,-1 0 0,1 0 0,-1 0 0,1 0 0,-1 1 0,1-1 0,-1 0 0,1 1 0,-1-1 0,1 1 0,-1 0 0,0 0 0,1-1 0,-1 1 0,0 0 0,1 0 0,-1 0 0,0 0 0,0 0 0,0 1 0,0-1 0,0 0 0,0 0 0,-1 1 0,1-1 0,0 0 0,0 3 0,5 15 0,-1 0 0,-1 0 0,2 26 0,-3-22 0,9 39 0,-11-59 34,0-1 1,0 0-1,-1 0 0,2 1 0,-1-1 0,0 0 0,0 0 0,1 0 0,2 3 1,-4-5-83,1 1 1,-1-1-1,1 0 1,-1 1 0,1-1-1,0 1 1,-1-1-1,1 0 1,-1 0 0,1 1-1,0-1 1,-1 0-1,1 0 1,0 0-1,-1 0 1,1 0 0,0 0-1,0 0 1,-1 0-1,1 0 1,0 0 0,-1 0-1,1 0 1,0 0-1,-1-1 1,1 1 0,0 0-1,-1 0 1,1-1-1,-1 1 1,1 0 0,0-1-1,-1 1 1,1-1-1,0 0 1,9-9-6779</inkml:trace>
  <inkml:trace contextRef="#ctx0" brushRef="#br0" timeOffset="2143.69">837 940 24575,'-3'1'0,"1"-1"0,-1 1 0,1-1 0,0 1 0,-1 0 0,1 0 0,0 0 0,0 0 0,0 0 0,-1 0 0,1 0 0,0 1 0,1-1 0,-1 1 0,0 0 0,0-1 0,-2 5 0,-25 38 0,25-37 0,-1 4 0,1 1 0,0-1 0,1 1 0,0 0 0,1-1 0,0 1 0,1 0 0,0 0 0,1 0 0,1 1 0,0-1 0,0 0 0,6 21 0,-6-29 0,1 1 0,0-1 0,1 1 0,-1-1 0,1 0 0,-1 0 0,1 0 0,0 0 0,1-1 0,-1 1 0,1-1 0,-1 0 0,1 0 0,0 0 0,0 0 0,1-1 0,-1 1 0,0-1 0,1 0 0,-1-1 0,1 1 0,6 1 0,-7-3 0,-1 1 0,1-1 0,-1 1 0,1-1 0,-1 0 0,1 0 0,-1-1 0,0 1 0,1-1 0,-1 1 0,1-1 0,-1 0 0,0 0 0,0-1 0,1 1 0,-1-1 0,0 1 0,0-1 0,-1 0 0,1 0 0,0-1 0,-1 1 0,1 0 0,-1-1 0,0 0 0,1 1 0,-1-1 0,-1 0 0,1 0 0,0 0 0,-1 0 0,2-4 0,-2 5 10,-1 0 0,1-1 0,0 1-1,-1 0 1,0 0 0,0 0 0,1-1-1,-1 1 1,-1 0 0,1-1 0,0 1-1,0 0 1,-1 0 0,1 0 0,-1-1-1,0 1 1,0 0 0,0 0 0,0 0-1,0 0 1,0 0 0,0 0 0,-1 1-1,1-1 1,-1 0 0,1 0 0,-1 1-1,0-1 1,1 1 0,-1 0 0,0 0-1,0-1 1,0 1 0,-3-1 0,2 1-65,1 0-1,0 0 1,-1 0 0,1 0 0,-1 1 0,1-1 0,-1 1 0,1 0 0,-1-1 0,1 1 0,-1 0 0,1 0 0,-1 1 0,0-1 0,1 1 0,-1-1 0,1 1 0,0 0 0,-1 0 0,1 0-1,-1 0 1,1 0 0,0 0 0,0 1 0,0-1 0,0 1 0,0 0 0,0-1 0,0 1 0,-1 2 0,-4 8-6771</inkml:trace>
  <inkml:trace contextRef="#ctx0" brushRef="#br0" timeOffset="2561.57">992 940 24575,'-3'38'0,"1"-28"0,0 1 0,2-1 0,-1 1 0,1-1 0,1 1 0,0-1 0,3 18 0,-3-26 0,-1-1 0,0 0 0,1 0 0,-1 0 0,1 0 0,-1 0 0,1 1 0,-1-1 0,1 0 0,0 0 0,0 0 0,-1 0 0,1-1 0,0 1 0,0 0 0,0 0 0,0 0 0,0-1 0,0 1 0,0 0 0,0-1 0,2 1 0,-1-1 0,-1 0 0,0 0 0,0 0 0,0 0 0,1-1 0,-1 1 0,0 0 0,0-1 0,0 1 0,1-1 0,-1 1 0,0-1 0,0 0 0,0 1 0,0-1 0,0 0 0,0 0 0,0-1 0,4-3 0,0 0 0,0-1 0,-1 0 0,0 0 0,-1-1 0,4-7 0,14-50 0,-17 95 0,2 140-1365,-5-158-5461</inkml:trace>
  <inkml:trace contextRef="#ctx0" brushRef="#br0" timeOffset="4018.78">1465 132 24575,'0'1'0,"0"0"0,0 0 0,0 0 0,1 0 0,-1 0 0,0 0 0,0 0 0,1 0 0,-1 0 0,1 0 0,-1 0 0,1 0 0,0 0 0,-1 0 0,1 0 0,0 0 0,-1 0 0,1 0 0,0-1 0,0 1 0,0 0 0,0-1 0,0 1 0,0-1 0,0 1 0,0-1 0,0 1 0,0-1 0,0 0 0,0 1 0,0-1 0,0 0 0,0 0 0,0 0 0,1 0 0,-1 0 0,0 0 0,2 0 0,1-1 0,1 1 0,-1-1 0,1 0 0,-1 0 0,0 0 0,1 0 0,-1-1 0,0 0 0,8-4 0,-3 0 0,0 0 0,0-1 0,-1 0 0,0-1 0,9-10 0,-16 17 0,1-1 0,-1 1 0,0-1 0,1 1 0,-1-1 0,0 0 0,0 0 0,0 0 0,0 0 0,-1 0 0,1 0 0,0 0 0,-1 0 0,1 0 0,-1 0 0,0 0 0,0 0 0,0 0 0,0 0 0,0 0 0,0 0 0,0 0 0,-1 0 0,1 0 0,-1 0 0,0 0 0,1 0 0,-1 0 0,0 0 0,0 0 0,0 0 0,0 0 0,-1 1 0,-1-3 0,1 2 0,1 0 0,-1 0 0,0 1 0,0-1 0,1 1 0,-1 0 0,0-1 0,0 1 0,0 0 0,-1 0 0,1 0 0,0 1 0,0-1 0,-1 0 0,1 1 0,0-1 0,0 1 0,-1 0 0,1 0 0,0 0 0,-1 0 0,1 0 0,0 1 0,-1-1 0,1 1 0,0-1 0,-1 1 0,1 0 0,0 0 0,0 0 0,0 0 0,0 0 0,0 0 0,0 1 0,0-1 0,0 1 0,-2 2 0,-2 2 0,1 0 0,0-1 0,1 2 0,-1-1 0,1 1 0,0-1 0,1 1 0,-1 0 0,1 1 0,-2 8 0,4-11 0,-1 0 0,1 0 0,1 0 0,-1 0 0,1 0 0,0 1 0,0-1 0,0 0 0,1 0 0,-1 0 0,1 0 0,3 8 0,-3-11 0,1 1 0,-1 0 0,1 0 0,0 0 0,0-1 0,0 1 0,0-1 0,0 0 0,1 1 0,-1-1 0,1 0 0,-1 0 0,1-1 0,0 1 0,0 0 0,0-1 0,0 0 0,0 0 0,0 0 0,6 2 0,34 2 0,-42-5 0,1 0 0,0 1 0,-1-1 0,1 0 0,0-1 0,-1 1 0,1 0 0,-1 0 0,1-1 0,0 1 0,-1-1 0,1 1 0,-1-1 0,1 0 0,-1 0 0,0 0 0,1 1 0,-1-1 0,0-1 0,1 1 0,-1 0 0,0 0 0,1-2 0,-2 3 0,0-1 0,1 1 0,-1-1 0,0 1 0,0 0 0,0-1 0,0 1 0,0-1 0,0 1 0,0 0 0,-1-1 0,1 1 0,0-1 0,0 1 0,0 0 0,0-1 0,0 1 0,-1-1 0,1 1 0,0 0 0,0-1 0,-1 1 0,1 0 0,0-1 0,0 1 0,-1 0 0,1 0 0,0-1 0,-1 1 0,1 0 0,-1 0 0,1 0 0,0-1 0,-1 1 0,1 0 0,0 0 0,-1 0 0,1 0 0,-1 0 0,1 0 0,-1 0 0,1 0 0,0 0 0,-1 0 0,1 0 0,-1 0 0,-22 1 0,20 1 0,-1 0 0,0 0 0,1 1 0,-1-1 0,1 1 0,0 0 0,0 0 0,0 0 0,0 0 0,1 1 0,-1-1 0,1 1 0,0-1 0,0 1 0,-2 5 0,-2 4 0,1 1 0,1-1 0,-4 19 0,7-29 0,0 1 0,1 0 0,-1-1 0,1 1 0,0 0 0,0 0 0,0-1 0,1 1 0,-1 0 0,1-1 0,0 1 0,0 0 0,0-1 0,0 1 0,1-1 0,0 0 0,-1 1 0,1-1 0,0 0 0,1 0 0,4 5 0,-4-5 0,1 0 0,0 0 0,0-1 0,0 1 0,0-1 0,1 0 0,-1 0 0,1 0 0,-1-1 0,1 0 0,-1 0 0,1 0 0,0 0 0,0-1 0,-1 1 0,10-2 0,-8 1-49,0-1 1,0 0-1,0 0 0,0-1 0,0 1 1,0-2-1,0 1 0,0 0 0,-1-1 1,1 0-1,-1 0 0,0-1 0,0 0 1,0 0-1,-1 0 0,1 0 0,-1-1 1,0 1-1,0-1 0,0 0 0,-1 0 1,0-1-1,0 1 0,0-1 0,-1 1 0,1-1 1,1-9-1,2-10-6777</inkml:trace>
  <inkml:trace contextRef="#ctx0" brushRef="#br0" timeOffset="4401.72">1835 63 24575,'0'0'0,"-1"-1"0,1 1 0,0 0 0,0 0 0,0-1 0,0 1 0,-1 0 0,1 0 0,0-1 0,0 1 0,0 0 0,-1 0 0,1 0 0,0 0 0,0-1 0,-1 1 0,1 0 0,0 0 0,0 0 0,-1 0 0,1 0 0,0 0 0,-1 0 0,1 0 0,0 0 0,-1 0 0,1 0 0,0 0 0,0 0 0,-1 0 0,1 0 0,0 0 0,-1 0 0,1 0 0,-1 0 0,-12 9 0,-8 15 0,15-13 0,0 0 0,0 0 0,1 1 0,1-1 0,0 1 0,1 0 0,0 0 0,0 1 0,2-1 0,-1 0 0,2 1 0,-1-1 0,3 19 0,-2-29 0,1 0 0,-1 0 0,1 0 0,-1 0 0,1 0 0,-1 0 0,1 0 0,0-1 0,0 1 0,0 0 0,0 0 0,0-1 0,0 1 0,1-1 0,-1 1 0,0-1 0,1 0 0,-1 1 0,1-1 0,0 0 0,-1 0 0,1 0 0,0 0 0,0 0 0,0-1 0,-1 1 0,1 0 0,0-1 0,0 1 0,0-1 0,0 0 0,0 0 0,3 0 0,-1 0 0,-1-1 0,0 1 0,0-1 0,1 0 0,-1 0 0,0-1 0,0 1 0,0-1 0,0 1 0,-1-1 0,1 0 0,0 0 0,-1 0 0,1 0 0,-1-1 0,0 1 0,0-1 0,0 1 0,3-5 0,-3 4 0,-1 0 0,1 0 0,-1-1 0,0 1 0,0 0 0,0 0 0,0-1 0,-1 1 0,1-1 0,-1 1 0,0 0 0,0-1 0,0 1 0,-1-1 0,1 1 0,-2-6 0,2 7 0,-1 1 0,1 0 0,-1 0 0,0 0 0,1 0 0,-1 0 0,0 0 0,0 0 0,1 0 0,-1 0 0,0 0 0,0 0 0,0 0 0,0 0 0,0 1 0,0-1 0,0 0 0,-2 0 0,1 0 0,0 1 0,0 0 0,0 0 0,0-1 0,0 1 0,0 0 0,0 1 0,0-1 0,0 0 0,0 0 0,0 1 0,0 0 0,0-1 0,1 1 0,-4 1 0,1 0 0,0 1 0,0-1 0,1 1 0,-1-1 0,-4 6 0,7-7 0,0 0 0,0 0 0,0 0 0,0 0 0,0 0 0,1 0 0,-1 0 0,0 0 0,1 0 0,-1 0 0,1 0 0,-1 0 0,1 1 0,-1-1 0,1 0 0,0 0 0,0 0 0,0 1 0,-1-1 0,1 0 0,0 0 0,0 1 0,1 1 0,-1-3-52,1 1-1,-1-1 1,1 1-1,0-1 1,-1 1-1,1-1 1,-1 0-1,1 0 1,0 1-1,-1-1 1,1 0-1,0 0 1,-1 0-1,1 1 1,0-1-1,0 0 1,-1 0-1,1 0 1,0 0-1,-1 0 0,1 0 1,0-1-1,-1 1 1,1 0-1,0 0 1,11-3-6774</inkml:trace>
  <inkml:trace contextRef="#ctx0" brushRef="#br0" timeOffset="4793.64">1947 37 24575,'-11'23'0,"9"-12"0,0-1 0,1 1 0,1 0 0,-1 0 0,2 11 0,-1-19 0,1 0 0,-1 0 0,1-1 0,0 1 0,-1 0 0,1 0 0,0 0 0,1-1 0,-1 1 0,0 0 0,1-1 0,0 1 0,-1-1 0,1 0 0,0 1 0,0-1 0,0 0 0,0 0 0,1 0 0,-1-1 0,1 1 0,-1-1 0,5 3 0,-6-4 0,0 1 0,0-1 0,0 0 0,1 0 0,-1 1 0,0-1 0,0 0 0,1 0 0,-1 0 0,0 0 0,0-1 0,1 1 0,-1 0 0,0 0 0,0-1 0,0 1 0,1-1 0,-1 1 0,0-1 0,0 1 0,0-1 0,0 0 0,0 1 0,0-1 0,0 0 0,0 0 0,0 0 0,-1 0 0,1 0 0,0 0 0,0 0 0,-1 0 0,1 0 0,-1 0 0,1 0 0,-1 0 0,1-3 0,3-6 0,-1 0 0,0 0 0,2-17 0,-1 8 0,-1 36 0,-1 17 0,10 175 0,-11-199-1365</inkml:trace>
  <inkml:trace contextRef="#ctx0" brushRef="#br0" timeOffset="5119.66">1560 553 24575,'0'3'0,"2"1"0,10 0 0,10-7 0,15-7 0,14-8 0,12-8 0,10-6 0,8-4 0,4-1 0,-2 2 0,-11 7 0,-18 6 0,-18 10 0,-17 11 0,-11 7 0,-13 4 0,-6-1-8191</inkml:trace>
  <inkml:trace contextRef="#ctx0" brushRef="#br0" timeOffset="6058.96">1861 605 24575,'-2'-1'0,"1"0"0,-1 0 0,0 0 0,1 0 0,-1 1 0,1-1 0,-1 0 0,0 1 0,0 0 0,1-1 0,-1 1 0,0 0 0,0 0 0,1 0 0,-1 0 0,0 0 0,0 0 0,0 0 0,1 1 0,-1-1 0,0 1 0,1-1 0,-1 1 0,0 0 0,1 0 0,-1 0 0,1-1 0,-1 1 0,1 1 0,-1-1 0,1 0 0,0 0 0,0 0 0,-1 1 0,1-1 0,0 1 0,0-1 0,0 1 0,-1 2 0,-3 5 0,1 0 0,-1 0 0,2 1 0,-1 0 0,-3 15 0,1 4 0,-4 46 0,9-65 0,0-1 0,1 1 0,1 0 0,0-1 0,0 1 0,0 0 0,2-1 0,5 17 0,-6-21 0,1-1 0,0 0 0,0 0 0,1-1 0,-1 1 0,1-1 0,-1 1 0,1-1 0,0 0 0,0 0 0,1-1 0,-1 1 0,1-1 0,-1 0 0,1 0 0,0-1 0,-1 1 0,1-1 0,0 0 0,0-1 0,0 1 0,0-1 0,0 0 0,0 0 0,6-1 0,-6 1 0,0-1 0,-1 0 0,1 0 0,0 0 0,0 0 0,-1-1 0,1 0 0,-1 0 0,1 0 0,-1 0 0,7-6 0,-9 6 0,1 0 0,-1 0 0,0-1 0,0 1 0,0-1 0,0 0 0,0 1 0,0-1 0,-1 0 0,1 0 0,-1 0 0,0 0 0,0-1 0,0 1 0,0 0 0,-1 0 0,1 0 0,-1-5 0,0 5 0,0-1 0,-1 1 0,0-1 0,1 1 0,-1-1 0,0 1 0,-1 0 0,1-1 0,-1 1 0,1 0 0,-1 0 0,0 0 0,0 0 0,0 1 0,-1-1 0,1 0 0,-1 1 0,1 0 0,-1-1 0,0 1 0,0 0 0,0 0 0,0 1 0,-5-3 0,4 2 0,-1-1 0,0 1 0,-1 1 0,1-1 0,0 1 0,0 0 0,0 0 0,-1 0 0,1 1 0,-1 0 0,1 0 0,0 0 0,-1 0 0,1 1 0,-8 2 0,53-5 0,-10-8 0,-21 6 0,-1 1 0,1 0 0,0 1 0,0 0 0,10-1 0,-17 3 0,0 0 0,0 0 0,0 0 0,0 0 0,0 1 0,0-1 0,-1 0 0,1 1 0,0-1 0,0 1 0,0 0 0,-1 0 0,1 0 0,0 0 0,-1 0 0,1 0 0,-1 0 0,1 0 0,-1 1 0,1-1 0,-1 0 0,0 1 0,0-1 0,0 1 0,0 0 0,0-1 0,0 1 0,0 0 0,0 2 0,4 9 0,-2 0 0,4 22 0,-6-23 0,2 0 0,-1 0 0,9 20 0,-11-31-31,0 0 0,0-1 0,0 1 0,1 0 0,-1 0 0,0 0 0,1-1 0,-1 1 0,1 0 0,-1-1 0,1 1 0,-1 0 0,1-1 0,-1 1 0,1-1 0,-1 1 0,1 0 0,0-1 0,0 0 0,-1 1 0,1-1 0,0 1 0,-1-1 0,1 0-1,0 0 1,0 1 0,0-1 0,0 0 0,-1 0 0,1 0 0,0 0 0,0 0 0,0 0 0,0 0 0,-1 0 0,1 0 0,0 0 0,0-1 0,0 1 0,-1 0 0,1 0 0,0-1 0,0 0 0,11-7-6795</inkml:trace>
  <inkml:trace contextRef="#ctx0" brushRef="#br0" timeOffset="6409.79">2231 562 24575,'0'0'0,"0"0"0,0 0 0,0-1 0,-1 1 0,1 0 0,0 0 0,0 0 0,0 0 0,0 0 0,0 0 0,0 0 0,0 0 0,-1 0 0,1-1 0,0 1 0,0 0 0,0 0 0,0 0 0,0 0 0,0 0 0,-1 0 0,1 0 0,0 0 0,0 0 0,0 0 0,0 0 0,0 0 0,0 0 0,-1 0 0,1 0 0,0 0 0,0 0 0,0 0 0,0 0 0,0 1 0,-1-1 0,1 0 0,0 0 0,0 0 0,0 0 0,0 0 0,0 0 0,0 0 0,0 0 0,0 0 0,0 1 0,-1-1 0,1 0 0,0 0 0,0 0 0,0 0 0,0 0 0,0 0 0,0 0 0,0 1 0,0-1 0,0 0 0,0 0 0,0 0 0,0 0 0,0 1 0,-8 9 0,-2 5 0,1 1 0,0 0 0,1 1 0,1 0 0,1 0 0,1 1 0,0-1 0,1 1 0,1 0 0,0 0 0,1 21 0,2-37 0,0 0 0,0 0 0,0 0 0,0 0 0,0 0 0,1 1 0,-1-1 0,1 0 0,-1 0 0,1 0 0,0 0 0,0-1 0,0 1 0,0 0 0,0 0 0,0 0 0,0-1 0,1 1 0,-1-1 0,1 1 0,-1-1 0,1 1 0,-1-1 0,1 0 0,0 0 0,0 0 0,2 1 0,-1-1 0,0 0 0,1-1 0,-1 1 0,0-1 0,0 0 0,0 0 0,0 0 0,1 0 0,-1-1 0,0 1 0,0-1 0,0 0 0,0 0 0,0 0 0,0 0 0,3-2 0,-3 1 0,0 1 0,0-1 0,-1 0 0,1 0 0,0 0 0,-1 0 0,1-1 0,-1 1 0,0 0 0,0-1 0,0 0 0,0 1 0,0-1 0,-1 0 0,3-5 0,-4 6 0,1-1 0,-1 1 0,0 0 0,1 0 0,-1-1 0,0 1 0,-1 0 0,1 0 0,0 0 0,-1-1 0,1 1 0,-1 0 0,1 0 0,-1 0 0,0 0 0,0 0 0,0 0 0,0 0 0,-1 0 0,1 0 0,0 1 0,-1-1 0,1 0 0,-1 1 0,0-1 0,-2-1 0,2 2 0,0-1 0,1 1 0,-1 0 0,0 0 0,-1-1 0,1 1 0,0 1 0,0-1 0,0 0 0,0 1 0,-1-1 0,1 1 0,0-1 0,-1 1 0,1 0 0,0 0 0,0 0 0,-1 1 0,1-1 0,0 0 0,-1 1 0,1-1 0,0 1 0,0 0 0,0 0 0,0 0 0,0 0 0,0 0 0,0 0 0,0 1 0,-2 1 0,2 2-1365,5 0-5461</inkml:trace>
  <inkml:trace contextRef="#ctx0" brushRef="#br0" timeOffset="6897.31">2360 544 24575,'-3'-14'0,"2"14"0,1 0 0,0 0 0,0 0 0,-1 0 0,1 0 0,0 0 0,-1 0 0,1 0 0,0 0 0,0 0 0,-1 0 0,1 0 0,0 0 0,0 0 0,-1 0 0,1 1 0,0-1 0,0 0 0,0 0 0,-1 0 0,1 0 0,0 1 0,0-1 0,0 0 0,-1 0 0,1 0 0,0 0 0,0 1 0,0-1 0,0 1 0,-14 25 0,12-16 0,-1 1 0,2-1 0,-1 1 0,1-1 0,1 1 0,0-1 0,0 1 0,3 12 0,-3-20 0,1 0 0,0 0 0,-1 0 0,1 0 0,0-1 0,1 1 0,-1 0 0,0-1 0,1 1 0,-1-1 0,1 1 0,0-1 0,0 1 0,0-1 0,0 0 0,0 0 0,1 0 0,-1-1 0,0 1 0,1 0 0,0-1 0,-1 1 0,1-1 0,0 0 0,0 0 0,-1 0 0,1 0 0,0-1 0,0 1 0,0-1 0,0 0 0,0 0 0,5 0 0,-6 0 0,0 0 0,0 0 0,0-1 0,0 1 0,0 0 0,0-1 0,0 0 0,0 1 0,-1-1 0,1 0 0,0 0 0,0 0 0,0 0 0,-1 0 0,1-1 0,-1 1 0,1 0 0,-1-1 0,1 1 0,-1-1 0,0 0 0,0 1 0,1-1 0,-1 0 0,0 0 0,-1 0 0,2-2 0,0-3 0,0-1 0,-1 1 0,0 0 0,0 0 0,0 0 0,-1-11 0,-2 64 213,0-26-476,1 0 0,0 1 0,2-1 0,1 0 0,4 23 0,-2-31-6563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11:55.02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15 174 24575,'16'335'0,"-16"-329"0,1 0 0,0 0 0,0 0 0,0-1 0,3 7 0,-1-11 0,-1-9 0,-1-9 0,-6-20 0,-11-41 0,-4-29 0,18 93 0,1-1 0,1 1 0,0-1 0,0 1 0,2-1 0,3-17 0,-4 28 0,0 0 0,0 0 0,1 1 0,0-1 0,-1 0 0,1 1 0,0-1 0,0 1 0,1 0 0,-1 0 0,1 0 0,0 0 0,0 0 0,0 0 0,0 1 0,0-1 0,0 1 0,1 0 0,-1 0 0,1 0 0,-1 1 0,1-1 0,0 1 0,0 0 0,0 0 0,0 0 0,5 0 0,-5 0-85,0 1 0,0 0-1,0 0 1,-1 0 0,1 1-1,0-1 1,0 1 0,0 0-1,0 0 1,-1 0 0,1 1-1,0-1 1,-1 1 0,1 0-1,3 2 1,4 4-6741</inkml:trace>
  <inkml:trace contextRef="#ctx0" brushRef="#br0" timeOffset="182.53">24 338 24575,'1'0'0,"5"-3"0,6-1 0,6-4 0,3-1 0,5-4 0,1-1 0,2 0 0,-2 2 0,0-3 0,-4 1-8191</inkml:trace>
  <inkml:trace contextRef="#ctx0" brushRef="#br0" timeOffset="528.29">393 37 24575,'-17'-4'0,"16"4"0,-1 0 0,1-1 0,0 1 0,0-1 0,0 1 0,0 0 0,0 0 0,-1 0 0,1 0 0,0 0 0,0 0 0,0 0 0,0 0 0,-1 0 0,1 0 0,0 1 0,0-1 0,0 1 0,0-1 0,0 0 0,0 1 0,0 0 0,0-1 0,0 1 0,0 0 0,-1 1 0,-2 2 0,0 0 0,0 1 0,1 0 0,0 0 0,0 0 0,0 0 0,1 0 0,0 0 0,0 1 0,0-1 0,-1 7 0,-2 13 0,-3 29 0,6-42 0,1-2 0,0 0 0,1-1 0,0 1 0,0 0 0,1-1 0,0 1 0,5 18 0,-5-24 0,0-1 0,0 0 0,1 0 0,-1 0 0,1 0 0,0 0 0,0-1 0,0 1 0,0 0 0,1-1 0,-1 0 0,1 1 0,-1-1 0,1 0 0,0 0 0,0 0 0,-1-1 0,1 1 0,1-1 0,-1 0 0,0 1 0,0-1 0,0-1 0,1 1 0,-1 0 0,4-1 0,-4 0 0,-1 0 0,1 0 0,0 0 0,0 0 0,-1-1 0,1 1 0,-1-1 0,1 0 0,0 0 0,-1 0 0,0 0 0,1 0 0,-1 0 0,1-1 0,-1 1 0,0-1 0,0 0 0,0 1 0,0-1 0,0 0 0,-1 0 0,1 0 0,0-1 0,-1 1 0,0 0 0,1-1 0,-1 1 0,0-1 0,0 1 0,0-1 0,-1 1 0,1-1 0,-1 1 0,1-1 0,-1 0 0,0 0 0,0 1 0,0-1 0,0 0 0,0 1 0,-1-1 0,1 0 0,-1 1 0,0-1 0,0 1 0,0-1 0,0 1 0,0-1 0,-1 1 0,1 0 0,0 0 0,-1-1 0,-2-1 0,1 1 0,0 1 0,0-1 0,-1 1 0,1 0 0,0 0 0,-1 1 0,1-1 0,-5-1 0,6 2 0,0 1 0,1 0 0,-1-1 0,0 1 0,0 0 0,1 0 0,-1 0 0,0 0 0,0 0 0,0 0 0,1 0 0,-1 1 0,0-1 0,0 0 0,1 1 0,-1 0 0,0-1 0,1 1 0,-3 2 0,3-3-39,1 0 0,0 0 0,-1 1 0,1-1 0,0 0 0,-1 0 0,1 1 0,0-1 0,-1 0 0,1 1 0,0-1 0,0 0 0,0 1 0,-1-1 0,1 0 0,0 1 0,0-1 0,0 1 0,0-1 0,0 0 0,0 1 0,-1-1 0,1 1 0,0-1 0,0 0 0,0 1 0,0-1 0,1 1 0,-1-1 0,0 0 0,0 1 0,0-1 0,0 1 0,1 0 0,3 4-6787</inkml:trace>
  <inkml:trace contextRef="#ctx0" brushRef="#br0" timeOffset="933.42">531 2 24575,'0'0'0,"0"0"0,0 0 0,0 0 0,0 1 0,-1-1 0,1 0 0,0 0 0,0 0 0,0 0 0,0 0 0,0 0 0,0 0 0,-1 0 0,1 0 0,0 0 0,0 0 0,0 0 0,0 0 0,0 0 0,0 0 0,-1 0 0,1 0 0,0 0 0,0 0 0,0 0 0,0 0 0,0-1 0,0 1 0,0 0 0,-1 0 0,1 0 0,0 0 0,0 0 0,0 0 0,0 0 0,0 0 0,0 0 0,0 0 0,0-1 0,0 1 0,0 0 0,0 0 0,0 0 0,0 0 0,-1 0 0,1-1 0,-5 16 0,5 2 0,0 1 0,0 0 0,2 0 0,1 0 0,0 0 0,1-1 0,6 19 0,-8-32 0,0 1 0,0-1 0,0 1 0,1-1 0,-1 0 0,1 0 0,0 0 0,0 0 0,1 0 0,-1-1 0,1 1 0,-1-1 0,8 4 0,-9-5 0,0-1 0,0 0 0,0-1 0,0 1 0,0 0 0,0-1 0,0 1 0,1-1 0,-1 1 0,0-1 0,0 0 0,1 0 0,-1 0 0,0 0 0,0-1 0,0 1 0,0-1 0,1 1 0,-1-1 0,0 0 0,0 1 0,0-1 0,0 0 0,0 0 0,0-1 0,-1 1 0,1 0 0,0-1 0,0 1 0,-1-1 0,1 1 0,1-3 0,2-3 0,0-1 0,0 0 0,-1 1 0,0-1 0,0-1 0,-1 1 0,4-14 0,-2 7 0,-5 15 0,0 0 0,0 0 0,0 0 0,0 0 0,0 0 0,0 0 0,0 0 0,0 0 0,1 0 0,-1 0 0,0 0 0,0 0 0,0 0 0,0 0 0,0 0 0,0 0 0,0 0 0,0 0 0,0 0 0,0 0 0,0 0 0,1 0 0,-1 0 0,0 0 0,0 0 0,0 0 0,0 0 0,0 0 0,0 0 0,0 0 0,0 0 0,0 0 0,0 0 0,0 0 0,0 0 0,1 0 0,-1-1 0,0 1 0,0 0 0,0 0 0,0 0 0,0 0 0,0 0 0,0 0 0,0 0 0,0 0 0,0 0 0,0 0 0,0 0 0,0 0 0,0-1 0,0 1 0,2 14 0,-1 20 0,-1-2-341,2 0 0,1 0-1,10 44 1,-8-51-6485</inkml:trace>
  <inkml:trace contextRef="#ctx0" brushRef="#br0" timeOffset="1261.05">110 630 24575,'-3'0'0,"9"-2"0,14-5 0,17-8 0,18-8 0,20-6 0,20-7 0,10-3 0,4-1 0,-4 3 0,-15 8 0,-20 5 0,-26 11 0,-22 6 0,-14 8 0,-15 4 0,-7 2 0,0 0-8191</inkml:trace>
  <inkml:trace contextRef="#ctx0" brushRef="#br0" timeOffset="1928.47">419 708 24575,'-16'-5'0,"15"5"0,0-1 0,0 1 0,1 0 0,-1-1 0,0 1 0,0 0 0,0 0 0,0 0 0,1-1 0,-1 1 0,0 0 0,0 0 0,0 0 0,0 0 0,0 0 0,1 1 0,-1-1 0,0 0 0,0 0 0,0 0 0,0 1 0,1-1 0,-1 0 0,0 1 0,0-1 0,1 1 0,-1-1 0,0 1 0,1-1 0,-1 1 0,0 0 0,1-1 0,-1 1 0,1 0 0,-1-1 0,1 1 0,-1 1 0,-4 5 0,-1 1 0,2 0 0,-1 1 0,1-1 0,0 1 0,1 0 0,-4 15 0,3-8 0,1 1 0,1 0 0,-1 24 0,3-32 0,1 1 0,-1 0 0,2-1 0,0 1 0,0-1 0,0 1 0,1-1 0,1 0 0,7 15 0,-9-21 0,0 1 0,0-1 0,0 0 0,1 1 0,-1-1 0,1 0 0,0 0 0,0-1 0,0 1 0,0-1 0,1 1 0,-1-1 0,1 0 0,-1 0 0,1 0 0,0-1 0,0 0 0,0 1 0,-1-1 0,1 0 0,0-1 0,0 1 0,1-1 0,-1 0 0,7 0 0,-9 0 0,1-1 0,-1 1 0,1-1 0,-1 1 0,1-1 0,-1 0 0,0 0 0,1 0 0,-1 0 0,0 0 0,0 0 0,1-1 0,-1 1 0,0-1 0,0 1 0,-1-1 0,1 0 0,0 0 0,-1 0 0,1 0 0,-1 0 0,1 0 0,-1 0 0,0-1 0,0 1 0,0 0 0,0-1 0,0 1 0,-1-1 0,1 1 0,-1-4 0,1 2 0,-1 1 0,0-1 0,0 0 0,-1 1 0,1-1 0,-1 0 0,0 1 0,0-1 0,0 1 0,0-1 0,0 1 0,-1 0 0,0 0 0,0-1 0,0 1 0,0 0 0,0 0 0,0 1 0,-1-1 0,1 0 0,-5-2 0,-3-1 0,-8-7 0,18 13 0,0 0 0,0-1 0,-1 1 0,1-1 0,0 1 0,0-1 0,0 1 0,-1-1 0,1 1 0,0-1 0,0 1 0,0-1 0,0 1 0,0-1 0,0 1 0,0-1 0,0 0 0,0 1 0,1-1 0,-1 1 0,0-1 0,0 1 0,0-1 0,0 1 0,1 0 0,-1-1 0,0 1 0,1-1 0,-1 1 0,0-1 0,1 1 0,-1 0 0,0-1 0,1 1 0,-1 0 0,1-1 0,12-9 0,-1 0 0,2 1 0,28-15 0,-12 8 0,-30 15 0,1 0 0,0 1 0,0-1 0,0 1 0,0-1 0,0 1 0,0-1 0,0 1 0,-1-1 0,2 1 0,-1 0 0,0-1 0,0 1 0,0 0 0,0 0 0,0 0 0,0 0 0,0 0 0,0 0 0,0 0 0,0 0 0,0 0 0,0 1 0,0-1 0,0 0 0,0 1 0,0-1 0,0 1 0,0-1 0,0 1 0,0-1 0,0 1 0,0 0 0,-1-1 0,1 1 0,0 0 0,0 0 0,-1-1 0,1 1 0,0 0 0,-1 0 0,1 0 0,0 2 0,1 4 0,0 0 0,0 0 0,0 1 0,-1-1 0,0 10 0,1-1 0,1 4 0,-2-3 0,2-1 0,0 1 0,1-1 0,11 31 0,-15-46-45,0 0-1,1 0 1,-1 0-1,0 0 1,1 0-1,-1 0 1,1-1-1,0 1 1,-1 0-1,1 0 1,0 0-1,-1 0 1,1-1-1,0 1 1,0 0-1,0-1 1,0 1-1,-1-1 1,1 1-1,0-1 1,0 1-1,0-1 1,0 1-1,0-1 0,0 0 1,0 0-1,1 0 1,-1 1-1,1-1 1,4-4-6781</inkml:trace>
  <inkml:trace contextRef="#ctx0" brushRef="#br0" timeOffset="2316.92">815 648 24575,'-3'2'0,"-1"0"0,1 1 0,0 0 0,0-1 0,0 1 0,1 0 0,-4 5 0,-2 5 0,1 0 0,0 0 0,1 1 0,0 0 0,1 1 0,1-1 0,0 1 0,1 0 0,0 0 0,2 0 0,-1 26 0,2-38 0,0 0 0,1 0 0,-1 0 0,1 0 0,-1 0 0,1 0 0,0 0 0,0 0 0,1 0 0,-1-1 0,0 1 0,1 0 0,0-1 0,0 1 0,0-1 0,0 0 0,0 1 0,0-1 0,0 0 0,1 0 0,-1-1 0,1 1 0,-1 0 0,1-1 0,0 0 0,-1 1 0,5 0 0,-4-1 0,1-1 0,-1 0 0,0 1 0,1-1 0,-1 0 0,0-1 0,0 1 0,1-1 0,-1 1 0,0-1 0,0 0 0,0 0 0,0 0 0,0-1 0,0 1 0,0-1 0,0 1 0,0-1 0,-1 0 0,1 0 0,-1 0 0,1-1 0,-1 1 0,4-6 0,-5 7 0,0 0 0,0 0 0,0 0 0,0 0 0,0 0 0,0 0 0,-1 0 0,1-1 0,0 1 0,-1 0 0,1-1 0,-1 1 0,1-1 0,-1 1 0,0 0 0,0-1 0,1 1 0,-1-1 0,0 1 0,0-1 0,0 1 0,-1-1 0,1 1 0,0 0 0,0-1 0,-1 1 0,1-1 0,-1 1 0,1 0 0,-1-1 0,0 1 0,0 0 0,1 0 0,-1-1 0,0 1 0,0 0 0,-2-1 0,1 0 0,0 1 0,-1 0 0,1-1 0,-1 1 0,1 0 0,-1 1 0,1-1 0,-1 0 0,0 1 0,0-1 0,1 1 0,-1 0 0,0 0 0,1 0 0,-1 0 0,0 1 0,0-1 0,1 1 0,-5 1 0,5-2-65,0 1 0,0 0 0,0 0 0,0-1 0,0 1 0,0 1 0,1-1 0,-1 0 0,0 0 0,1 1 0,-1-1 0,1 1 0,-1-1 0,1 1 0,0 0 0,0-1 0,0 1 0,0 0 0,0 0 0,-1 3 0,0 6-6761</inkml:trace>
  <inkml:trace contextRef="#ctx0" brushRef="#br0" timeOffset="2766.86">970 630 24575,'-1'28'0,"0"-8"0,0-1 0,4 31 0,-2-46 0,-1 0 0,1 1 0,0-1 0,0 0 0,0 0 0,1 0 0,-1 0 0,1 0 0,0 0 0,0 0 0,1-1 0,-1 1 0,1-1 0,-1 1 0,1-1 0,0 0 0,6 5 0,-7-7 0,0 0 0,-1 0 0,1 0 0,0-1 0,0 1 0,-1 0 0,1-1 0,0 1 0,0-1 0,0 1 0,0-1 0,0 0 0,0 0 0,0 0 0,0 0 0,-1 0 0,1 0 0,0-1 0,0 1 0,0-1 0,0 1 0,2-2 0,0 0 0,-1 0 0,-1 0 0,1 0 0,0 0 0,0-1 0,-1 1 0,1-1 0,-1 0 0,0 1 0,0-1 0,3-6 0,-2 4 0,0-1 0,0 0 0,0-1 0,-1 1 0,0 0 0,-1-1 0,1 1 0,-1-1 0,0 1 0,-1-1 0,0 0 0,0 1 0,-1-8 0,-2 19 0,0 8 0,-1 55-455,3-1 0,8 83 0,-5-135-6371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11:59.4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63 44 24575,'0'-1'0,"0"-1"0,0 1 0,0 0 0,1-1 0,-1 1 0,0 0 0,0-1 0,1 1 0,-1 0 0,1 0 0,-1 0 0,1-1 0,-1 1 0,2-2 0,-1 3 0,-1-1 0,1 1 0,-1-1 0,1 1 0,-1 0 0,1-1 0,-1 1 0,1 0 0,0 0 0,-1-1 0,1 1 0,-1 0 0,1 0 0,0 0 0,-1 0 0,1 0 0,0 0 0,-1 0 0,1 0 0,-1 0 0,2 0 0,0 0 0,0 1 0,-1 0 0,1-1 0,0 1 0,-1 0 0,1 0 0,-1 0 0,1 0 0,-1 0 0,1 1 0,-1-1 0,0 0 0,0 1 0,0-1 0,0 0 0,0 1 0,0-1 0,0 1 0,1 2 0,1 4 0,-1-1 0,0 1 0,0-1 0,-1 1 0,1 0 0,-2-1 0,1 1 0,-1 0 0,-2 11 0,2-16 0,0 0 0,-1 0 0,1-1 0,-1 1 0,0 0 0,1-1 0,-1 1 0,0-1 0,-1 1 0,1-1 0,0 0 0,-1 1 0,0-1 0,1 0 0,-1 0 0,0 0 0,0 0 0,0 0 0,0 0 0,0-1 0,-1 1 0,1-1 0,-1 1 0,1-1 0,0 0 0,-1 0 0,0 0 0,1 0 0,-5 0 0,5-1 0,0 1 0,0-1 0,0 0 0,0 0 0,0-1 0,0 1 0,1 0 0,-1 0 0,0-1 0,0 1 0,0-1 0,1 0 0,-1 0 0,0 1 0,1-1 0,-1 0 0,1 0 0,-1 0 0,-1-2 0,1 0 0,-1 1 0,1-1 0,0 0 0,0 0 0,0-1 0,0 1 0,0 0 0,1-1 0,-2-3 0,0-2 0,1 0 0,0 0 0,1 0 0,0 0 0,0 0 0,1 0 0,1-10 0,-1 16 0,1 0 0,-1 0 0,1 0 0,0 0 0,0 0 0,1 0 0,-1 0 0,0 0 0,1 1 0,0-1 0,-1 1 0,1-1 0,0 1 0,0 0 0,1 0 0,-1-1 0,0 2 0,1-1 0,-1 0 0,1 0 0,0 1 0,-1-1 0,1 1 0,0 0 0,0 0 0,0 0 0,0 0 0,0 1 0,0-1 0,0 1 0,6-1 0,-3 1 0,-1 0 0,1 0 0,0 0 0,0 1 0,-1 0 0,1 0 0,-1 1 0,1-1 0,-1 1 0,1 0 0,-1 0 0,0 1 0,0 0 0,0 0 0,0 0 0,6 6 0,-8-6 0,0 1 0,1 0 0,-2 1 0,1-1 0,0 0 0,-1 1 0,0 0 0,0-1 0,0 1 0,-1 0 0,0 0 0,1 0 0,-2 0 0,1 0 0,-1 0 0,1 0 0,-1 0 0,-1 0 0,1 0 0,-1 0 0,0 0 0,0 0 0,-3 7 0,2-6 0,0 0 0,0 0 0,-1 0 0,0-1 0,0 1 0,-1-1 0,0 0 0,0 0 0,0 0 0,0 0 0,-1-1 0,1 0 0,-1 0 0,0 0 0,-1 0 0,1-1 0,-1 0 0,-7 4 0,11-7 0,0 1 0,0 0 0,0-1 0,0 0 0,-1 1 0,1-1 0,0 0 0,0 0 0,0 0 0,0 0 0,0 0 0,0-1 0,0 1 0,0-1 0,0 1 0,0-1 0,0 0 0,0 1 0,0-1 0,-2-2 0,1 1 0,0-1 0,0 1 0,0-1 0,0 0 0,1 0 0,-1 0 0,1 0 0,0 0 0,0-1 0,-2-5 0,1 3 0,0-1 0,1 1 0,0-1 0,0 0 0,1 0 0,0 0 0,0 0 0,0 0 0,1 0 0,0 0 0,2-13 0,-2 19 0,0 0 0,0-1 0,1 1 0,-1 0 0,0 0 0,1-1 0,-1 1 0,1 0 0,-1 0 0,1 0 0,0 0 0,-1 0 0,1 0 0,0 0 0,0 0 0,0 0 0,-1 0 0,1 0 0,0 1 0,0-1 0,0 0 0,1 1 0,-1-1 0,0 0 0,0 1 0,0-1 0,0 1 0,0 0 0,1-1 0,-1 1 0,0 0 0,0 0 0,1 0 0,-1 0 0,0 0 0,0 0 0,1 0 0,-1 0 0,0 1 0,0-1 0,1 0 0,-1 1 0,0-1 0,2 2 0,1-1 0,-1 1 0,1 1 0,0-1 0,-1 1 0,0-1 0,0 1 0,0 0 0,0 0 0,0 0 0,0 0 0,-1 1 0,3 4 0,-1-1 0,-2 0 0,1 0 0,-1 0 0,0 0 0,1 11 0,-2-16 0,-1 1 0,0-1 0,0 0 0,1 0 0,-1 1 0,-1-1 0,1 0 0,0 1 0,0-1 0,-1 0 0,0 0 0,1 0 0,-1 1 0,0-1 0,0 0 0,0 0 0,0 0 0,0 0 0,0 0 0,-1-1 0,-1 3 0,3-4 0,-1 1 0,1-1 0,-1 0 0,1 0 0,0 0 0,-1 1 0,1-1 0,-1 0 0,1 0 0,0 0 0,-1 0 0,1 0 0,-1 0 0,1 0 0,-1 0 0,1 0 0,-1 0 0,1 0 0,0 0 0,-1 0 0,1 0 0,-1 0 0,1 0 0,-1 0 0,1 0 0,0-1 0,-1 1 0,1 0 0,0 0 0,-1-1 0,0 1 0,-10-17 0,-2-20 0,13 37 0,-1-2 10,1 1-1,-1-1 1,1 1-1,0-1 1,0 1-1,-1-1 1,1 1 0,0-1-1,0 1 1,1-1-1,-1 1 1,0-1-1,0 1 1,1-1-1,0-1 1,-1 2-2,1 1 0,-1-1 0,1 1 0,-1-1 0,1 1 0,-1-1 0,1 1 0,-1-1 0,1 1 0,0 0 0,-1-1 0,1 1 0,0 0 0,-1 0 0,1-1 0,0 1 0,-1 0 0,1 0 0,0 0 0,-1 0 0,1 0 0,1 0 0,4 1-205,0 0 0,1 0 0,-1 1 0,-1 0 0,11 4 0,-10-4-323,17 8-6306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12:00.03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117 163 24575,'0'0'0,"0"-3"0,0 0 0,0 0 0,0 0 0,0 0 0,-1 0 0,1 0 0,-2-3 0,2 6 0,-1-1 0,1 1 0,0-1 0,-1 1 0,1-1 0,-1 1 0,1-1 0,-1 1 0,1 0 0,-1-1 0,1 1 0,-1 0 0,1-1 0,-1 1 0,1 0 0,-1 0 0,0 0 0,1-1 0,-1 1 0,1 0 0,-1 0 0,0 0 0,1 0 0,-1 0 0,0 0 0,1 0 0,-1 0 0,1 1 0,-1-1 0,0 0 0,1 0 0,-1 0 0,1 1 0,-1-1 0,1 0 0,-1 0 0,1 1 0,-1-1 0,1 1 0,-1-1 0,0 1 0,-4 2 0,0 1 0,0 0 0,0 0 0,1 1 0,0-1 0,0 1 0,0 0 0,0 0 0,1 0 0,-1 0 0,-2 9 0,-2 1 0,2 1 0,0 0 0,-3 18 0,6-25 0,1 0 0,1 0 0,0 0 0,0 1 0,0-1 0,1 0 0,1 0 0,0 1 0,4 16 0,-4-21 0,1 0 0,0-1 0,0 1 0,0-1 0,0 0 0,1 0 0,0 1 0,0-2 0,0 1 0,0 0 0,1-1 0,-1 1 0,1-1 0,0 0 0,0 0 0,0-1 0,1 1 0,-1-1 0,0 0 0,7 2 0,-2 0-76,0-1 1,1-1-1,-1 1 0,1-2 0,0 1 0,-1-1 0,1-1 0,0 0 1,-1 0-1,1-1 0,0 0 0,-1-1 0,1 0 0,-1 0 1,1-1-1,-1 0 0,9-5 0,6-8-6750</inkml:trace>
  <inkml:trace contextRef="#ctx0" brushRef="#br0" timeOffset="388.94">392 86 24575,'0'0'0,"0"-1"0,0 0 0,-1 1 0,1-1 0,0 1 0,-1-1 0,1 1 0,-1-1 0,1 1 0,0-1 0,-1 1 0,1-1 0,-1 1 0,0-1 0,1 1 0,-1 0 0,1-1 0,-1 1 0,1 0 0,-1 0 0,0-1 0,1 1 0,-1 0 0,0 0 0,1 0 0,-1 0 0,0 0 0,1 0 0,-2 0 0,1 0 0,-1 1 0,0-1 0,1 1 0,-1 0 0,0 0 0,1-1 0,0 1 0,-1 0 0,1 0 0,-1 0 0,0 2 0,-3 2 0,0 0 0,1 1 0,-1-1 0,-5 12 0,4-3 0,0 1 0,1-1 0,1 1 0,1 0 0,0 0 0,0 0 0,2 1 0,0-1 0,1 0 0,2 25 0,-1-36 0,0 0 0,0 0 0,0 0 0,1 0 0,-1 0 0,1 0 0,0 0 0,0 0 0,0-1 0,1 1 0,-1-1 0,1 0 0,0 0 0,0 0 0,0 0 0,0 0 0,0 0 0,1-1 0,-1 0 0,1 1 0,0-1 0,0-1 0,0 1 0,5 1 0,-6-2 0,0 0 0,0-1 0,-1 1 0,1-1 0,0 0 0,0 0 0,0 0 0,0 0 0,-1-1 0,1 1 0,0-1 0,0 1 0,-1-1 0,1 0 0,0 0 0,-1-1 0,1 1 0,-1 0 0,1-1 0,-1 1 0,0-1 0,1 0 0,-1 0 0,0 0 0,0 0 0,-1 0 0,1 0 0,0 0 0,-1-1 0,1 1 0,-1-1 0,0 1 0,1-1 0,-1 0 0,-1 1 0,2-5 0,-3 9-21,0 0 0,0 0 0,0 0 0,0 0 0,0-1 0,-1 1 0,1 0 0,0-1 0,-1 0 0,1 1 0,-1-1 0,0 0 0,1 1 0,-1-1 0,0 0 0,0 0 0,0 0 0,0-1 0,0 1 0,0 0 0,0-1 0,0 0 0,0 1 0,0-1 0,0 0 0,0 0 0,0 0 0,0 0 0,0 0 0,0 0 0,0-1 0,0 1 0,0-1 0,0 0 0,0 1 0,0-1 0,0 0 0,0 0 0,0 0 0,1 0 0,-1 0 0,0-1 0,1 1 0,-1 0 0,1-1 0,-1 0 0,1 1 0,0-1 0,0 0 0,-1 1 0,1-1 0,0 0 0,1 0 0,-1 0 0,0 0 0,1 0 0,-1 0 0,1 0 0,-1 0 0,1 0 0,0 0 0,0 0 0,0 0 0,0-4 0,-2 18-6805</inkml:trace>
  <inkml:trace contextRef="#ctx0" brushRef="#br0" timeOffset="719.83">599 120 24575,'0'1'0,"0"-1"0,-1 0 0,1 0 0,0 0 0,0 0 0,0 1 0,0-1 0,0 0 0,-1 0 0,1 0 0,0 0 0,0 0 0,0 0 0,-1 1 0,1-1 0,0 0 0,0 0 0,0 0 0,-1 0 0,1 0 0,0 0 0,0 0 0,0 0 0,-1 0 0,1 0 0,0 0 0,0 0 0,0 0 0,-1 0 0,1 0 0,0 0 0,0 0 0,0 0 0,-1-1 0,1 1 0,0 0 0,0 0 0,0 0 0,-1 0 0,1 0 0,0 0 0,0-1 0,0 1 0,0 0 0,0 0 0,-1 0 0,1 0 0,0-1 0,0 1 0,0 0 0,0 0 0,0 0 0,0-1 0,0 1 0,0 0 0,0 0 0,0 0 0,0-1 0,0 1 0,0 0 0,0 0 0,0 0 0,0-1 0,0 1 0,0 0 0,-11 14 0,8-9 0,1-1 0,0 1 0,0 0 0,0 0 0,1 0 0,0 0 0,0 0 0,0 0 0,0 0 0,1 1 0,0 5 0,0-9 0,1 1 0,-1-1 0,1 1 0,-1 0 0,1-1 0,0 0 0,0 1 0,0-1 0,0 1 0,0-1 0,1 0 0,-1 0 0,1 0 0,0 0 0,-1 0 0,1 0 0,0 0 0,0-1 0,0 1 0,0 0 0,0-1 0,1 0 0,-1 1 0,4 0 0,30 7 0,-25-7 0,1 1 0,-1 0 0,15 6 0,-24-8 0,-1 0 0,1 0 0,0-1 0,-1 1 0,1 0 0,-1 0 0,1 0 0,-1 0 0,0 1 0,1-1 0,-1 0 0,0 1 0,0-1 0,0 1 0,0-1 0,0 1 0,0-1 0,0 1 0,0 0 0,-1-1 0,1 1 0,-1 0 0,1 0 0,-1-1 0,0 1 0,0 3 0,0-2 14,-1-1 0,1 1-1,-1-1 1,0 0 0,0 0-1,0 1 1,0-1-1,0 0 1,-1 0 0,1 0-1,-1 0 1,1-1 0,-1 1-1,0 0 1,1-1 0,-1 1-1,0-1 1,0 1 0,0-1-1,-1 0 1,1 0 0,0 0-1,0 0 1,-3 1 0,2-1-104,0 0 0,0 0 0,0 0 0,0-1 0,0 1 1,0-1-1,0 1 0,0-1 0,0 0 0,-1 0 1,1-1-1,0 1 0,0-1 0,0 1 0,0-1 0,0 0 1,1 0-1,-6-2 0,-2-6-6736</inkml:trace>
  <inkml:trace contextRef="#ctx0" brushRef="#br0" timeOffset="935.57">565 155 24575,'5'-3'0,"6"-1"0,3-7 0,4-4 0,5-4 0,2 0 0,2-2 0,2 3 0,1 0 0,-2 3 0,-6 7 0,-10 5 0,-6 7 0,-8 3 0,-3 6 0,-5 4 0,-4-1 0,0-3-8191</inkml:trace>
  <inkml:trace contextRef="#ctx0" brushRef="#br0" timeOffset="1669.16">298 319 24575,'0'-3'0,"3"-4"0,4-1 0,2 1 0,2 2 0,3 2 0,2 1 0,3 2 0,2 8 0,-2 6 0,-6 4 0,-3 2 0,-5-3-8191</inkml:trace>
  <inkml:trace contextRef="#ctx0" brushRef="#br0" timeOffset="2404.15">91 671 24575,'-23'11'0,"20"-4"0,17-4 0,-1-3 0,0-2 0,0 0 0,0 0 0,0-1 0,0-1 0,-1 0 0,17-8 0,-12 5 0,234-96 0,122-45 0,-332 135 0,13-5 0,67-14 0,-90 31 342,-30 1-382,0 0 0,-1 0 1,1 0-1,-1 0 0,1 0 0,0 0 1,-1 0-1,1 1 0,-1-1 1,1 0-1,-1 0 0,1 1 1,0-1-1,-1 0 0,1 1 1,-1-1-1,0 1 0,1-1 0,-1 0 1,1 1-1,-1-1 0,0 1 1,1-1-1,-1 1 0,0-1 1,1 1-1,-1 0 0,0-1 1,0 1-1,0-1 0,1 1 1,-1 0-1,0-1 0,0 1 0,0-1 1,0 1-1,0 0 0,0-1 1,0 1-1,0-1 0,-1 1 1,1 0-1,-5 12-6786</inkml:trace>
  <inkml:trace contextRef="#ctx0" brushRef="#br0" timeOffset="3185.37">513 637 24575,'0'0'0,"0"-1"0,0 1 0,0-1 0,0 1 0,0-1 0,0 1 0,0-1 0,0 1 0,0 0 0,0-1 0,-1 1 0,1-1 0,0 1 0,0-1 0,0 1 0,-1 0 0,1-1 0,0 1 0,0 0 0,-1-1 0,1 1 0,0 0 0,-1-1 0,1 1 0,0 0 0,-1 0 0,1-1 0,0 1 0,-1 0 0,0-1 0,-15 4 0,12-1 0,0 0 0,0 0 0,0 0 0,1 0 0,-7 7 0,3-1 0,0 1 0,1 0 0,0 1 0,0-1 0,1 1 0,1 0 0,-1 1 0,2-1 0,-4 16 0,2-6 0,1 0 0,2 1 0,0-1 0,1 26 0,1-42 0,0 0 0,1 0 0,-1 0 0,1-1 0,0 1 0,0 0 0,0 0 0,1-1 0,0 1 0,-1 0 0,1-1 0,0 0 0,1 1 0,-1-1 0,1 0 0,-1 0 0,1 0 0,4 3 0,-2-3 0,0 1 0,0-1 0,0-1 0,0 1 0,1-1 0,-1 0 0,1 0 0,-1 0 0,1-1 0,0 0 0,10 1 0,-10-1 0,1-1 0,0 0 0,-1-1 0,1 0 0,0 0 0,-1 0 0,1-1 0,-1 0 0,0 0 0,9-4 0,-12 4 0,1 0 0,0 0 0,-1-1 0,1 1 0,-1-1 0,0 0 0,0 0 0,0 0 0,0 0 0,-1 0 0,1-1 0,-1 1 0,0-1 0,0 0 0,0 0 0,2-6 0,-3 7 0,0 1 0,-1-1 0,1 1 0,-1-1 0,0 1 0,0-1 0,0 1 0,0-1 0,0 0 0,0 1 0,-1-1 0,1 1 0,-1-1 0,0 1 0,1-1 0,-1 1 0,0 0 0,-1-1 0,1 1 0,0 0 0,-1 0 0,-2-3 0,-2-2 0,-1 1 0,0 0 0,0 1 0,0 0 0,-9-5 0,-9-6 0,25 16 0,-1-1 0,1 1 0,-1 0 0,1-1 0,0 1 0,-1-1 0,1 1 0,0-1 0,-1 1 0,1-1 0,0 1 0,0-1 0,0 1 0,-1-1 0,1 1 0,0-1 0,0 1 0,0-1 0,0 1 0,0-1 0,0 0 0,0 1 0,0-1 0,0 1 0,0-1 0,0 1 0,0-1 0,0 0 0,1 1 0,-1-1 0,0 1 0,0-1 0,1 1 0,-1-1 0,0 1 0,1-1 0,-1 1 0,0 0 0,1-1 0,-1 1 0,1-1 0,-1 1 0,0 0 0,1-1 0,-1 1 0,2-1 0,26-16 0,-26 16 0,5-3 0,1-1 0,1 1 0,-1 0 0,1 0 0,0 1 0,9-2 0,-16 4 0,-1 1 0,1 0 0,0 0 0,-1 0 0,1-1 0,0 1 0,-1 1 0,1-1 0,-1 0 0,1 0 0,0 1 0,-1-1 0,1 1 0,-1-1 0,1 1 0,-1-1 0,1 1 0,-1 0 0,1 0 0,-1 0 0,0 0 0,0 0 0,1 0 0,-1 0 0,0 0 0,0 1 0,0-1 0,0 0 0,0 1 0,-1-1 0,1 1 0,0-1 0,0 1 0,-1-1 0,1 1 0,-1 1 0,3 10 0,-1-1 0,-1 1 0,0 0 0,0 0 0,-3 23 0,0-25 0,1-1 0,1 1 0,0 0 0,1-1 0,0 1 0,0-1 0,1 1 0,0-1 0,5 12 0,4-8 342,-11-13-391,1-1 0,-1 0 0,1 0 1,-1 1-1,0-1 0,1 0 0,-1 0 0,1 0 1,-1 0-1,1 1 0,-1-1 0,0 0 1,1 0-1,-1 0 0,1 0 0,-1 0 1,1 0-1,-1 0 0,1 0 0,-1-1 1,1 1-1,-1 0 0,0 0 0,1 0 1,-1 0-1,1-1 0,-1 1 0,0 0 1,1 0-1,-1-1 0,1 1 0,-1 0 0,0-1 1,1 1-1,5-9-6777</inkml:trace>
  <inkml:trace contextRef="#ctx0" brushRef="#br0" timeOffset="3569.87">943 585 24575,'-4'5'0,"0"0"0,0 1 0,1-1 0,0 1 0,0-1 0,0 1 0,1 0 0,-1 0 0,1 0 0,1 0 0,-2 7 0,-1 10 0,0 37 0,3-54 0,1 1 0,0-1 0,1 0 0,-1 0 0,1 0 0,1 0 0,-1 0 0,1 0 0,0 0 0,3 6 0,-4-10 0,0 0 0,0 0 0,1 0 0,-1 0 0,1-1 0,0 1 0,-1 0 0,1 0 0,0-1 0,0 0 0,0 1 0,0-1 0,0 0 0,0 0 0,1 0 0,-1 0 0,0 0 0,1 0 0,-1-1 0,0 1 0,1-1 0,-1 0 0,0 0 0,1 0 0,-1 0 0,1 0 0,-1 0 0,4-1 0,-3 0 0,0 1 0,-1-1 0,1 0 0,-1 0 0,0 0 0,1-1 0,-1 1 0,0 0 0,1-1 0,-1 1 0,0-1 0,0 0 0,0 0 0,0 0 0,-1 0 0,1 0 0,-1 0 0,1 0 0,-1-1 0,0 1 0,1-1 0,-1 1 0,0-1 0,-1 1 0,1-1 0,0 1 0,-1-1 0,1-5 0,-1 7 0,0-1 0,0 0 0,0 0 0,0 0 0,0 0 0,0 0 0,-1 0 0,1 0 0,-1 0 0,1 0 0,-1 0 0,0 1 0,0-1 0,1 0 0,-1 0 0,-1 1 0,1-1 0,0 1 0,0-1 0,0 1 0,-1-1 0,1 1 0,-1 0 0,1 0 0,-1 0 0,0-1 0,1 2 0,-1-1 0,0 0 0,0 0 0,1 0 0,-1 1 0,0-1 0,0 1 0,0 0 0,0-1 0,0 1 0,-3 0 0,0 1 31,1-1 0,-1 1 0,1 0 0,0 0 0,0 0 0,-1 0 0,1 1 0,0 0 1,0 0-1,-4 3 0,7-5-82,-1 1 1,1 0 0,0 0 0,0 0 0,-1 0-1,1-1 1,0 1 0,0 1 0,0-1 0,0 0-1,0 0 1,1 0 0,-1 0 0,0 1 0,1-1-1,-1 0 1,0 1 0,1-1 0,-1 1 0,1-1 0,0 0-1,0 1 1,-1-1 0,1 1 0,0-1 0,0 1-1,0-1 1,1 1 0,-1-1 0,0 1 0,0-1-1,1 0 1,0 3 0,4 4-6776</inkml:trace>
  <inkml:trace contextRef="#ctx0" brushRef="#br0" timeOffset="3898.64">1141 551 24575,'0'0'0,"0"0"0,0-1 0,0 1 0,0 0 0,0 0 0,0 0 0,0 0 0,0 0 0,0 0 0,0 0 0,-1 0 0,1 0 0,0-1 0,0 1 0,0 0 0,0 0 0,0 0 0,0 0 0,0 0 0,0 0 0,0 0 0,-1 0 0,1 0 0,0 0 0,0 0 0,0 0 0,0 0 0,0 0 0,0 0 0,0 0 0,-1 0 0,1 0 0,0 0 0,0 0 0,0 0 0,0 0 0,0 0 0,0 0 0,0 0 0,-1 0 0,1 0 0,0 0 0,0 0 0,0 0 0,0 1 0,0-1 0,0 0 0,0 0 0,0 0 0,0 0 0,0 0 0,0 0 0,-1 0 0,1 0 0,0 0 0,0 1 0,-5 9 0,-3 14 0,7-18 0,-1-1 0,2 1 0,-1 0 0,1 0 0,-1 0 0,2-1 0,0 9 0,-1-12 0,1 1 0,0-1 0,-1 0 0,1 0 0,0 0 0,0 0 0,0 0 0,1-1 0,-1 1 0,0 0 0,1 0 0,-1-1 0,1 1 0,-1-1 0,1 1 0,0-1 0,0 0 0,0 1 0,-1-1 0,1 0 0,0 0 0,4 1 0,25 6 0,-19-6 0,0 1 0,18 7 0,-28-9 0,0-1 0,0 1 0,0 0 0,0 0 0,0 1 0,0-1 0,0 0 0,-1 1 0,1-1 0,0 1 0,-1-1 0,0 1 0,1 0 0,-1-1 0,0 1 0,0 0 0,0 0 0,0 0 0,0 0 0,1 3 0,-2-3 12,0 0 0,0 0 0,0 0-1,0 0 1,0 0 0,0 0 0,-1 0-1,1 0 1,-1 0 0,1 0 0,-1 0-1,0 0 1,0 0 0,0 0 0,0 0 0,0-1-1,0 1 1,0 0 0,0-1 0,-1 1-1,1-1 1,-1 1 0,1-1 0,-1 0-1,0 1 1,0-1 0,1 0 0,-5 1 0,2 0-168,-1 1 1,1-2 0,-1 1 0,0 0 0,0-1 0,1 0 0,-1 0-1,0-1 1,0 1 0,-9-2 0,-2-1-6671</inkml:trace>
  <inkml:trace contextRef="#ctx0" brushRef="#br0" timeOffset="4150.79">1124 577 24575,'0'-5'0,"4"-4"0,5-3 0,6-3 0,6-3 0,2-3 0,5-1 0,-1 3 0,-1 0 0,-6 4 0,-7 4 0,-6 8 0,-7 3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12:05.7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147 1200 24575,'0'-4'0,"0"1"0,0-1 0,0 1 0,-1 0 0,1-1 0,-1 1 0,0 0 0,0 0 0,0 0 0,0-1 0,-1 1 0,1 0 0,-1 1 0,-2-5 0,2 6 0,1 0 0,0 0 0,-1 0 0,1 0 0,-1 0 0,1 0 0,-1 1 0,1-1 0,-1 0 0,1 1 0,-1-1 0,0 1 0,1 0 0,-1 0 0,0-1 0,1 1 0,-1 0 0,0 0 0,0 0 0,1 1 0,-1-1 0,0 0 0,1 1 0,-1-1 0,1 1 0,-1-1 0,0 1 0,1 0 0,-1 0 0,-1 1 0,-3 2 0,1 0 0,-1 0 0,1 0 0,0 1 0,0-1 0,1 1 0,0 0 0,-1 1 0,2-1 0,-1 1 0,1 0 0,-1 0 0,2 0 0,-4 8 0,3-7 0,1 1 0,0-1 0,0 1 0,0 0 0,1 0 0,0 0 0,1 0 0,0 0 0,0 0 0,0 0 0,4 14 0,-3-19 13,1 1 1,-1-1-1,1 1 0,0-1 0,0 0 0,1 1 0,-1-1 0,1 0 0,-1 0 1,1-1-1,0 1 0,0-1 0,0 1 0,0-1 0,1 0 0,-1 0 0,1 0 1,-1-1-1,1 1 0,0-1 0,-1 0 0,1 0 0,0 0 0,0 0 0,4-1 1,-2 1-115,-1 0 1,1-1-1,0 0 1,-1 0 0,1 0-1,0-1 1,-1 0-1,1 0 1,-1-1 0,1 1-1,-1-1 1,1 0 0,-1-1-1,0 1 1,0-1-1,8-5 1,-8 3-6726</inkml:trace>
  <inkml:trace contextRef="#ctx0" brushRef="#br0" timeOffset="759.8">70 1217 24575,'-2'-1'0,"1"1"0,0 0 0,-1 0 0,1-1 0,-1 1 0,1-1 0,0 1 0,0-1 0,-1 0 0,-1-1 0,2 1 0,1 1 0,-1-1 0,1 1 0,-1-1 0,1 1 0,-1-1 0,0 1 0,1 0 0,-1-1 0,0 1 0,1 0 0,-1-1 0,0 1 0,1 0 0,-1 0 0,0 0 0,1 0 0,-1 0 0,0 0 0,0 0 0,1 0 0,-1 0 0,0 0 0,0 0 0,1 0 0,-1 0 0,0 1 0,1-1 0,-1 0 0,0 0 0,1 1 0,-1-1 0,1 1 0,-1-1 0,0 0 0,1 1 0,-1-1 0,1 1 0,-1-1 0,1 1 0,-1 0 0,1-1 0,0 1 0,-1-1 0,1 1 0,0 0 0,-1-1 0,1 1 0,0 1 0,-3 3 0,2 0 0,-1 1 0,0-1 0,1 0 0,0 1 0,0-1 0,1 0 0,-1 10 0,5 48 0,-2-43 0,1 6 0,6 65 0,-7-78 0,1 0 0,0-1 0,0 1 0,10 21 0,-13-34 0,0 0 0,0 0 0,0 0 0,0 0 0,0 0 0,0 0 0,0 0 0,0 1 0,0-1 0,0 0 0,0 0 0,0 0 0,0 0 0,0 0 0,1 0 0,-1 0 0,0 0 0,0 1 0,0-1 0,0 0 0,0 0 0,0 0 0,0 0 0,0 0 0,0 0 0,0 0 0,0 0 0,0 0 0,1 0 0,-1 0 0,0 0 0,0 0 0,0 0 0,0 1 0,0-1 0,0 0 0,0 0 0,0 0 0,1 0 0,-1 0 0,0 0 0,0 0 0,0 0 0,0 0 0,0 0 0,0 0 0,0 0 0,0-1 0,1 1 0,-1 0 0,0 0 0,0 0 0,0 0 0,0 0 0,0 0 0,2-8 0,-1-13 0,-14-76 0,8 67 0,1 1 0,2-1 0,0 0 0,5-50 0,-3 77 0,0 1 0,1-1 0,-1 0 0,1 1 0,0-1 0,-1 1 0,1-1 0,0 1 0,0 0 0,1-1 0,-1 1 0,1 0 0,-1 0 0,1-1 0,-1 1 0,1 1 0,0-1 0,0 0 0,0 0 0,4-2 0,-3 3 0,0 0 0,0 0 0,0 1 0,0-1 0,0 1 0,0 0 0,0 0 0,0 0 0,0 0 0,1 0 0,-1 0 0,0 1 0,0 0 0,0-1 0,0 1 0,0 0 0,2 2 0,5 1 0,-1 1 0,0-1 0,0 2 0,-1-1 0,0 1 0,0 1 0,0-1 0,0 1 0,-1 1 0,-1-1 0,1 1 0,-1 0 0,9 17 0,-12-20 0,-1-1 0,0 1 0,0 0 0,0 0 0,-1 0 0,1 0 0,-1 0 0,-1 0 0,1 0 0,-1 0 0,1 0 0,-2 0 0,1 0 0,0 0 0,-1 0 0,0 0 0,0 0 0,-1 0 0,1 0 0,-1 0 0,0-1 0,0 1 0,-1 0 0,1-1 0,-1 0 0,0 0 0,0 0 0,-7 7 0,0-2 0,-1 0 0,1 0 0,-1-2 0,-20 12 0,23-15 0,1-1 0,-1 1 0,1-1 0,-1-1 0,0 0 0,0 0 0,0 0 0,-15 0 0,22-2 10,0 0 0,0 0 0,0 0-1,0 0 1,0 0 0,0 0 0,0 0-1,0 0 1,0 0 0,0-1 0,0 1-1,0 0 1,0-1 0,1 1 0,-1-1-1,0 1 1,0-1 0,0 1 0,1-1-1,-1 1 1,0-1 0,1 0 0,-1 0-1,0 1 1,1-1 0,-1 0 0,1 0-1,-1 0 1,1 0 0,-1 1 0,1-1-1,0 0 1,0 0 0,-1-2 0,1-1-224,0 0 1,0 1 0,0-1-1,1 0 1,0 1 0,-1-1-1,3-6 1,6-15-6613</inkml:trace>
  <inkml:trace contextRef="#ctx0" brushRef="#br0" timeOffset="1158.21">440 1105 24575,'-1'0'0,"1"-1"0,0 1 0,0 0 0,0-1 0,0 1 0,0 0 0,0 0 0,0-1 0,-1 1 0,1 0 0,0 0 0,0-1 0,0 1 0,-1 0 0,1 0 0,0 0 0,0-1 0,0 1 0,-1 0 0,1 0 0,0 0 0,-1 0 0,1 0 0,0-1 0,0 1 0,-1 0 0,1 0 0,0 0 0,-1 0 0,1 0 0,0 0 0,-1 0 0,1 0 0,-1 0 0,-7 9 0,-3 18 0,6-9 0,1 0 0,0 1 0,2-1 0,0 1 0,1 0 0,1 0 0,1 0 0,6 34 0,-6-50 0,0-1 0,0 1 0,0 0 0,0-1 0,0 1 0,1-1 0,-1 1 0,1-1 0,0 0 0,0 0 0,0 0 0,0 0 0,0 0 0,0 0 0,0 0 0,1-1 0,-1 1 0,1-1 0,-1 0 0,1 1 0,-1-1 0,1 0 0,0-1 0,0 1 0,-1 0 0,1-1 0,0 0 0,0 1 0,0-1 0,0 0 0,-1 0 0,1-1 0,0 1 0,0-1 0,0 1 0,-1-1 0,5-1 0,-4 1 0,1-1 0,0 1 0,-1 0 0,1-1 0,-1 0 0,1 0 0,-1 0 0,0 0 0,1 0 0,-1-1 0,0 1 0,-1-1 0,1 0 0,0 0 0,-1 0 0,0 0 0,0 0 0,0-1 0,0 1 0,0-1 0,-1 1 0,1-1 0,-1 0 0,0 0 0,0 1 0,0-1 0,0-5 0,-1 8 0,0-1 0,0 0 0,0 1 0,-1-1 0,1 1 0,0-1 0,-1 1 0,1-1 0,-1 0 0,1 1 0,-1 0 0,0-1 0,0 1 0,0-1 0,0 1 0,0 0 0,0-1 0,0 1 0,0 0 0,0 0 0,0 0 0,-1 0 0,1 0 0,0 0 0,-1 0 0,1 1 0,-1-1 0,1 0 0,-1 1 0,1-1 0,-1 1 0,1 0 0,-1-1 0,0 1 0,1 0 0,-1 0 0,1 0 0,-1 0 0,0 0 0,1 0 0,-1 1 0,1-1 0,-4 2 0,2-2 0,1 1 0,-1-1 0,0 1 0,0 0 0,1 0 0,-1 0 0,1 1 0,-1-1 0,1 1 0,-1-1 0,1 1 0,0 0 0,0 0 0,0 0 0,0 0 0,0 0 0,0 0 0,1 1 0,-1-1 0,1 0 0,0 1 0,-1 0 0,1-1 0,-1 5 0,2-6-49,0-1 1,0 1-1,0 0 0,0-1 0,0 1 1,0-1-1,1 1 0,-1 0 0,0-1 1,0 1-1,1-1 0,-1 1 0,0 0 1,1-1-1,-1 1 0,0-1 0,1 1 1,-1-1-1,1 1 0,-1-1 0,1 0 1,-1 1-1,1-1 0,-1 1 0,1-1 0,-1 0 1,2 1-1,8 3-6777</inkml:trace>
  <inkml:trace contextRef="#ctx0" brushRef="#br0" timeOffset="1454.55">715 1062 24575,'-1'0'0,"0"0"0,0 0 0,-1 0 0,1 0 0,0 0 0,0 0 0,-1 0 0,1 0 0,0 0 0,0 1 0,0-1 0,0 0 0,-1 1 0,1-1 0,0 1 0,0 0 0,0-1 0,0 1 0,0 0 0,0-1 0,0 1 0,0 0 0,1 0 0,-1 0 0,0 0 0,0 0 0,1 0 0,-1 0 0,1 0 0,-1 0 0,1 0 0,-1 1 0,1-1 0,0 0 0,-1 0 0,1 0 0,0 0 0,0 1 0,0-1 0,0 0 0,0 0 0,0 1 0,0-1 0,0 0 0,1 2 0,0 2 0,0-1 0,1 0 0,-1 0 0,1 0 0,0 0 0,0-1 0,0 1 0,0 0 0,1-1 0,0 1 0,-1-1 0,5 4 0,26 16 0,-20-15 0,0 1 0,14 13 0,-24-19 0,-1-1 0,1 0 0,-1 1 0,0 0 0,0-1 0,0 1 0,0 0 0,-1 0 0,1 0 0,-1 0 0,0 1 0,1-1 0,-2 0 0,1 0 0,1 6 0,-2-7 13,0-1 1,0 1-1,0 0 0,-1-1 0,1 1 0,0-1 0,-1 1 0,1-1 0,-1 1 1,1-1-1,-1 1 0,0-1 0,0 1 0,0-1 0,1 0 0,-1 1 0,0-1 1,-1 0-1,1 0 0,0 0 0,0 0 0,0 0 0,-1 0 0,1 0 0,-3 1 1,2-1-121,0 0 0,-1 0 1,1 0-1,-1-1 0,1 1 1,-1-1-1,1 1 0,-1-1 1,1 0-1,-1 0 0,1 0 1,-1 0-1,1-1 0,-1 1 1,-3-2-1,-8-4-6719</inkml:trace>
  <inkml:trace contextRef="#ctx0" brushRef="#br0" timeOffset="1658.55">672 1087 24575,'6'-2'0,"4"-5"0,6-4 0,6-2 0,3-4 0,2-2 0,2-1 0,0 4 0,-4 1 0,-3 3 0,-7 5 0,-4 7 0,-7 6 0,-6 5 0,-8 5 0,-4 3 0,-1-2-8191</inkml:trace>
  <inkml:trace contextRef="#ctx0" brushRef="#br0" timeOffset="2034.64">61 1784 24575,'15'0'0,"-1"-1"0,1-1 0,0 0 0,27-9 0,54-26 0,-68 25 0,174-74 0,407-154 0,-599 237 0,15-6 0,1 1 0,46-7 0,-52 15 342,-20 0-377,0 0 0,1 0 0,-1 0 0,0 0 0,0 0 1,1 0-1,-1 0 0,0 0 0,1 0 0,-1 0 0,0 0 1,0 0-1,1 0 0,-1 0 0,0 0 0,1 0 0,-1 0 1,0 0-1,0 1 0,1-1 0,-1 0 0,0 0 1,0 0-1,0 0 0,1 1 0,-1-1 0,0 0 0,0 0 1,0 1-1,1-1 0,-1 0 0,0 0 0,0 1 0,0-1 1,0 0-1,0 0 0,0 1 0,0-1 0,0 0 0,0 0 1,0 1-1,0-1 0,0 0 0,0 1 0,0-1 0,0 0 1,0 0-1,0 1 0,-8 8-6791</inkml:trace>
  <inkml:trace contextRef="#ctx0" brushRef="#br0" timeOffset="2969.91">543 1905 24575,'-1'-3'0,"-1"1"0,1-1 0,-1 1 0,0-1 0,0 1 0,0 0 0,0-1 0,0 1 0,0 0 0,-1 0 0,-2-1 0,4 2 0,0 1 0,1 0 0,-1-1 0,0 1 0,0 0 0,0-1 0,0 1 0,0 0 0,0 0 0,0 0 0,0 0 0,0 0 0,0 0 0,0 0 0,1 0 0,-1 0 0,0 1 0,0-1 0,0 0 0,0 1 0,0-1 0,0 0 0,1 1 0,-1-1 0,0 1 0,0-1 0,0 1 0,1 0 0,-1-1 0,0 1 0,1 0 0,-1-1 0,1 1 0,-1 0 0,1 0 0,-1 0 0,1-1 0,-1 2 0,-3 6 0,1 1 0,0-1 0,0 0 0,1 1 0,0 0 0,0-1 0,1 1 0,0 14 0,0-1 0,2 1 0,5 28 0,-6-46 0,1 0 0,1 0 0,-1 0 0,1 0 0,0 0 0,0 0 0,0 0 0,0 0 0,1-1 0,0 1 0,0-1 0,0 0 0,1 1 0,0-2 0,-1 1 0,1 0 0,0-1 0,1 0 0,-1 0 0,1 0 0,-1 0 0,1-1 0,0 0 0,0 0 0,0 0 0,0 0 0,0-1 0,0 0 0,0 0 0,1 0 0,-1-1 0,0 0 0,1 0 0,-1 0 0,0-1 0,1 1 0,-1-1 0,6-2 0,-6 2 0,0-1 0,-1 0 0,1 1 0,0-2 0,-1 1 0,1 0 0,-1-1 0,0 0 0,0 0 0,0 0 0,4-5 0,-6 7 0,-1-1 0,0 1 0,0 0 0,0-1 0,0 1 0,-1-1 0,1 1 0,0-1 0,0 1 0,-1-1 0,1 1 0,-1-1 0,0 0 0,1 1 0,-1-1 0,0 0 0,0 1 0,0-1 0,0 0 0,0 1 0,0-1 0,-1 0 0,1 1 0,0-1 0,-1 0 0,0 1 0,1-1 0,-1 1 0,0-1 0,0 1 0,0-1 0,1 1 0,-2 0 0,1-1 0,0 1 0,-2-2 0,-3-2 0,-1 0 0,0 0 0,0 1 0,0 0 0,-1 0 0,1 1 0,-1 0 0,0 0 0,0 1 0,0 0 0,-13-2 0,21 4 0,0 0 0,0 0 0,0 0 0,0 0 0,0 0 0,0 0 0,0 0 0,0-1 0,0 1 0,0 0 0,0 0 0,0 0 0,0 0 0,0 0 0,0 0 0,0 0 0,0-1 0,0 1 0,0 0 0,0 0 0,0 0 0,0 0 0,0 0 0,0 0 0,0 0 0,0-1 0,0 1 0,0 0 0,0 0 0,0 0 0,0 0 0,0 0 0,0 0 0,0 0 0,0 0 0,0 0 0,0-1 0,0 1 0,0 0 0,1 0 0,-1 0 0,0 0 0,0 0 0,0 0 0,0 0 0,0 0 0,0 0 0,0 0 0,0 0 0,1 0 0,-1 0 0,0 0 0,0 0 0,0 0 0,0 0 0,0 0 0,0 0 0,14-9 0,15-7 0,0 0 0,25-11 0,-49 25 0,0 0 0,0 0 0,0 1 0,0 0 0,0 0 0,0 0 0,0 0 0,8 1 0,-11 0 0,0 1 0,0-1 0,0 1 0,0 0 0,-1 0 0,1 0 0,0 0 0,0 0 0,-1 0 0,1 0 0,-1 1 0,1-1 0,-1 1 0,0-1 0,1 1 0,-1-1 0,0 1 0,0 0 0,0-1 0,0 1 0,0 0 0,-1 0 0,1 0 0,-1 0 0,2 3 0,1 7 0,-1 0 0,3 23 0,-5-29 0,3 39 0,-3-31 0,0 0 0,2 0 0,-1-1 0,2 1 0,7 25 0,-10-39 8,0 0-1,0 1 1,0-1-1,0 1 0,0-1 1,0 1-1,1-1 1,-1 0-1,0 1 0,0-1 1,0 1-1,1-1 1,-1 0-1,0 1 1,0-1-1,1 0 0,-1 1 1,0-1-1,1 0 1,-1 1-1,0-1 0,1 0 1,-1 0-1,0 1 1,1-1-1,-1 0 1,1 0-1,-1 0 0,0 1 1,1-1-1,-1 0 1,1 0-1,-1 0 1,1 0-1,-1 0 0,0 0 1,1 0-1,-1 0 1,1 0-1,-1 0 0,1 0 1,-1 0-1,1-1 1,-1 1-1,1 0 1,0-1-151,0 0 1,0-1 0,1 1 0,-1 0-1,-1 0 1,1-1 0,0 1 0,0-1 0,0 1-1,-1-1 1,2-1 0,2-13-6684</inkml:trace>
  <inkml:trace contextRef="#ctx0" brushRef="#br0" timeOffset="3345.72">1059 1810 24575,'0'-1'0,"0"0"0,0 0 0,0 0 0,0 0 0,0 0 0,0 0 0,0 0 0,0 1 0,-1-1 0,1 0 0,0 0 0,-1 0 0,1 0 0,-1 0 0,1 0 0,-1 0 0,1 1 0,-2-3 0,2 3 0,-1 0 0,0 0 0,1-1 0,-1 1 0,1 0 0,-1 0 0,0 0 0,1 0 0,-1 0 0,1 0 0,-1 0 0,0 0 0,1 0 0,-1 0 0,1 0 0,-1 0 0,0 0 0,1 0 0,-1 0 0,1 1 0,-1-1 0,0 0 0,-2 2 0,0 0 0,1 0 0,-1-1 0,1 1 0,-1 1 0,1-1 0,-1 0 0,1 1 0,0-1 0,-2 4 0,-3 8 0,0-1 0,2 1 0,-1 1 0,2-1 0,-1 1 0,-1 16 0,4-19 0,0 1 0,1-1 0,1 0 0,0 1 0,0-1 0,1 1 0,5 22 0,-4-31 0,-1-1 0,0 0 0,1 1 0,-1-1 0,1 0 0,0 0 0,0 0 0,0 0 0,0-1 0,1 1 0,-1 0 0,1-1 0,0 0 0,0 0 0,0 0 0,0 0 0,0 0 0,0 0 0,0-1 0,0 1 0,1-1 0,-1 0 0,0 0 0,1 0 0,-1-1 0,1 1 0,0-1 0,4 0 0,-4 0 0,-1 0 0,1 0 0,0-1 0,-1 1 0,1-1 0,-1 0 0,1 0 0,-1 0 0,1-1 0,-1 1 0,1-1 0,-1 0 0,0 0 0,0 0 0,0 0 0,0 0 0,0-1 0,-1 1 0,1-1 0,-1 0 0,0 0 0,1 0 0,-1 0 0,-1 0 0,1 0 0,2-7 0,-3 8 0,0 0 0,-1 1 0,1-1 0,-1 0 0,0 1 0,0-1 0,0 0 0,1 1 0,-1-1 0,-1 0 0,1 1 0,0-1 0,0 0 0,-1 1 0,1-1 0,-1 0 0,1 1 0,-1-1 0,0 1 0,0-1 0,1 1 0,-1-1 0,0 1 0,0 0 0,0-1 0,-1 1 0,1 0 0,0 0 0,0 0 0,-1 0 0,1 0 0,-1 0 0,-2-1 0,1 0 0,0 1 0,0 0 0,0 0 0,0 1 0,0-1 0,-1 0 0,1 1 0,0 0 0,0 0 0,-1 0 0,1 0 0,0 0 0,0 1 0,0-1 0,-1 1 0,-5 2 0,4 0 49,1-1 0,-1 1 0,0 0-1,1 0 1,-1 0 0,-5 6 0,9-8-127,0 0 0,-1 1 1,1-1-1,0 1 1,0 0-1,0-1 1,0 1-1,0 0 0,0-1 1,0 1-1,0 0 1,1 0-1,-1 0 1,1 0-1,0 0 0,-1 0 1,1-1-1,0 1 1,0 0-1,0 0 1,0 2-1,5 9-6748</inkml:trace>
  <inkml:trace contextRef="#ctx0" brushRef="#br0" timeOffset="3692.43">1248 1776 24575,'-1'0'0,"0"0"0,0 1 0,0-1 0,0 0 0,0 0 0,0 1 0,0-1 0,0 1 0,0-1 0,0 1 0,0-1 0,1 1 0,-1-1 0,0 1 0,0 0 0,0 0 0,1-1 0,-1 1 0,0 0 0,1 0 0,-1 0 0,0 1 0,-1 2 0,0-1 0,1 1 0,0-1 0,0 1 0,0 0 0,0 0 0,0 3 0,0-2 0,1-1 0,-1 0 0,1 0 0,0 1 0,1-1 0,-1 0 0,1 1 0,0-1 0,0 0 0,0 0 0,0 0 0,1 0 0,3 7 0,-2-8 0,0-1 0,1 1 0,0-1 0,-1 0 0,1 1 0,0-1 0,0-1 0,0 1 0,0-1 0,0 0 0,1 0 0,-1 0 0,0 0 0,1-1 0,8 1 0,-5-1 0,0 1 0,0 1 0,11 2 0,-17-3 0,0 0 0,0 0 0,0 0 0,0 0 0,0 0 0,0 0 0,0 1 0,0-1 0,-1 0 0,1 1 0,-1 0 0,1-1 0,-1 1 0,1 0 0,-1 0 0,2 3 0,-2-4 11,-1 0-1,1 0 0,-1 1 1,1-1-1,-1 0 0,1 0 1,-1 0-1,0 1 0,0-1 1,0 0-1,1 0 0,-1 1 1,0-1-1,0 0 0,-1 0 1,1 1-1,0-1 0,0 0 1,-1 0-1,1 0 0,0 1 1,-1-1-1,0 0 0,1 0 1,-1 0-1,1 0 1,-1 0-1,0 0 0,0 0 1,0 0-1,1 0 0,-3 1 1,0 0-133,1-1 0,-1 0 0,1 1 0,-1-1 0,0 0 0,0-1 0,1 1 0,-1 0 0,0-1 1,0 0-1,0 1 0,0-1 0,-3-1 0,-7 0-6704</inkml:trace>
  <inkml:trace contextRef="#ctx0" brushRef="#br0" timeOffset="3954.14">1240 1793 24575,'1'-3'0,"10"-8"0,7-5 0,5-3 0,4-3 0,2 0 0,-1 3 0,-2 1 0,-3 4 0,-5 4 0,-6 6-8191</inkml:trace>
  <inkml:trace contextRef="#ctx0" brushRef="#br0" timeOffset="5206.11">1644 735 24575,'0'2'0,"0"1"0,0 0 0,0 0 0,0 0 0,1-1 0,-1 1 0,1 0 0,0-1 0,-1 1 0,1 0 0,1-1 0,-1 1 0,2 3 0,-2-5 0,0-1 0,1 1 0,-1 0 0,0 0 0,1 0 0,-1-1 0,1 1 0,-1-1 0,1 1 0,-1-1 0,1 0 0,-1 1 0,1-1 0,-1 0 0,1 0 0,-1 0 0,1 0 0,-1 0 0,1 0 0,0-1 0,-1 1 0,1-1 0,-1 1 0,0-1 0,3-1 0,13-4 0,-2-1 0,1-1 0,-1 0 0,0-1 0,-1-1 0,0 0 0,0-1 0,-1-1 0,12-13 0,-24 24 0,0-1 0,0 1 0,1-1 0,-1 1 0,0-1 0,0 0 0,0 0 0,-1 1 0,1-1 0,0 0 0,-1 0 0,1 0 0,-1 0 0,1 0 0,-1 0 0,0 0 0,0 0 0,0 0 0,0 0 0,0 0 0,-1 1 0,1-1 0,0 0 0,-2-3 0,1 4 0,0-1 0,0 1 0,0 0 0,0 0 0,0 0 0,0 0 0,-1 0 0,1 0 0,0 0 0,-1 0 0,1 1 0,0-1 0,-1 0 0,1 1 0,-1-1 0,1 1 0,-1 0 0,0-1 0,1 1 0,-1 0 0,1 0 0,-1 0 0,1 0 0,-1 0 0,0 0 0,1 1 0,-1-1 0,1 0 0,-1 1 0,1-1 0,-2 2 0,-4 1 0,0 0 0,0 0 0,0 1 0,1 0 0,0 0 0,0 1 0,0 0 0,0 0 0,1 0 0,-1 1 0,1-1 0,1 1 0,-1 0 0,-6 13 0,7-12 0,1-1 0,0 1 0,0-1 0,0 1 0,1 0 0,0 0 0,1 0 0,-1 0 0,1 0 0,1 1 0,-1-1 0,1 0 0,0 0 0,1 1 0,2 12 0,-1-16 0,-1-1 0,1 1 0,0-1 0,0 0 0,0 0 0,1 0 0,-1 0 0,1 0 0,0 0 0,-1-1 0,1 1 0,0-1 0,1 0 0,-1 0 0,0 0 0,1 0 0,-1-1 0,1 1 0,-1-1 0,1 0 0,0 0 0,-1 0 0,1 0 0,4-1 0,-4 1 0,0-1 0,-1 1 0,1-1 0,-1 0 0,1 0 0,0-1 0,-1 1 0,1-1 0,-1 1 0,1-1 0,-1-1 0,1 1 0,-1 0 0,0-1 0,1 1 0,-1-1 0,0 0 0,0 0 0,0-1 0,-1 1 0,1 0 0,0-1 0,-1 0 0,0 1 0,3-5 0,-4 6 0,-1 1 0,1-1 0,-1 0 0,0 0 0,1 1 0,-1-1 0,0 0 0,1 0 0,-1 0 0,0 1 0,0-1 0,0 0 0,0 0 0,1 0 0,-1 0 0,-1 0 0,1 0 0,0 1 0,0-1 0,0 0 0,0 0 0,-1 0 0,1 0 0,0 1 0,-1-1 0,1 0 0,0 0 0,-1 0 0,1 1 0,-1-1 0,1 0 0,-1 1 0,0-1 0,1 1 0,-1-1 0,0 0 0,1 1 0,-1-1 0,0 1 0,-1-1 0,0 0 0,0 1 0,0-1 0,1 1 0,-1-1 0,0 1 0,0 0 0,0 0 0,0 0 0,0 0 0,1 0 0,-1 0 0,0 1 0,0-1 0,0 1 0,0-1 0,1 1 0,-1-1 0,-2 3 0,-3 1 0,2 1 0,-1 0 0,0 1 0,1-1 0,0 1 0,1 0 0,-1 0 0,1 1 0,0-1 0,-6 15 0,7-13 0,-1 0 0,1 0 0,1 1 0,-1 0 0,2-1 0,-1 1 0,1 0 0,0 0 0,1 10 0,0-16 0,0-1 0,1 0 0,-1 1 0,1-1 0,-1 0 0,1 0 0,0 1 0,0-1 0,0 0 0,0 0 0,0 0 0,0 0 0,1 0 0,-1 0 0,0 0 0,1-1 0,0 1 0,-1 0 0,1-1 0,3 2 0,-2-1 0,0-1 0,1 1 0,-1-1 0,1 0 0,-1 0 0,1 0 0,0-1 0,-1 1 0,1-1 0,0 0 0,6-1 0,0 0 0,0 0 0,-1-1 0,1-1 0,-1 0 0,1 0 0,-1-1 0,0 0 0,15-9 0,-13 5-195,0-1 0,-1 0 0,0-1 0,0 0 0,-1 0 0,8-13 0,-5 5-6631</inkml:trace>
  <inkml:trace contextRef="#ctx0" brushRef="#br0" timeOffset="5585.54">2083 606 24575,'0'-1'0,"0"-1"0,0 1 0,0 0 0,0-1 0,0 1 0,0 0 0,0-1 0,-1 1 0,1 0 0,0 0 0,-1-1 0,1 1 0,-1 0 0,1 0 0,-1 0 0,-1-2 0,1 2 0,1 1 0,-1 0 0,1 0 0,-1-1 0,1 1 0,-1 0 0,1 0 0,-1 0 0,0 0 0,1 0 0,-1 0 0,1 0 0,-1 0 0,1 0 0,-1 0 0,1 0 0,-1 0 0,0 0 0,1 0 0,-1 1 0,1-1 0,-1 0 0,1 0 0,-1 1 0,1-1 0,-1 1 0,-3 1 0,1 1 0,-1 0 0,1 0 0,0 0 0,0 0 0,0 1 0,1-1 0,-4 7 0,-1 4 0,0 1 0,1 0 0,0 0 0,-5 28 0,9-34 0,0 0 0,1 0 0,0 0 0,1 0 0,0 1 0,0-1 0,1 0 0,0 0 0,5 17 0,-5-23 0,0 0 0,1 0 0,-1-1 0,1 1 0,0 0 0,0-1 0,0 1 0,0-1 0,0 0 0,1 1 0,-1-1 0,0 0 0,1-1 0,0 1 0,0 0 0,-1-1 0,1 1 0,0-1 0,0 0 0,0 0 0,0 0 0,0 0 0,1-1 0,-1 1 0,0-1 0,0 0 0,5 0 0,-6 0 0,1 0 0,-1-1 0,0 1 0,1 0 0,-1-1 0,1 0 0,-1 0 0,0 1 0,0-1 0,0 0 0,1-1 0,-1 1 0,0 0 0,0-1 0,0 1 0,-1-1 0,1 0 0,0 1 0,-1-1 0,1 0 0,-1 0 0,1 0 0,-1 0 0,0 0 0,0 0 0,0-1 0,0 1 0,0 0 0,-1-1 0,1 1 0,-1 0 0,1-1 0,-1 1 0,0-1 0,0-3 0,0 4-21,0 0 0,0 0 0,-1 0 0,1 0 0,-1 0 0,1 0 0,-1 1 0,1-1 0,-1 0 0,0 0 0,0 1 0,0-1 0,0 1 0,0-1 0,0 1 0,-1-1 0,1 1 0,0-1 0,-1 1 0,1 0 0,-1 0 0,0 0 0,1 0 0,-1 0 0,0 0 0,1 0 0,-1 1 0,0-1 0,0 1 0,0-1 0,1 1 0,-1 0 0,0-1 0,0 1 0,0 0 0,0 0 0,0 0 0,0 1 0,0-1 0,0 0 0,1 1 0,-1-1 0,0 1 0,0 0 0,1 0 0,-1-1 0,0 1 0,1 0 0,-1 0 0,0 1 0,1-1 0,0 0 0,-1 0 0,1 1 0,0-1 0,-1 1 0,1-1 0,0 1 0,0-1 0,0 1 0,1 0 0,-1 0 0,0-1 0,0 3 0,0 7-6805</inkml:trace>
  <inkml:trace contextRef="#ctx0" brushRef="#br0" timeOffset="5880.84">2203 640 24575,'1'0'0,"-1"0"0,1 0 0,-1 0 0,0 0 0,1-1 0,-1 1 0,0 0 0,1 0 0,-1 0 0,1 0 0,-1 0 0,0 1 0,1-1 0,-1 0 0,0 0 0,1 0 0,-1 0 0,1 0 0,-1 0 0,0 1 0,1-1 0,-1 0 0,0 0 0,0 0 0,1 1 0,-1-1 0,0 0 0,1 1 0,-1-1 0,0 0 0,0 0 0,0 1 0,1-1 0,-1 1 0,19 16 0,-15-13 0,7 6 0,0 1 0,0 0 0,-1 0 0,13 22 0,-21-30 0,0 0 0,0 0 0,0 0 0,-1 0 0,0 1 0,1-1 0,-1 1 0,0-1 0,-1 1 0,1-1 0,-1 1 0,1-1 0,-1 1 0,0 0 0,0-1 0,-1 1 0,1-1 0,-1 1 0,0 0 0,0-1 0,0 1 0,0-1 0,-1 0 0,1 1 0,-4 4 0,4-6 14,0-1 0,-1 1-1,1-1 1,-1 1 0,1-1-1,-1 0 1,1 1-1,-1-1 1,0 0 0,1 0-1,-1 0 1,0 0 0,0 0-1,0-1 1,0 1 0,0-1-1,0 1 1,0-1 0,0 0-1,0 1 1,0-1 0,0 0-1,0 0 1,-4-1 0,1 0-204,0 0 0,0-1 1,0 1-1,0-1 0,0 0 1,0-1-1,0 1 1,-5-5-1,-10-8-6636</inkml:trace>
  <inkml:trace contextRef="#ctx0" brushRef="#br0" timeOffset="6082.34">2152 623 24575,'6'-6'0,"6"-5"0,8-3 0,9-4 0,6-1 0,5-3 0,-1 0 0,-1 4 0,-9 2 0,-8 6 0,-8 8 0,-8 8 0,-4 5 0,-7 4 0,-6 3 0,0 0-8191</inkml:trace>
  <inkml:trace contextRef="#ctx0" brushRef="#br0" timeOffset="6409.77">1842 1131 24575,'10'-1'0,"0"0"0,0 0 0,0-1 0,0 0 0,0-1 0,12-5 0,58-29 0,-54 24 0,151-84 0,-108 57 0,1 3 0,111-42 0,-161 75 0,-20 5 0,0-1 0,0 0 0,1 0 0,-1 0 0,0 1 0,0-1 0,0 0 0,0 0 0,0 0 0,0 1 0,0-1 0,0 0 0,0 0 0,0 1 0,1-1 0,-1 0 0,0 0 0,0 0 0,0 1 0,-1-1 0,1 0 0,0 0 0,0 1 0,0-1 0,0 0 0,0 0 0,0 0 0,0 1 0,0-1 0,0 0 0,0 0 0,-1 0 0,1 1 0,0-1 0,0 0 0,0 0 0,0 0 0,-1 0 0,1 1 0,-28 27 0,27-27 0,-23 20-1365,0-1-5461</inkml:trace>
  <inkml:trace contextRef="#ctx0" brushRef="#br0" timeOffset="7177.1">2075 1346 24575,'0'-2'0,"0"1"0,0-1 0,0 1 0,0 0 0,-1-1 0,1 1 0,0-1 0,0 1 0,-1-1 0,1 1 0,-1 0 0,0-1 0,1 1 0,-2-2 0,1 2 0,1 1 0,0 0 0,-1-1 0,1 1 0,-1 0 0,1 0 0,-1-1 0,1 1 0,-1 0 0,1 0 0,-1 0 0,1-1 0,-1 1 0,1 0 0,-1 0 0,1 0 0,-1 0 0,1 0 0,-1 0 0,1 0 0,-1 0 0,1 1 0,-1-1 0,1 0 0,-1 0 0,0 1 0,-2 0 0,1 0 0,-1 1 0,1 0 0,0 0 0,0-1 0,0 1 0,0 0 0,0 1 0,0-1 0,1 0 0,-1 0 0,1 1 0,-3 4 0,-2 8 0,1 1 0,0 0 0,1 0 0,1 1 0,0-1 0,2 1 0,0-1 0,0 1 0,2 0 0,3 29 0,-2-41 0,0 1 0,0-2 0,0 1 0,1 0 0,0 0 0,-1-1 0,2 1 0,-1-1 0,0 0 0,1 0 0,0 0 0,0-1 0,0 1 0,0-1 0,1 0 0,-1 0 0,1 0 0,0-1 0,-1 0 0,1 0 0,9 3 0,-10-4 0,1 0 0,-1 0 0,1 0 0,-1 0 0,1 0 0,-1-1 0,1 0 0,-1 0 0,1 0 0,-1-1 0,1 1 0,-1-1 0,1 0 0,-1-1 0,0 1 0,1-1 0,-1 0 0,0 0 0,0 0 0,0 0 0,-1-1 0,1 1 0,0-1 0,-1 0 0,6-6 0,-7 7 0,-1 0 0,0 0 0,0 0 0,1 0 0,-1 0 0,0 0 0,0 0 0,-1 0 0,1 0 0,0-1 0,-1 1 0,0 0 0,1-1 0,-1 1 0,0 0 0,0-1 0,0 1 0,0 0 0,-1 0 0,1-1 0,-1 1 0,1 0 0,-2-3 0,-2-3 0,0 0 0,-1 0 0,0 1 0,-11-14 0,11 16 0,1-1 0,-1 0 0,1 1 0,0-2 0,1 1 0,-6-13 0,9 18 0,0-1 0,0 1 0,-1-1 0,1 0 0,1 1 0,-1-1 0,0 1 0,0-1 0,0 0 0,1 1 0,-1-1 0,1 1 0,-1-1 0,1 1 0,0 0 0,0-1 0,-1 1 0,1 0 0,0-1 0,0 1 0,0 0 0,1 0 0,-1 0 0,0 0 0,0 0 0,0 0 0,1 0 0,-1 0 0,1 0 0,-1 1 0,0-1 0,1 1 0,-1-1 0,1 1 0,-1-1 0,3 1 0,0-1 0,0 0 0,0 0 0,0 0 0,0 1 0,1-1 0,-1 1 0,0 0 0,0 1 0,0-1 0,0 1 0,0-1 0,0 1 0,5 2 0,-6-1 0,-1 0 0,1 0 0,0 0 0,-1 1 0,0-1 0,1 1 0,-1-1 0,0 1 0,0 0 0,-1 0 0,1 0 0,0 0 0,-1 0 0,0 0 0,0 1 0,0-1 0,0 0 0,0 1 0,0 5 0,0 9 0,0 0 0,-2 28 0,0-29 0,1-14 8,0 5 58,0 0 0,0 0 1,1 0-1,1 8 1,-2-15-103,0 0 1,0 0-1,1-1 0,-1 1 1,0 0-1,0 0 1,0 0-1,1 0 1,-1-1-1,1 1 1,-1 0-1,0 0 1,1 0-1,-1-1 1,1 1-1,0 0 1,-1-1-1,1 1 1,0-1-1,-1 1 1,1-1-1,0 1 1,-1-1-1,1 1 1,0-1-1,0 1 1,0-1-1,-1 0 1,1 0-1,0 1 1,0-1-1,0 0 1,0 0-1,0 0 1,-1 0-1,1 0 1,0 0-1,0 0 1,0 0-1,0-1 1,0 1-1,0 0 1,-1 0-1,1-1 0,0 1 1,0 0-1,1-2 1,10-6-6791</inkml:trace>
  <inkml:trace contextRef="#ctx0" brushRef="#br0" timeOffset="7541.42">2479 1200 24575,'-2'0'0,"1"0"0,-1 1 0,0-1 0,1 1 0,-1-1 0,1 1 0,-1 0 0,1 0 0,-1 0 0,1 0 0,-1 0 0,1 0 0,0 0 0,0 0 0,-1 0 0,1 1 0,0-1 0,0 1 0,0-1 0,0 1 0,1-1 0,-1 1 0,0-1 0,1 1 0,-1-1 0,0 4 0,-2 7 0,0-1 0,-2 21 0,4-26 0,-2 10 0,2 0 0,-1 0 0,2 0 0,0 0 0,3 16 0,-3-28 0,0-1 0,1 0 0,0 1 0,0-1 0,0 1 0,0-1 0,1 0 0,-1 0 0,1 0 0,0 0 0,0 0 0,0 0 0,0 0 0,1-1 0,-1 1 0,1-1 0,-1 0 0,1 1 0,0-1 0,0 0 0,0-1 0,0 1 0,0 0 0,0-1 0,0 0 0,1 0 0,-1 0 0,1 0 0,5 1 0,-5-2 0,0-1 0,0 1 0,0 0 0,0-1 0,0 0 0,0 0 0,-1 0 0,1 0 0,0-1 0,0 1 0,-1-1 0,1 0 0,-1 0 0,0 0 0,1-1 0,2-2 0,-4 3 0,0 1 0,-1 0 0,1-1 0,-1 1 0,1-1 0,-1 0 0,0 1 0,1-1 0,-1 0 0,0 0 0,0 0 0,0 0 0,-1 0 0,1 0 0,0 0 0,-1 0 0,1 0 0,-1 0 0,0-1 0,1 1 0,-1 0 0,0 0 0,-1 0 0,1 0 0,0 0 0,0-1 0,-1 1 0,0 0 0,1 0 0,-1 0 0,-1-2 0,1 2 0,-1 0 0,0 1 0,1-1 0,-1 1 0,0-1 0,0 1 0,0-1 0,0 1 0,0 0 0,0 0 0,0 0 0,-1 0 0,1 0 0,0 1 0,-1-1 0,1 1 0,0-1 0,-1 1 0,1 0 0,0 0 0,-1 0 0,1 0 0,-1 1 0,1-1 0,0 1 0,-1-1 0,1 1 0,0 0 0,-3 0 0,1 1 0,-1-1 0,1 1 0,-1 0 0,1 0 0,0 0 0,-1 1 0,1 0 0,0-1 0,1 1 0,-1 1 0,0-1 0,1 1 0,-5 5 0,8-9 9,-1 1 0,1-1 0,0 1-1,-1 0 1,1-1 0,-1 1 0,1 0-1,0-1 1,0 1 0,-1 0 0,1 0-1,0-1 1,0 1 0,0 0 0,0 0-1,0-1 1,0 1 0,0 0 0,0 0-1,0-1 1,0 1 0,0 0 0,0 0-1,1-1 1,-1 1 0,0 0 0,1-1-1,-1 1 1,0 0 0,1-1 0,-1 1-1,1 0 1,-1-1 0,1 1 0,-1-1-1,1 1 1,-1-1 0,2 1 0,-1 0-116,1 0 0,0-1 1,-1 1-1,1-1 0,0 1 1,0-1-1,0 0 0,-1 0 1,1 0-1,0 0 0,0 0 1,-1 0-1,1 0 0,0-1 1,2 0-1,13-5-6719</inkml:trace>
  <inkml:trace contextRef="#ctx0" brushRef="#br0" timeOffset="7853.15">2711 1174 24575,'-2'0'0,"0"1"0,-1-1 0,1 1 0,0 0 0,0 0 0,0-1 0,0 2 0,0-1 0,0 0 0,0 0 0,0 1 0,0-1 0,0 1 0,1-1 0,-1 1 0,1 0 0,-1 0 0,1-1 0,-1 1 0,1 0 0,0 0 0,0 1 0,0-1 0,0 0 0,1 0 0,-1 0 0,0 4 0,0-3 0,0-1 0,1 1 0,-1-1 0,1 1 0,-1-1 0,1 0 0,0 1 0,0-1 0,0 1 0,1-1 0,-1 1 0,0-1 0,1 1 0,0-1 0,-1 1 0,1-1 0,0 0 0,0 0 0,1 1 0,-1-1 0,0 0 0,1 0 0,-1 0 0,1 0 0,3 2 0,0-1 0,0-1 0,1 1 0,0-1 0,-1-1 0,1 1 0,0-1 0,10 1 0,-11-2 0,0 0 0,-1 1 0,1 0 0,0 0 0,0 0 0,-1 0 0,1 1 0,-1 0 0,1 0 0,-1 0 0,0 0 0,7 6 0,-10-7 11,0 0 0,0 0-1,0 0 1,-1 0 0,1 0-1,0 0 1,0 0 0,-1 0-1,1 0 1,-1 1 0,1-1-1,-1 0 1,1 0 0,-1 1-1,0-1 1,0 0 0,1 1-1,-1-1 1,0 0 0,0 1-1,-1-1 1,1 0 0,0 1-1,0-1 1,0 0 0,-1 0-1,1 1 1,-1-1 0,1 0-1,-1 0 1,-1 2 0,1 0-133,-1-1 0,0 0 0,0 1 0,0-1 0,0 0 0,-1-1 0,1 1 0,0 0 0,-1 0 1,1-1-1,-1 0 0,0 1 0,-3 0 0,-13 3-6704</inkml:trace>
  <inkml:trace contextRef="#ctx0" brushRef="#br0" timeOffset="8069.78">2660 1148 24575,'0'-3'0,"5"-1"0,9-5 0,7-2 0,6-6 0,3-3 0,-1 2 0,-5-1 0,-4 4 0,-7 5 0,-10 4 0</inkml:trace>
  <inkml:trace contextRef="#ctx0" brushRef="#br0" timeOffset="9299.63">3176 236 24575,'-1'0'0,"1"0"0,0 0 0,-1 0 0,1 0 0,0 0 0,0 0 0,-1 0 0,1 0 0,0 0 0,0 0 0,-1 0 0,1 1 0,0-1 0,0 0 0,-1 0 0,1 0 0,0 0 0,0 1 0,-1-1 0,1 0 0,0 0 0,0 1 0,0-1 0,0 0 0,-1 0 0,1 1 0,0-1 0,0 0 0,0 0 0,0 1 0,0-1 0,0 0 0,0 0 0,0 1 0,0-1 0,0 0 0,0 1 0,0-1 0,0 0 0,0 1 0,0-1 0,0 0 0,0 0 0,0 1 0,0-1 0,0 0 0,0 0 0,0 1 0,1-1 0,-1 0 0,0 0 0,0 1 0,0-1 0,1 0 0,-1 1 0,1 0 0,-1 0 0,1 0 0,0 0 0,-1 0 0,1-1 0,0 1 0,0 0 0,-1 0 0,1 0 0,0-1 0,0 1 0,0 0 0,0-1 0,0 1 0,0-1 0,2 1 0,2-1 0,0 1 0,0-1 0,0-1 0,0 1 0,0-1 0,0 0 0,0 0 0,0-1 0,0 1 0,6-4 0,46-25 0,-43 22 0,-1 0 0,14-12 0,-24 17 0,0 1 0,0-1 0,0 0 0,0-1 0,0 1 0,-1 0 0,1-1 0,-1 1 0,0-1 0,0 0 0,0 0 0,2-7 0,-4 11 0,0-1 0,0 0 0,0 0 0,0 0 0,0 0 0,0 0 0,0 1 0,0-1 0,0 0 0,0 0 0,0 0 0,0 0 0,0 1 0,-1-1 0,1 0 0,0 0 0,-1 1 0,1-1 0,-1 0 0,1 0 0,-1 1 0,1-1 0,-1 0 0,1 1 0,-1-1 0,0 0 0,-1 0 0,1 0 0,-1 0 0,0 1 0,0-1 0,1 0 0,-1 1 0,0 0 0,0-1 0,0 1 0,0 0 0,-2 0 0,-1 0 0,0 0 0,0 0 0,0 1 0,0 0 0,0 0 0,0 0 0,1 1 0,-8 3 0,7-2 0,0 1 0,0 0 0,0 1 0,1-1 0,-1 1 0,1 0 0,0 0 0,1 1 0,-1-1 0,1 1 0,0-1 0,0 1 0,1 0 0,0 0 0,0 0 0,0 1 0,1-1 0,0 0 0,0 1 0,0-1 0,1 1 0,0-1 0,0 1 0,1-1 0,1 9 0,-1-10 0,0 0 0,0 0 0,0 0 0,1 0 0,-1 0 0,1-1 0,1 1 0,-1 0 0,0-1 0,1 0 0,0 1 0,0-1 0,1 0 0,-1-1 0,1 1 0,-1 0 0,1-1 0,0 0 0,1 0 0,-1 0 0,0-1 0,1 1 0,0-1 0,-1 0 0,1 0 0,0-1 0,0 1 0,0-1 0,0 0 0,0-1 0,0 1 0,6-1 0,-8 0 0,0 0 0,0 0 0,0 0 0,0-1 0,0 1 0,0-1 0,0 0 0,0 0 0,-1 0 0,1 0 0,0 0 0,0 0 0,-1-1 0,1 0 0,-1 1 0,0-1 0,1 0 0,2-3 0,-5 5 0,0-1 0,1 1 0,-1-1 0,0 1 0,0 0 0,0-1 0,1 1 0,-1-1 0,0 1 0,0-1 0,0 1 0,0-1 0,0 1 0,0-1 0,0 1 0,0-1 0,0 1 0,0-1 0,0 1 0,0-1 0,0 1 0,-1-1 0,1 1 0,0 0 0,0-1 0,0 1 0,-1-1 0,1 1 0,0-1 0,-1 1 0,1 0 0,0-1 0,-1 1 0,1 0 0,0-1 0,-1 1 0,1 0 0,-1 0 0,1-1 0,0 1 0,-1 0 0,1 0 0,-1 0 0,1-1 0,-1 1 0,1 0 0,-1 0 0,1 0 0,-1 0 0,-26-3 0,23 4 0,0 0 0,1 0 0,-1 1 0,1-1 0,0 1 0,-1 0 0,1 0 0,0 0 0,0 0 0,0 0 0,0 1 0,1-1 0,-1 1 0,1 0 0,-1 0 0,1 0 0,0 0 0,0 0 0,1 1 0,-1-1 0,1 0 0,-1 1 0,1-1 0,-1 8 0,1-8 0,0 0 0,0 1 0,0-1 0,1 0 0,0 0 0,0 0 0,0 1 0,0-1 0,0 0 0,0 0 0,1 0 0,0 1 0,0-1 0,0 0 0,0 0 0,0 0 0,0 0 0,1 0 0,-1-1 0,1 1 0,0 0 0,0-1 0,0 1 0,0-1 0,1 1 0,-1-1 0,0 0 0,1 0 0,3 1 0,-2 0 17,1-1-1,-1 0 0,1-1 0,0 1 1,0-1-1,0 0 0,0 0 0,0 0 1,0-1-1,0 0 0,0 0 0,0 0 1,0-1-1,0 1 0,0-1 0,0 0 1,0-1-1,-1 1 0,1-1 0,8-4 1,-6 2-149,-1-1 1,1 1 0,-1-1-1,-1 0 1,1 0 0,-1-1 0,0 1-1,0-1 1,0-1 0,-1 1 0,0 0-1,6-15 1,1-5-6695</inkml:trace>
  <inkml:trace contextRef="#ctx0" brushRef="#br0" timeOffset="10264.74">3305 133 24575,'-2'-6'0,"-2"11"0,-3 13 0,5 19 0,1-1 0,2 0 0,8 48 0,-5-48 0,-3-27 0,23 146 0,-24-153 0,1 1 0,-1-1 0,1 0 0,0 0 0,0 0 0,0 1 0,0-1 0,1 0 0,1 2 0,-3-4 0,1 1 0,-1-1 0,0 0 0,0 0 0,0 0 0,1 1 0,-1-1 0,0 0 0,1 0 0,-1 0 0,0 0 0,0 0 0,1 0 0,-1 1 0,0-1 0,1 0 0,-1 0 0,0 0 0,0 0 0,1 0 0,-1 0 0,0 0 0,1 0 0,-1 0 0,0 0 0,1-1 0,-1 1 0,8-12 0,-6 6 0,0 0 0,-1 0 0,0-1 0,0 1 0,0-1 0,-1 1 0,0-1 0,-1-8 0,-12-57 0,7 40 0,-6-26 0,4 24 0,2-1 0,1-1 0,1-36 0,3 71 8,1-1-1,0 1 1,0-1-1,0 1 0,0-1 1,0 1-1,1 0 1,-1-1-1,0 1 0,1 0 1,-1-1-1,1 1 1,-1 0-1,1-1 1,0 1-1,-1 0 0,1 0 1,0 0-1,0-1 1,0 1-1,0 0 0,0 0 1,0 0-1,0 1 1,0-1-1,0 0 1,1 0-1,-1 1 0,0-1 1,1 0-1,-1 1 1,0-1-1,1 1 1,-1 0-1,0 0 0,1-1 1,-1 1-1,1 0 1,-1 0-1,0 0 0,1 0 1,-1 0-1,1 1 1,-1-1-1,2 1 1,0-1-98,0 1 0,1 0 0,-1 1 0,0-1 0,0 0 1,0 1-1,0 0 0,-1 0 0,1-1 0,0 2 1,-1-1-1,1 0 0,-1 0 0,0 1 0,0 0 0,0-1 1,0 1-1,2 4 0,2 9-6736</inkml:trace>
  <inkml:trace contextRef="#ctx0" brushRef="#br0" timeOffset="10734.37">3288 434 24575,'7'-3'0,"0"0"0,-1-1 0,1 1 0,-1-1 0,8-6 0,0 0 0,33-19 0,66-46 0,-110 72 0,-15 10 0,-19 14 0,-45 27 0,43-28 0,25-16 0,8-4 0,39-25-1365,-19 14-5461</inkml:trace>
  <inkml:trace contextRef="#ctx0" brushRef="#br0" timeOffset="11226.49">3726 21 24575,'4'-6'0,"-8"6"0,-11 9 0,9-2 0,1 1 0,-1 0 0,1-1 0,0 1 0,1 1 0,0-1 0,0 1 0,-3 13 0,-1 7 0,-6 39 0,11-49 0,0 1 0,1 0 0,1 0 0,3 36 0,-2-52 0,1 1 0,-1 0 0,1-1 0,0 1 0,1 0 0,-1-1 0,1 0 0,0 1 0,0-1 0,0 0 0,1 0 0,0 0 0,-1 0 0,1 0 0,1-1 0,-1 1 0,0-1 0,1 0 0,0 0 0,0 0 0,-1-1 0,2 1 0,-1-1 0,0 0 0,9 3 0,-9-4 0,0 0 0,0-1 0,0 1 0,0-1 0,1 0 0,-1 0 0,0 0 0,0-1 0,0 0 0,0 0 0,0 0 0,0 0 0,0 0 0,0-1 0,0 0 0,0 1 0,-1-2 0,1 1 0,-1 0 0,4-3 0,-4 2 0,-1 1 0,1 0 0,-1-1 0,1 0 0,-1 1 0,0-1 0,0 0 0,0 0 0,0 0 0,0-1 0,-1 1 0,0 0 0,1-1 0,-1 1 0,0-1 0,-1 1 0,1-1 0,-1 1 0,1-1 0,-1 1 0,0-1 0,0 0 0,-2-5 0,1 6 0,1 1 0,-1-1 0,0 1 0,-1-1 0,1 1 0,0-1 0,-1 1 0,0 0 0,1 0 0,-1 0 0,0 0 0,0 0 0,0 0 0,0 1 0,0-1 0,-1 0 0,1 1 0,0 0 0,-1-1 0,1 1 0,-1 0 0,1 1 0,-1-1 0,0 0 0,1 1 0,-1-1 0,0 1 0,1 0 0,-1 0 0,0 0 0,0 0 0,1 0 0,-1 1 0,0-1 0,1 1 0,-1 0 0,0 0 0,1 0 0,-1 0 0,1 0 0,0 0 0,-1 1 0,1-1 0,0 1 0,0-1 0,0 1 0,0 0 0,0 0 0,0 0 0,0 0 0,-1 3 0,2-4-49,1 0 1,0 0-1,-1-1 0,1 1 0,0 0 1,0 0-1,-1 0 0,1-1 0,0 1 1,0 0-1,0 0 0,0 0 0,0-1 1,0 1-1,0 0 0,1 0 0,-1 0 1,0-1-1,0 1 0,0 0 0,1 0 1,-1 0-1,1-1 0,-1 1 0,0 0 0,1-1 1,0 2-1,7 5-6777</inkml:trace>
  <inkml:trace contextRef="#ctx0" brushRef="#br0" timeOffset="11511.05">3907 107 24575,'1'3'0,"-1"1"0,1-1 0,0 0 0,0 0 0,0 1 0,0-1 0,0 0 0,1 0 0,0 0 0,-1 0 0,1 0 0,0-1 0,0 1 0,1-1 0,-1 1 0,0-1 0,1 0 0,4 4 0,7 3 0,0 0 0,23 11 0,-26-14 0,-2-1 0,0 0 0,-1 0 0,0 1 0,0 0 0,14 14 0,-21-18 0,1 0 0,0 0 0,-1 0 0,1 0 0,-1 1 0,0-1 0,0 0 0,0 1 0,0-1 0,0 1 0,0-1 0,0 4 0,-1-4 0,0 0 0,0 0 0,0-1 0,-1 1 0,1 0 0,-1-1 0,1 1 0,-1 0 0,1-1 0,-1 1 0,0 0 0,0-1 0,0 1 0,0-1 0,0 0 0,0 1 0,0-1 0,0 0 0,0 1 0,-3 0 0,2 0-65,1-1 0,-1 0 0,0 1 0,0-1 0,0 0 0,-1 0 0,1-1 0,0 1 0,0 0 0,0-1 0,-1 1 0,1-1 0,0 0 0,-1 0 0,1 1 0,0-2 0,0 1 0,-1 0 0,1 0 0,-4-2 0,-12-4-6761</inkml:trace>
  <inkml:trace contextRef="#ctx0" brushRef="#br0" timeOffset="11709.71">3933 133 24575,'5'-3'0,"3"-4"0,6-7 0,6-3 0,5-2 0,5-3 0,0 3 0,-6 4 0,-1 3 0,-6 7 0,-10 8 0,-8 7 0,-8 8 0,-6 4 0,-1-2-8191</inkml:trace>
  <inkml:trace contextRef="#ctx0" brushRef="#br0" timeOffset="12054.17">3546 666 24575,'11'-1'0,"0"-1"0,0 0 0,0-1 0,0 0 0,-1-1 0,1 0 0,-1-1 0,13-7 0,5-2 0,191-91 0,175-76 0,-369 174 0,-25 7 0,0 0 0,0 0 0,0-1 0,0 1 0,1 0 0,-1 0 0,0 0 0,0 0 0,0 0 0,0 0 0,0 0 0,1 0 0,-1 0 0,0 0 0,0 0 0,0 0 0,0 0 0,1 0 0,-1 0 0,0 0 0,0 1 0,0-1 0,0 0 0,0 0 0,1 0 0,-1 0 0,0 0 0,0 0 0,0 0 0,0 0 0,0 0 0,0 1 0,0-1 0,1 0 0,-1 0 0,0 0 0,0 0 0,0 0 0,0 0 0,0 1 0,0-1 0,0 0 0,0 0 0,0 0 0,0 0 0,0 1 0,0-1 0,0 0 0,-5 10 0,-10 7 0,-6 2-1365,0-2-5461</inkml:trace>
  <inkml:trace contextRef="#ctx0" brushRef="#br0" timeOffset="12726.26">3641 873 24575,'0'-1'0,"0"1"0,0 0 0,0-1 0,0 1 0,0 0 0,0-1 0,0 1 0,0 0 0,0-1 0,0 1 0,0 0 0,0-1 0,0 1 0,0 0 0,0-1 0,0 1 0,0 0 0,0 0 0,0-1 0,-1 1 0,1 0 0,0-1 0,0 1 0,0 0 0,-1-1 0,1 1 0,0 0 0,0 0 0,0 0 0,-1-1 0,1 1 0,0 0 0,-1 0 0,1 0 0,0-1 0,-1 1 0,1 0 0,0 0 0,0 0 0,-1 0 0,1 0 0,0 0 0,-1 0 0,1 0 0,0 0 0,-1 0 0,1 0 0,0 0 0,-1 0 0,1 0 0,0 0 0,-1 0 0,1 0 0,0 0 0,-1 0 0,1 1 0,0-1 0,-1 0 0,1 0 0,0 0 0,0 1 0,-1-1 0,-1 1 0,0 1 0,1-1 0,-1 1 0,0-1 0,1 1 0,-1-1 0,1 1 0,0 0 0,-2 2 0,-3 10 0,1 1 0,0-1 0,1 1 0,1 0 0,0 1 0,1-1 0,1 0 0,0 1 0,1-1 0,1 0 0,3 20 0,-3-31 0,0 0 0,0 0 0,0 0 0,1-1 0,0 1 0,-1 0 0,1-1 0,1 1 0,-1-1 0,0 0 0,1 1 0,0-1 0,0 0 0,0-1 0,0 1 0,0-1 0,1 1 0,-1-1 0,1 0 0,-1 0 0,1 0 0,0-1 0,-1 1 0,1-1 0,0 0 0,7 1 0,-6-1 0,0-1 0,0 1 0,0-1 0,-1 0 0,1-1 0,0 1 0,0-1 0,0 0 0,-1 0 0,1 0 0,0-1 0,-1 0 0,0 1 0,1-2 0,-1 1 0,0 0 0,0-1 0,0 0 0,0 0 0,0 0 0,-1-1 0,5-4 0,-7 7 0,0-1 0,0 1 0,1-1 0,-1 1 0,0-1 0,-1 1 0,1-1 0,0 1 0,0-1 0,-1 0 0,1 1 0,-1-1 0,1 0 0,-1 0 0,0 0 0,0 1 0,0-1 0,0 0 0,0 0 0,0 0 0,0 1 0,-1-1 0,1 0 0,0 0 0,-1 1 0,0-1 0,1 0 0,-1 1 0,0-1 0,0 1 0,-1-2 0,-3-3 0,0 1 0,0 0 0,-1 1 0,0-1 0,1 1 0,-10-5 0,-6-5 0,20 14 0,1 0 0,-1-1 0,0 1 0,1-1 0,-1 1 0,1-1 0,-1 1 0,1-1 0,-1 0 0,1 1 0,-1-1 0,1 1 0,0-1 0,-1 0 0,1 1 0,0-1 0,0 0 0,-1 0 0,1 1 0,0-1 0,0 0 0,0 0 0,0 1 0,0-1 0,0 0 0,0 0 0,0 1 0,1-2 0,-1 0 0,1 0 0,0 1 0,0-1 0,0 0 0,0 1 0,1-1 0,-1 1 0,0-1 0,1 1 0,2-2 0,3-3 0,1 1 0,-1 1 0,16-7 0,-21 9 0,0 1 0,0 1 0,1-1 0,-1 0 0,0 0 0,1 1 0,-1 0 0,0-1 0,1 1 0,-1 0 0,1 0 0,-1 0 0,0 0 0,1 1 0,-1-1 0,1 1 0,-1-1 0,3 2 0,-3-1 0,0 1 0,-1-1 0,1 1 0,0-1 0,-1 1 0,1 0 0,-1-1 0,1 1 0,-1 0 0,0 0 0,0 0 0,1 0 0,-2 0 0,1 0 0,0 1 0,0-1 0,-1 0 0,1 0 0,0 4 0,2 27 0,-3-26 0,1 0 0,-1 1 0,1-1 0,1 0 0,-1 0 0,1 0 0,0 0 0,1-1 0,0 1 0,0-1 0,5 9 0,-8-15-44,0 1 0,1-1 0,-1 1 0,0-1 0,1 1 0,-1-1 0,1 0 0,-1 1 0,1-1 0,-1 0 0,0 1 0,1-1 0,-1 0 0,1 0 0,-1 1 0,1-1 0,0 0 0,-1 0-1,1 0 1,-1 0 0,1 1 0,-1-1 0,1 0 0,-1 0 0,1 0 0,0 0 0,-1-1 0,1 1 0,-1 0 0,2 0 0,4-5-6782</inkml:trace>
  <inkml:trace contextRef="#ctx0" brushRef="#br0" timeOffset="13115.42">4028 769 24575,'0'0'0,"0"0"0,0-1 0,0 1 0,0-1 0,0 1 0,0 0 0,0-1 0,0 1 0,0 0 0,0-1 0,0 1 0,0-1 0,0 1 0,0 0 0,0-1 0,-1 1 0,1 0 0,0-1 0,0 1 0,0 0 0,-1-1 0,1 1 0,0 0 0,0-1 0,-1 1 0,1 0 0,0 0 0,-1-1 0,1 1 0,0 0 0,-1 0 0,1 0 0,0-1 0,-1 1 0,1 0 0,0 0 0,-1 0 0,1 0 0,0 0 0,-1 0 0,1 0 0,-1 0 0,1 0 0,0 0 0,-1 0 0,1 0 0,-1 0 0,1 0 0,0 0 0,-1 0 0,1 0 0,0 1 0,-1-1 0,1 0 0,0 0 0,-1 0 0,1 1 0,0-1 0,-1 0 0,1 0 0,0 1 0,0-1 0,-1 1 0,-2 1 0,1 0 0,-1 0 0,1 0 0,-1 0 0,1 1 0,-4 4 0,0 3 0,1 1 0,0 0 0,1 0 0,0 0 0,0 0 0,1 1 0,1 0 0,-2 14 0,3-21 0,1 0 0,-1 0 0,1 1 0,0-1 0,0 0 0,1 1 0,0-1 0,0 0 0,0 0 0,0 0 0,1 0 0,0 0 0,0 0 0,0 0 0,1-1 0,-1 1 0,1-1 0,0 1 0,1-1 0,6 7 0,-7-9 0,-1-1 0,1 1 0,0-1 0,0 0 0,1 1 0,-1-1 0,0-1 0,0 1 0,0 0 0,1-1 0,-1 0 0,0 1 0,1-1 0,-1-1 0,0 1 0,1 0 0,-1-1 0,0 0 0,0 0 0,0 0 0,5-2 0,-5 2 0,-1 0 0,0 0 0,1 0 0,-1 0 0,0-1 0,1 1 0,-1-1 0,0 1 0,0-1 0,0 0 0,-1 0 0,1 0 0,0 0 0,-1 0 0,1 0 0,-1-1 0,0 1 0,0 0 0,0-1 0,0 1 0,0-1 0,0 1 0,-1-1 0,1 0 0,-1 1 0,1-6 0,-1 6 0,-1 1 0,1-1 0,0 1 0,-1-1 0,1 1 0,-1-1 0,1 1 0,-1-1 0,0 1 0,0-1 0,1 1 0,-1 0 0,0-1 0,0 1 0,-1 0 0,1 0 0,0 0 0,0 0 0,0 0 0,-1 0 0,1 0 0,0 0 0,-1 1 0,1-1 0,-1 0 0,1 1 0,-1-1 0,1 1 0,-1 0 0,0-1 0,1 1 0,-3 0 0,1 0 0,1 0 0,-1 0 0,0 0 0,1 0 0,-1 0 0,1 1 0,-1-1 0,1 1 0,-1 0 0,1-1 0,0 1 0,-1 0 0,1 1 0,0-1 0,0 0 0,0 1 0,0-1 0,0 1 0,-3 3 0,4-5-39,1 1 0,0-1 0,-1 1 0,1-1 0,0 1 0,0-1 0,-1 1 0,1-1 0,0 1 0,0-1 0,0 1 0,0-1 0,0 1 0,0-1 0,0 1 0,0-1 0,0 1 0,0-1 0,0 1 0,0-1 0,0 1 0,0-1 0,0 1 0,0-1 0,1 1 0,-1-1 0,0 1 0,0-1 0,1 1 0,-1-1 0,0 1 0,1-1 0,-1 0 0,1 1 0,7 6-6787</inkml:trace>
  <inkml:trace contextRef="#ctx0" brushRef="#br0" timeOffset="13415.29">4251 658 24575,'-2'0'0,"-1"0"0,1 1 0,0-1 0,-1 1 0,1-1 0,0 1 0,0 0 0,-1 0 0,1 0 0,0 0 0,0 1 0,0-1 0,0 0 0,0 1 0,1 0 0,-1-1 0,0 1 0,1 0 0,-1 0 0,1 0 0,-1 0 0,1 0 0,0 0 0,0 0 0,0 0 0,-1 5 0,1-4 0,0 1 0,0-1 0,0 0 0,0 1 0,1-1 0,0 0 0,0 1 0,0-1 0,0 1 0,0-1 0,1 0 0,-1 1 0,1-1 0,0 0 0,0 1 0,0-1 0,0 0 0,4 5 0,-2-3 0,1-1 0,0 0 0,1 0 0,-1-1 0,1 1 0,0-1 0,0 0 0,0 0 0,0 0 0,0-1 0,0 0 0,7 2 0,30 15 0,-41-19 0,0 0 0,-1 1 0,1-1 0,0 1 0,0-1 0,0 1 0,0-1 0,-1 1 0,1 0 0,0 0 0,0-1 0,-1 1 0,1 0 0,-1 0 0,1 0 0,0-1 0,-1 1 0,0 0 0,1 0 0,-1 0 0,0 0 0,1 0 0,-1 0 0,0 0 0,0 0 0,0 0 0,0 0 0,0 0 0,0 0 0,0 0 0,0 0 0,0 0 0,0 0 0,-1 0 0,1 0 0,0 0 0,-1 0 0,1 0 0,0 0 0,-1-1 0,1 1 0,-1 0 0,-1 1 0,0 1 0,0-1 0,-1 0 0,1 0 0,-1 0 0,0 0 0,1 0 0,-1-1 0,0 1 0,0-1 0,0 1 0,0-1 0,-6 1 0,-12 0-1365,0-3-5461</inkml:trace>
  <inkml:trace contextRef="#ctx0" brushRef="#br0" timeOffset="13617.58">4260 658 24575,'4'-6'0,"8"-6"0,6-8 0,4-2 0,1 2 0,-3 2 0,1 3 0,-3 6 0,-9 5 0,-6 6 0,-8 2 0,-3 1-8191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5T11:11:10.09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1528 632 24575,'0'55'0,"0"-20"0,0-28 0,0-13 0,1-17 0,0 16 0,-1 0 0,0 0 0,0-1 0,0 1 0,-1 0 0,-3-14 0,0 45 0,9 58 0,-3-61 0,0 0 0,-1 0 0,-1 0 0,-1 0 0,-4 22 0,5-43 0,0 1 0,0-1 0,0 1 0,0 0 0,0-1 0,-1 1 0,1-1 0,0 1 0,0-1 0,0 1 0,0-1 0,-1 1 0,1-1 0,0 1 0,0-1 0,-1 0 0,1 1 0,0-1 0,-1 1 0,1-1 0,0 0 0,-1 1 0,1-1 0,-1 0 0,1 1 0,-1-1 0,-6-10 0,0-22 0,6 26 0,1 0 0,0 0 0,0 1 0,0-1 0,1 0 0,1-8 0,-1 13 0,-1 0 0,0 0 0,1 0 0,-1 0 0,1 0 0,-1 0 0,1 0 0,-1 0 0,1 0 0,0 0 0,-1 0 0,1 0 0,0 1 0,0-1 0,-1 0 0,1 0 0,0 1 0,0-1 0,0 0 0,0 1 0,0-1 0,0 1 0,0 0 0,0-1 0,0 1 0,1 0 0,-1 0 0,0-1 0,0 1 0,0 0 0,0 0 0,0 0 0,0 0 0,0 0 0,1 1 0,-1-1 0,0 0 0,0 1 0,0-1 0,1 1 0,43 18 0,-40-15 0,1-1 0,0 0 0,0 0 0,1-1 0,-1 0 0,1 0 0,-1 0 0,1-1 0,-1 0 0,1 0 0,0 0 0,-1-1 0,1 0 0,8-1 0,-13 0 0,0 0 0,0 0 0,0 0 0,0 0 0,0 0 0,0 0 0,0 0 0,-1-1 0,1 1 0,0-1 0,-1 1 0,1-1 0,-1 0 0,1 0 0,-1 1 0,0-1 0,0 0 0,0 0 0,0 0 0,0 0 0,0-1 0,0 1 0,-1 0 0,1 0 0,-1 0 0,0-1 0,0 1 0,1 0 0,-2 0 0,1-5 0,-1-4 0,0 1 0,0-1 0,-1 0 0,-7-20 0,4 16 0,0 0 0,-1 1 0,-1 0 0,-12-20 0,17 31 0,0 0 0,-1 0 0,1 0 0,-1 1 0,0-1 0,0 0 0,0 1 0,0 0 0,0 0 0,-6-3 0,7 4 0,0 0 0,0 1 0,0-1 0,0 1 0,0 0 0,-1-1 0,1 1 0,0 0 0,0 0 0,0 1 0,0-1 0,0 0 0,-1 1 0,1-1 0,0 1 0,0 0 0,0-1 0,0 1 0,0 0 0,-2 2 0,1-1 18,0 1 0,0-1 0,0 1 0,0-1 0,1 1 0,-1 0 0,1 0 0,0 0 0,0 1 0,0-1 0,0 0 0,1 1 0,-1 0 0,1-1 0,0 1 0,0 0 0,0-1 0,0 5 0,1-6-73,-1 0-1,1 1 1,0-1 0,0 0 0,0 1 0,0-1 0,1 0 0,-1 0 0,1 1 0,-1-1 0,1 0 0,0 0 0,0 0 0,-1 0 0,2 0 0,-1 0 0,0 0 0,0 0 0,1 0 0,-1 0-1,1-1 1,-1 1 0,1 0 0,0-1 0,-1 0 0,1 1 0,0-1 0,0 0 0,0 0 0,3 1 0,12 3-6771</inkml:trace>
  <inkml:trace contextRef="#ctx0" brushRef="#br0" timeOffset="420.65">1881 580 24575,'0'-1'0,"0"0"0,0 1 0,0-1 0,0 0 0,0 0 0,0 0 0,0 1 0,0-1 0,0 0 0,-1 0 0,1 0 0,0 1 0,0-1 0,-1 0 0,1 0 0,-1 1 0,1-1 0,0 0 0,-1 1 0,1-1 0,-1 0 0,0 0 0,0 1 0,0 0 0,1 0 0,-1 0 0,0 0 0,1 0 0,-1 0 0,0 0 0,1 0 0,-1 0 0,0 0 0,1 0 0,-1 0 0,1 0 0,-1 1 0,0-1 0,1 0 0,-1 0 0,1 1 0,-1-1 0,-1 1 0,-1 2 0,0 0 0,-1-1 0,1 1 0,0 1 0,1-1 0,-1 0 0,-3 6 0,1 2 0,0 0 0,0 0 0,2 1 0,-1-1 0,-2 20 0,5-25 0,0-1 0,0 0 0,1 0 0,0 0 0,0 0 0,0 0 0,0 1 0,1-1 0,0 0 0,0 0 0,1 0 0,-1 0 0,1 0 0,0-1 0,4 8 0,-3-9 0,-1 0 0,1 0 0,0-1 0,0 1 0,0-1 0,0 0 0,0 0 0,1 0 0,-1 0 0,0-1 0,1 1 0,0-1 0,-1 0 0,1 0 0,0 0 0,-1 0 0,1-1 0,0 0 0,0 0 0,0 0 0,-1 0 0,1 0 0,0-1 0,0 1 0,-1-1 0,7-2 0,-7 2 0,0-1 0,1 1 0,-1 0 0,0-1 0,0 0 0,0 0 0,0 0 0,0 0 0,0 0 0,-1-1 0,1 1 0,-1-1 0,1 0 0,-1 1 0,0-1 0,0 0 0,0 0 0,-1-1 0,1 1 0,-1 0 0,1 0 0,-1-1 0,0 1 0,-1-1 0,1 1 0,-1-1 0,1 1 0,-1-5 0,0 6 16,-1-1-1,0 1 1,1 0-1,-1 0 1,0 0-1,0 0 1,0 0-1,0 0 1,0 0-1,0 0 1,-1 0-1,1 1 1,-1-1-1,1 0 1,-1 1-1,0-1 1,1 1 0,-1 0-1,0-1 1,0 1-1,-3-1 1,3 1-71,1 0-1,0 0 1,-1 1 0,1-1 0,-1 1 0,1-1 0,-1 1 0,1 0 0,-1-1 0,0 1 0,1 0 0,-1 0 0,1 0 0,-1 0 0,1 1 0,-1-1 0,1 0 0,-1 1 0,0-1 0,1 0-1,0 1 1,-1 0 0,1-1 0,-1 1 0,1 0 0,0 0 0,-1 0 0,1 0 0,0 0 0,-2 2 0,0 3-6771</inkml:trace>
  <inkml:trace contextRef="#ctx0" brushRef="#br0" timeOffset="883.23">2010 597 24575,'0'-2'0,"0"-1"0,1 1 0,-1 0 0,1-1 0,-1 1 0,1 0 0,0 0 0,0-1 0,0 1 0,0 0 0,0 0 0,1 0 0,-1 0 0,1 0 0,-1 0 0,1 1 0,-1-1 0,1 0 0,0 1 0,0 0 0,0-1 0,2 0 0,-2 1 0,-1 0 0,1 0 0,0 1 0,-1-1 0,1 0 0,0 1 0,-1 0 0,1-1 0,0 1 0,0 0 0,0 0 0,-1 0 0,1 0 0,0 0 0,0 0 0,-1 1 0,1-1 0,0 1 0,0-1 0,-1 1 0,1-1 0,0 1 0,-1 0 0,1 0 0,-1 0 0,1 0 0,-1 0 0,1 0 0,-1 0 0,1 2 0,0-1 0,-1-1 0,0 1 0,0-1 0,0 1 0,0 0 0,0 0 0,0 0 0,0-1 0,-1 1 0,1 0 0,-1 0 0,1 0 0,-1 0 0,0 0 0,0 0 0,0 0 0,0 0 0,0 0 0,0 0 0,0 0 0,-1 0 0,1 0 0,-1 0 0,0 0 0,1 0 0,-3 3 0,-1 2 0,0 1 0,-1-1 0,0 0 0,-10 11 0,19-21 0,1 0 0,0 1 0,0 0 0,-1 0 0,1 0 0,1 0 0,-1 1 0,0 0 0,0 0 0,0 1 0,7-1 0,-7 1 0,0 0 0,0 0 0,-1 1 0,1-1 0,0 1 0,0 0 0,5 2 0,-8-2 0,0 0 0,0 0 0,0 0 0,0 0 0,-1 0 0,1 0 0,0 0 0,0 1 0,-1-1 0,1 1 0,-1-1 0,0 1 0,1 0 0,-1-1 0,0 1 0,0 0 0,1 2 0,-1-2 0,-1 0 0,0 0 0,0 0 0,0 0 0,0 0 0,0 0 0,0 0 0,0 0 0,0 0 0,-1 0 0,1 0 0,-1-1 0,0 1 0,1 0 0,-1 0 0,0 0 0,0-1 0,0 1 0,0 0 0,-1-1 0,1 1 0,0-1 0,-1 1 0,1-1 0,-1 0 0,1 0 0,-4 2 0,-2 2 0,0 0 0,0 0 0,0-1 0,-1 0 0,-8 3 0,6-4-227,0-1-1,1 0 1,-1 0-1,0-1 1,-19-1-1,12 0-6598</inkml:trace>
  <inkml:trace contextRef="#ctx0" brushRef="#br0" timeOffset="1282.92">1442 1002 24575,'0'0'0,"1"0"0,-1 0 0,0 0 0,0 0 0,0 0 0,1 0 0,-1 1 0,0-1 0,0 0 0,0 0 0,0 0 0,1 0 0,-1 1 0,0-1 0,0 0 0,0 0 0,0 0 0,0 1 0,0-1 0,0 0 0,0 0 0,0 1 0,0-1 0,0 0 0,0 0 0,0 0 0,0 1 0,0-1 0,0 0 0,0 0 0,0 1 0,0-1 0,0 0 0,0 0 0,0 0 0,0 1 0,0-1 0,0 0 0,0 0 0,-1 0 0,1 1 0,0-1 0,0 0 0,0 0 0,0 0 0,-1 0 0,1 1 0,0-1 0,0 0 0,0 0 0,-1 0 0,1 0 0,0 0 0,0 0 0,0 0 0,-1 0 0,1 1 0,0-1 0,-1 0 0,14 0 0,0 1 0,-1-1 0,1-1 0,-1-1 0,24-5 0,-17 4 0,570-130 0,-552 124 0,-12 3 0,1 0 0,-2-2 0,46-19 0,-67 23-1365,-9 3-5461</inkml:trace>
  <inkml:trace contextRef="#ctx0" brushRef="#br0" timeOffset="2064.17">1864 1062 24575,'-5'0'0,"0"0"0,0 0 0,0 1 0,0-1 0,0 1 0,0 0 0,0 1 0,1-1 0,-1 1 0,1 0 0,-1 0 0,1 0 0,-1 1 0,1 0 0,0 0 0,0 0 0,1 0 0,-1 0 0,0 1 0,1-1 0,0 1 0,0 0 0,-4 7 0,-1 4 0,1 0 0,0 0 0,1 0 0,1 1 0,0 0 0,1 0 0,1 0 0,0 0 0,1 1 0,1 28 0,1-42 0,0 1 0,1-1 0,-1 1 0,1-1 0,0 1 0,0-1 0,0 1 0,1-1 0,-1 0 0,1 0 0,0 0 0,0 0 0,0 0 0,0 0 0,0 0 0,1 0 0,-1-1 0,1 1 0,3 2 0,-1-2 0,0 0 0,0 0 0,1-1 0,-1 1 0,0-1 0,1 0 0,0-1 0,-1 1 0,1-1 0,0 0 0,8 0 0,-7-1 0,-1 0 0,1-1 0,-1 1 0,1-1 0,-1-1 0,0 1 0,1-1 0,-1 0 0,0 0 0,7-5 0,-9 6 0,-1-1 0,0 0 0,0-1 0,0 1 0,0 0 0,0-1 0,-1 0 0,1 1 0,-1-1 0,0 0 0,1-1 0,-1 1 0,-1 0 0,1 0 0,0-1 0,-1 1 0,2-8 0,-2 9 0,-1 0 0,0 0 0,1 0 0,-1 0 0,0 0 0,0 0 0,0 0 0,-1 0 0,1 0 0,0-1 0,-1 1 0,0 0 0,1 0 0,-1 0 0,0 1 0,0-1 0,0 0 0,0 0 0,0 0 0,-3-3 0,-1 0 0,0 1 0,-1-1 0,0 1 0,-11-6 0,-12-10 0,29 19 0,0 1 0,0 0 0,0-1 0,0 1 0,0 0 0,1-1 0,-1 1 0,0 0 0,0-1 0,0 1 0,0 0 0,0-1 0,1 1 0,-1 0 0,0 0 0,0-1 0,1 1 0,-1 0 0,0 0 0,0-1 0,1 1 0,-1 0 0,0 0 0,1 0 0,-1 0 0,0-1 0,0 1 0,1 0 0,-1 0 0,1 0 0,11-6 0,-9 5 0,0 0 0,-1 0 0,1 0 0,0 0 0,0 1 0,0-1 0,0 1 0,0-1 0,0 1 0,0 0 0,0 0 0,1 1 0,-1-1 0,0 1 0,-1-1 0,1 1 0,0 0 0,5 2 0,-5-1 0,-1 0 0,0 0 0,1 0 0,-1 1 0,0-1 0,0 0 0,-1 1 0,1-1 0,0 1 0,-1 0 0,1-1 0,-1 1 0,0 0 0,0 0 0,0 0 0,-1 0 0,1 0 0,0 6 0,0 8 0,0 0 0,-1 0 0,-3 18 0,0 0 0,4-17 342,-1-17-399,0 0 0,0-1 0,1 1 0,-1-1 0,0 1 0,0-1 0,0 1 0,0-1 1,1 1-1,-1-1 0,0 1 0,1-1 0,-1 0 0,0 1 0,1-1 0,-1 1 0,0-1 1,1 0-1,-1 1 0,1-1 0,-1 0 0,1 1 0,-1-1 0,1 0 0,-1 0 1,1 0-1,-1 1 0,1-1 0,0 0 0,5-1-6769</inkml:trace>
  <inkml:trace contextRef="#ctx0" brushRef="#br0" timeOffset="2450.17">2165 1114 24575,'0'-1'0,"0"1"0,1 0 0,-1-1 0,0 1 0,0 0 0,0-1 0,0 1 0,0 0 0,0-1 0,0 1 0,0 0 0,0-1 0,0 1 0,0-1 0,0 1 0,0 0 0,0-1 0,-1 1 0,1 0 0,0-1 0,0 1 0,0 0 0,0 0 0,-1-1 0,1 1 0,0 0 0,0-1 0,-1 1 0,1 0 0,0 0 0,0 0 0,-1-1 0,1 1 0,0 0 0,-1 0 0,1 0 0,-1-1 0,-10 11 0,-8 21 0,11-13 0,0 1 0,2 0 0,-6 21 0,11-33 0,-1 0 0,1 0 0,1 0 0,-1 0 0,1 0 0,0 0 0,0 0 0,1 0 0,0-1 0,1 1 0,-1 0 0,5 10 0,-5-14 0,1 0 0,0-1 0,1 1 0,-1-1 0,0 1 0,1-1 0,-1 0 0,1 0 0,-1 0 0,1 0 0,0-1 0,0 1 0,0-1 0,0 0 0,0 0 0,0 0 0,0 0 0,1 0 0,-1 0 0,0-1 0,0 0 0,1 0 0,-1 0 0,0 0 0,1 0 0,4-2 0,-5 2 0,-1 0 0,0 0 0,0-1 0,1 1 0,-1-1 0,0 0 0,0 1 0,1-1 0,-1 0 0,0 0 0,0-1 0,0 1 0,0 0 0,-1-1 0,1 1 0,0-1 0,-1 0 0,1 1 0,0-1 0,-1 0 0,0 0 0,0 0 0,1 0 0,-1 0 0,0 0 0,-1 0 0,1-1 0,0 1 0,-1 0 0,1 0 0,-1-1 0,1 1 0,-1 0 0,0-1 0,0 1 0,0 0 0,-1-3 0,0 2 0,1 0 0,-1 1 0,0-1 0,0 1 0,-1-1 0,1 1 0,0 0 0,-1-1 0,1 1 0,-1 0 0,0 0 0,0 0 0,0 0 0,0 0 0,0 0 0,0 1 0,-1-1 0,1 1 0,0 0 0,-1-1 0,1 1 0,-1 0 0,1 0 0,-1 1 0,-3-2 0,4 2 0,0 0 0,0-1 0,1 1 0,-1 0 0,0 0 0,0 0 0,0 0 0,0 1 0,0-1 0,1 0 0,-1 1 0,0-1 0,0 1 0,1 0 0,-1-1 0,0 1 0,1 0 0,-1 0 0,0 0 0,1 0 0,0 1 0,-1-1 0,1 0 0,0 1 0,-1-1 0,1 1 0,0-1 0,0 1 0,0-1 0,0 1 0,1 0 0,-1-1 0,0 1 0,1 0 0,-1 0 0,0 2 0,3 9-1365,4-3-5461</inkml:trace>
  <inkml:trace contextRef="#ctx0" brushRef="#br0" timeOffset="2932.86">2294 1165 24575,'-6'-20'0,"0"0"0,6 19 0,1 0 0,-1 1 0,0-1 0,0 0 0,1 0 0,-1 1 0,1-1 0,-1 0 0,1 0 0,-1 1 0,1-1 0,-1 0 0,1 1 0,0-1 0,-1 1 0,1-1 0,0 1 0,-1-1 0,1 1 0,0-1 0,0 1 0,-1 0 0,1-1 0,0 1 0,1 0 0,0-1 0,0 0 0,0 1 0,0-1 0,0 0 0,0 1 0,0 0 0,0-1 0,0 1 0,0 0 0,0 0 0,0 0 0,-1 1 0,1-1 0,0 0 0,0 1 0,0-1 0,0 1 0,0-1 0,0 1 0,0 0 0,-1 0 0,3 1 0,-3 0 0,0-1 0,1 1 0,-1-1 0,0 1 0,0 0 0,0 0 0,-1-1 0,1 1 0,0 0 0,-1 0 0,1 0 0,-1 0 0,1 0 0,-1 0 0,0 0 0,0 0 0,0 0 0,0 0 0,0 0 0,-1-1 0,1 1 0,-1 4 0,-1-1 0,0 0 0,1 0 0,-2 0 0,1-1 0,0 1 0,-7 7 0,-7 19 0,18-32 0,1 0 0,-1 1 0,1-1 0,-1 1 0,1-1 0,0 1 0,3 0 0,-3 0 0,0 0 0,0 1 0,0-1 0,0 1 0,0 0 0,-1 0 0,1 0 0,0 0 0,-1 0 0,1 0 0,0 1 0,-1 0 0,0-1 0,1 1 0,-1 0 0,0 0 0,0 0 0,0 0 0,0 1 0,0-1 0,-1 0 0,1 1 0,-1-1 0,0 1 0,2 3 0,-2-4 0,0 0 0,-1 0 0,1 1 0,0-1 0,-1 0 0,0 0 0,0 0 0,1 1 0,-1-1 0,-1 0 0,1 0 0,0 0 0,0 1 0,-1-1 0,1 0 0,-1 0 0,0 0 0,0 0 0,0 0 0,0 0 0,0 0 0,0 0 0,0 0 0,0 0 0,-1-1 0,1 1 0,-1 0 0,1-1 0,-1 1 0,0-1 0,0 0 0,0 0 0,-2 2 0,-2-1 16,0 0 1,1 0-1,-1 0 0,0-1 0,0 0 1,-9 1-1,-6 1-1495,5 0-5347</inkml:trace>
  <inkml:trace contextRef="#ctx0" brushRef="#br0" timeOffset="4371.6">2759 408 24575,'-1'0'0,"1"0"0,0 0 0,-1 0 0,1 0 0,-1 0 0,1 0 0,-1 0 0,1 0 0,0 0 0,-1 0 0,1 0 0,-1 0 0,1 0 0,0 1 0,-1-1 0,1 0 0,0 0 0,-1 0 0,1 1 0,0-1 0,-1 0 0,1 1 0,0-1 0,-1 0 0,1 1 0,0-1 0,0 0 0,-1 1 0,1-1 0,0 0 0,0 1 0,0-1 0,0 1 0,-1-1 0,1 0 0,0 1 0,0-1 0,0 1 0,0-1 0,0 0 0,0 1 0,0-1 0,0 1 0,0-1 0,0 1 0,1-1 0,-1 0 0,0 1 0,0 1 0,1-1 0,-1 0 0,1 1 0,0-1 0,-1 0 0,1 0 0,0 0 0,0 1 0,0-1 0,-1 0 0,1 0 0,0 0 0,1 0 0,0 0 0,3 1 0,-1 0 0,1-1 0,0 0 0,0 0 0,0 0 0,0-1 0,0 0 0,0 0 0,0 0 0,0 0 0,0-1 0,0 0 0,0 0 0,0 0 0,-1-1 0,9-3 0,-9 4 0,0 0 0,-1-1 0,1 0 0,0 0 0,-1 0 0,1 0 0,-1 0 0,0-1 0,0 1 0,0-1 0,0 0 0,0 0 0,0 0 0,-1 0 0,1 0 0,-1-1 0,0 1 0,0-1 0,-1 0 0,3-6 0,-3 9 0,-1 0 0,0-1 0,0 1 0,1 0 0,-1 0 0,0-1 0,0 1 0,0 0 0,-1 0 0,1-1 0,0 1 0,0 0 0,-1 0 0,1-1 0,0 1 0,-1 0 0,0 0 0,1 0 0,-1 0 0,1 0 0,-1 0 0,0 0 0,0 0 0,0 0 0,0 0 0,0 0 0,0 0 0,0 0 0,0 1 0,0-1 0,0 0 0,0 1 0,0-1 0,0 1 0,-1 0 0,1-1 0,0 1 0,-2-1 0,0 1 0,1 0 0,-1 0 0,1 0 0,-1 0 0,1 1 0,-1-1 0,1 1 0,-1 0 0,1-1 0,0 1 0,-1 0 0,1 0 0,0 0 0,0 1 0,0-1 0,0 1 0,0-1 0,0 1 0,-2 1 0,0 2 0,0 0 0,0 1 0,0-1 0,1 1 0,0 0 0,0-1 0,0 1 0,1 1 0,0-1 0,0 0 0,0 1 0,1-1 0,-1 10 0,2-13 0,0-1 0,0 1 0,0 0 0,1 0 0,-1-1 0,1 1 0,0-1 0,0 1 0,0 0 0,0-1 0,0 1 0,0-1 0,0 0 0,1 1 0,0-1 0,-1 0 0,1 0 0,0 0 0,0 0 0,0 0 0,0 0 0,0-1 0,1 1 0,-1-1 0,0 0 0,1 1 0,-1-1 0,1 0 0,-1 0 0,1 0 0,0-1 0,-1 1 0,1-1 0,5 1 0,-3-1 0,-1 0 0,1 0 0,-1-1 0,1 1 0,-1-1 0,7-2 0,-10 3 0,0 0 0,0 0 0,-1 0 0,1 0 0,0-1 0,0 1 0,0 0 0,0-1 0,0 1 0,0 0 0,-1-1 0,1 1 0,0-1 0,0 1 0,-1-1 0,1 0 0,0 1 0,-1-1 0,1 0 0,-1 1 0,1-1 0,-1 0 0,1 0 0,-1 0 0,1 1 0,-1-1 0,0 0 0,1 0 0,-1 0 0,0 0 0,0 0 0,0 0 0,0 0 0,0 0 0,0 1 0,0-1 0,0 0 0,0-1 0,0 1 0,0 0 0,-1 1 0,1-1 0,0 0 0,-1 1 0,1-1 0,0 1 0,-1-1 0,1 1 0,0-1 0,-1 1 0,1-1 0,-1 1 0,1-1 0,-1 1 0,1-1 0,-1 1 0,0 0 0,1-1 0,-1 1 0,1 0 0,-1 0 0,0-1 0,1 1 0,-1 0 0,-1 0 0,1 0 0,-1 0 0,0 0 0,1 1 0,0-1 0,-1 1 0,1-1 0,-1 1 0,1-1 0,-1 1 0,1 0 0,-2 1 0,-1 1 0,0 0 0,0 0 0,0 1 0,0 0 0,1-1 0,-4 6 0,4-4 0,0 0 0,0 0 0,1 0 0,0 1 0,0-1 0,0 1 0,0-1 0,1 1 0,0 0 0,0 0 0,1-1 0,-1 8 0,2-10 0,-1 0 0,0-1 0,1 1 0,0-1 0,-1 0 0,1 1 0,0-1 0,0 0 0,1 1 0,-1-1 0,0 0 0,1 0 0,-1 0 0,1 0 0,0 0 0,0 0 0,-1-1 0,1 1 0,0 0 0,1-1 0,-1 0 0,0 1 0,0-1 0,0 0 0,1 0 0,-1 0 0,1-1 0,-1 1 0,5 0 0,-1 0 20,0 0 0,0 0 0,0-1 1,0 1-1,0-2 0,0 1 0,1-1 0,-1 0 0,0 0 0,-1 0 0,1-1 0,0 0 0,0 0 0,-1-1 0,1 1 0,7-6 1,-6 3-164,0 0 1,-1-1 0,0 1 0,0-1-1,-1-1 1,1 1 0,-1-1 0,-1 0 0,1 0-1,-1 0 1,5-13 0,-3 4-6684</inkml:trace>
  <inkml:trace contextRef="#ctx0" brushRef="#br0" timeOffset="4759.66">3172 356 24575,'0'-1'0,"0"0"0,0 0 0,0 0 0,-1-1 0,1 1 0,0 0 0,0 0 0,0 0 0,-1 0 0,1 0 0,-1 0 0,1 0 0,-1 0 0,0-1 0,1 1 0,-1 1 0,1 0 0,0-1 0,-1 1 0,1 0 0,0 0 0,-1-1 0,1 1 0,-1 0 0,1 0 0,0 0 0,-1 0 0,1-1 0,-1 1 0,1 0 0,-1 0 0,1 0 0,-1 0 0,1 0 0,-1 0 0,1 0 0,0 0 0,-1 0 0,0 1 0,-1 0 0,0 0 0,0 0 0,0 0 0,0 0 0,0 0 0,0 1 0,0-1 0,0 1 0,1-1 0,-1 1 0,0 0 0,-1 2 0,-2 4 0,1 0 0,-1 1 0,2-1 0,-1 1 0,1 0 0,0-1 0,-2 17 0,3-18 0,1 0 0,0 0 0,1 0 0,0 0 0,0 0 0,0 0 0,1 0 0,0 0 0,0 0 0,5 12 0,-5-17 0,1 1 0,-1 0 0,1-1 0,0 1 0,0-1 0,0 0 0,0 0 0,0 0 0,1 0 0,-1 0 0,0 0 0,1-1 0,0 1 0,-1-1 0,1 1 0,0-1 0,0 0 0,0 0 0,0-1 0,0 1 0,-1 0 0,1-1 0,1 0 0,-1 0 0,0 0 0,0 0 0,0 0 0,3-1 0,-3 1 0,0-1 0,0 1 0,-1-1 0,1 0 0,0 0 0,-1 0 0,1 0 0,-1 0 0,1 0 0,-1-1 0,1 1 0,-1-1 0,0 0 0,0 0 0,0 0 0,0 0 0,0 0 0,0 0 0,0 0 0,-1 0 0,1-1 0,-1 1 0,0-1 0,0 1 0,0-1 0,0 0 0,0 1 0,0-1 0,-1 0 0,1-3 0,0 5 0,-1-1 0,0 1 0,0 0 0,0 0 0,0-1 0,0 1 0,0 0 0,0 0 0,0-1 0,-1 1 0,1 0 0,0 0 0,-1 0 0,1-1 0,-1 1 0,1 0 0,-1 0 0,0 0 0,1 0 0,-1 0 0,0 0 0,0 0 0,0 0 0,0 1 0,0-1 0,0 0 0,0 0 0,0 1 0,0-1 0,0 0 0,0 1 0,0-1 0,0 1 0,-1 0 0,1-1 0,0 1 0,0 0 0,0 0 0,-1 0 0,1 0 0,0 0 0,0 0 0,-2 0 0,-1 0 0,1 1 0,-1 0 0,1 0 0,0 0 0,0 0 0,-1 0 0,1 1 0,0-1 0,0 1 0,0 0 0,0 0 0,1 0 0,-1 0 0,-4 5 0,5-4 43,0 0 0,0-1-1,0 1 1,0 0 0,1 1-1,-1-1 1,-1 5 0,3-7-104,0 0 0,-1 0 0,1 0 0,0 0 0,0 0 0,0 0 0,0 1 0,0-1 0,0 0 0,0 0 0,1 0 0,-1 0 0,0 0 0,0 0 0,1 0 0,-1 0 0,1 0 0,-1 0 1,1 0-1,-1 0 0,1 0 0,0 0 0,-1-1 0,1 1 0,0 0 0,0 0 0,1 1 0,9 4-6765</inkml:trace>
  <inkml:trace contextRef="#ctx0" brushRef="#br0" timeOffset="5243.11">3344 339 24575,'-1'0'0,"1"0"0,-1 0 0,1 0 0,-1-1 0,1 1 0,-1 0 0,1 0 0,-1 0 0,1-1 0,-1 1 0,1 0 0,0-1 0,-1 1 0,1 0 0,-1-1 0,1 1 0,0 0 0,0-1 0,-1 1 0,1-1 0,0 1 0,-1-1 0,1 1 0,0-1 0,0 1 0,0-1 0,0 1 0,-1-1 0,1 1 0,0-1 0,0 1 0,0-1 0,0 1 0,0-1 0,0 1 0,0-1 0,1 1 0,-1-1 0,0 1 0,0-1 0,0 1 0,0-1 0,1 1 0,-1-1 0,10-23 0,-6 20 0,0-1 0,1 1 0,-1 0 0,1 0 0,0 0 0,0 1 0,0 0 0,0 0 0,0 0 0,1 1 0,9-4 0,-13 5 0,0 1 0,0-1 0,0 1 0,0-1 0,0 1 0,0 0 0,0 0 0,1 0 0,-1 0 0,0 1 0,0-1 0,0 0 0,0 1 0,0-1 0,0 1 0,0 0 0,0 0 0,-1 0 0,1 0 0,0 0 0,0 0 0,-1 0 0,1 0 0,0 1 0,-1-1 0,1 1 0,-1-1 0,0 1 0,0-1 0,1 1 0,-1 0 0,0 0 0,0 0 0,-1 0 0,1 0 0,1 3 0,-1 0 0,0-1 0,0 1 0,0 0 0,-1 0 0,0-1 0,1 1 0,-2 0 0,1 0 0,-1 0 0,1 0 0,-1-1 0,-1 1 0,1 0 0,-1-1 0,1 1 0,-1-1 0,-1 0 0,1 1 0,-1-1 0,1 0 0,-1 0 0,0-1 0,-5 5 0,12-10 0,-1 0 0,0 0 0,1 0 0,-1 0 0,1 1 0,0-1 0,-1 1 0,1 0 0,0 0 0,0 1 0,0-1 0,0 1 0,4 0 0,-6 0 0,-1-1 0,1 1 0,0 1 0,0-1 0,-1 0 0,1 0 0,0 1 0,0-1 0,-1 1 0,1-1 0,0 1 0,-1 0 0,1-1 0,-1 1 0,1 0 0,-1 0 0,1 0 0,-1 1 0,0-1 0,0 0 0,1 0 0,-1 1 0,0-1 0,0 1 0,0-1 0,0 1 0,0-1 0,-1 1 0,1-1 0,0 1 0,-1 0 0,1-1 0,-1 1 0,0 0 0,1 2 0,-1-1 0,-1 0 0,1-1 0,0 1 0,-1 0 0,0 0 0,0-1 0,0 1 0,0-1 0,0 1 0,0-1 0,0 1 0,-1-1 0,1 0 0,-1 0 0,0 1 0,0-1 0,0 0 0,0-1 0,0 1 0,0 0 0,0-1 0,0 1 0,-1-1 0,-2 2 0,-1 0 0,0 0 0,0 0 0,0-1 0,0 0 0,-1 0 0,1-1 0,0 1 0,-1-1 0,-8 0 0,-4-3-1365,1-2-5461</inkml:trace>
  <inkml:trace contextRef="#ctx0" brushRef="#br0" timeOffset="5633.94">2956 726 24575,'-14'6'0,"15"-6"0,-1 0 0,0 0 0,0 0 0,0 0 0,1 0 0,-1 0 0,0 0 0,0 0 0,0 0 0,1 0 0,-1 0 0,0 0 0,0 0 0,0 0 0,0 0 0,1 0 0,-1 0 0,0 0 0,0 0 0,0 0 0,0 1 0,1-1 0,-1 0 0,0 0 0,0 0 0,0 0 0,0 0 0,0 1 0,0-1 0,0 0 0,1 0 0,-1 0 0,0 0 0,0 1 0,0-1 0,0 0 0,0 0 0,0 0 0,0 1 0,0-1 0,0 0 0,0 0 0,0 0 0,0 0 0,0 1 0,0-1 0,0 0 0,0 0 0,0 0 0,0 1 0,0-1 0,-1 0 0,1 0 0,0 0 0,0 0 0,0 1 0,0-1 0,0 0 0,0 0 0,0 0 0,-1 0 0,1 0 0,0 1 0,11 0 0,1 0 0,0 0 0,-1-1 0,1-1 0,12-2 0,62-13 0,-65 11 0,509-131 0,-406 95 0,-163 60-1365,19-11-5461</inkml:trace>
  <inkml:trace contextRef="#ctx0" brushRef="#br0" timeOffset="6382.29">3163 864 24575,'0'0'0,"0"-1"0,0 1 0,0 0 0,0-1 0,0 1 0,0 0 0,0-1 0,0 1 0,0 0 0,0-1 0,0 1 0,0 0 0,0-1 0,-1 1 0,1 0 0,0-1 0,0 1 0,0 0 0,0 0 0,-1-1 0,1 1 0,0 0 0,0 0 0,-1-1 0,1 1 0,0 0 0,-1 0 0,1 0 0,0 0 0,0-1 0,-1 1 0,1 0 0,0 0 0,-1 0 0,1 0 0,0 0 0,-1 0 0,1 0 0,0 0 0,-1 0 0,1 0 0,0 0 0,-1 0 0,1 0 0,0 0 0,-1 0 0,1 0 0,0 0 0,-1 1 0,1-1 0,0 0 0,-1 0 0,1 0 0,0 0 0,-1 1 0,-16 11 0,6 2 0,1 1 0,0 0 0,1 0 0,1 1 0,1 0 0,0 0 0,1 1 0,1 0 0,-6 31 0,10-45 0,1 0 0,-1 0 0,1 0 0,0 0 0,0 0 0,0 0 0,0 0 0,0 0 0,1 0 0,-1 0 0,1 0 0,0 0 0,0 0 0,0 0 0,0 0 0,1-1 0,-1 1 0,1 0 0,-1-1 0,5 5 0,-3-5 0,0 1 0,1 0 0,0-1 0,-1 0 0,1 0 0,0 0 0,0-1 0,0 1 0,0-1 0,1 0 0,-1 0 0,0 0 0,9 0 0,-10-1 0,1 0 0,-1 0 0,1 0 0,-1 0 0,0-1 0,1 0 0,-1 1 0,1-1 0,-1-1 0,0 1 0,0 0 0,0-1 0,0 1 0,0-1 0,0 0 0,0 0 0,0 0 0,4-5 0,-6 5 0,1 0 0,-1 0 0,0 1 0,0-1 0,0 0 0,0 0 0,0 0 0,0 0 0,0-1 0,-1 1 0,1 0 0,-1 0 0,0 0 0,1 0 0,-1-1 0,0 1 0,0 0 0,0 0 0,-1-1 0,1 1 0,-1 0 0,1 0 0,-1 0 0,0 0 0,1 0 0,-1 0 0,0 0 0,0 0 0,-1 0 0,-1-2 0,1 1 0,1 1 0,-1-1 0,0 0 0,1 0 0,-1 0 0,1 0 0,0 0 0,0 0 0,-1-6 0,2 7 0,0 0 0,0 1 0,0-1 0,1 0 0,-1 0 0,1 0 0,-1 1 0,1-1 0,0 0 0,-1 0 0,1 1 0,0-1 0,0 1 0,0-1 0,1 1 0,-1-1 0,0 1 0,0 0 0,2-2 0,0 0 0,1 0 0,-1 1 0,0-1 0,1 1 0,-1 0 0,1 0 0,0 0 0,0 0 0,0 0 0,4 0 0,-7 1 0,0 1 0,1 0 0,-1 0 0,0 0 0,0 0 0,0 0 0,1 0 0,-1 0 0,0 0 0,0 1 0,0-1 0,1 0 0,-1 1 0,0-1 0,0 1 0,0-1 0,0 1 0,0-1 0,0 1 0,0 0 0,0 0 0,0-1 0,0 1 0,0 0 0,0 0 0,-1 0 0,1 0 0,0 0 0,-1 0 0,1 0 0,0 0 0,-1 0 0,0 1 0,1-1 0,-1 0 0,0 0 0,1 0 0,-1 2 0,2 8 0,-1 0 0,0 0 0,0 0 0,-3 21 0,1-21 0,1 1 0,0 0 0,3 21 0,0-23-1365,0-4-5461</inkml:trace>
  <inkml:trace contextRef="#ctx0" brushRef="#br0" timeOffset="6788.55">3481 855 24575,'-2'-1'0,"-3"6"0,-4 9 0,-4 15 0,1-1 0,1 2 0,1 0 0,-8 45 0,17-71 0,0-1 0,1 0 0,0 0 0,-1 0 0,1 1 0,1-1 0,-1 0 0,0 0 0,1 0 0,0 1 0,-1-1 0,1 0 0,0 0 0,1 0 0,-1 0 0,1 0 0,2 3 0,-2-3 0,0-1 0,0 0 0,1 0 0,-1 0 0,1 0 0,0-1 0,-1 1 0,1-1 0,0 1 0,0-1 0,0 0 0,0 0 0,0 0 0,0-1 0,0 1 0,0-1 0,6 0 0,-6 0 0,0 0 0,0 0 0,1 0 0,-1-1 0,0 0 0,0 0 0,0 0 0,0 0 0,0 0 0,-1 0 0,1-1 0,0 1 0,0-1 0,-1 0 0,1 0 0,-1 0 0,0 0 0,1 0 0,-1-1 0,0 1 0,0-1 0,0 1 0,-1-1 0,1 0 0,-1 1 0,1-1 0,-1 0 0,0 0 0,0 0 0,1-5 0,-2 5 0,1 1 0,-1 0 0,0-1 0,1 1 0,-1 0 0,0-1 0,0 1 0,-1 0 0,1-1 0,0 1 0,-1 0 0,1-1 0,-1 1 0,0 0 0,0 0 0,0 0 0,0-1 0,0 1 0,0 0 0,-1 1 0,1-1 0,-1 0 0,1 0 0,-1 0 0,0 1 0,1-1 0,-1 1 0,0 0 0,0-1 0,0 1 0,0 0 0,0 0 0,-1 0 0,1 0 0,0 1 0,0-1 0,-1 0 0,1 1 0,0 0 0,-5-1 0,4 1 0,0 1 0,0-1 0,-1 0 0,1 1 0,0-1 0,0 1 0,0 0 0,0 0 0,0 0 0,0 1 0,1-1 0,-1 1 0,0-1 0,1 1 0,-1 0 0,1 0 0,-1 0 0,1 0 0,0 1 0,0-1 0,-2 4 0,4-6-32,-1 0-1,1 1 1,0-1-1,0 1 1,0-1-1,0 0 1,0 1-1,0-1 1,0 0-1,0 1 1,0-1-1,0 0 1,0 1-1,0-1 1,0 1-1,0-1 1,0 0-1,0 1 1,0-1-1,0 0 1,0 1-1,0-1 1,1 0-1,-1 1 1,0-1-1,0 0 1,1 1-1,-1-1 1,0 0-1,0 0 1,1 1-1,-1-1 1,0 0-1,0 0 1,1 1-1,-1-1 0,0 0 1,1 0-1,-1 0 1,0 0-1,1 1 1,8 1-6794</inkml:trace>
  <inkml:trace contextRef="#ctx0" brushRef="#br0" timeOffset="7223">3594 881 24575,'0'-3'0,"0"0"0,0-1 0,1 1 0,-1 0 0,1 0 0,0 0 0,0 0 0,0 0 0,1 0 0,-1 0 0,1 0 0,0 1 0,-1-1 0,1 1 0,0-1 0,5-4 0,-5 6 0,-1 0 0,1-1 0,0 1 0,0 0 0,-1 0 0,1 0 0,0 0 0,0 0 0,0 0 0,0 1 0,1-1 0,-1 1 0,0-1 0,0 1 0,0 0 0,0 0 0,0 0 0,1 0 0,-1 0 0,0 0 0,0 1 0,0-1 0,0 1 0,0-1 0,4 3 0,-5-3 0,0 1 0,1 0 0,-1-1 0,0 1 0,0 0 0,1 0 0,-1 0 0,0 0 0,0 0 0,0 0 0,0 0 0,0 1 0,-1-1 0,1 0 0,0 0 0,-1 1 0,1-1 0,0 0 0,-1 1 0,1 2 0,-1-1 0,1 0 0,-1 0 0,0 0 0,-1 0 0,1 0 0,0 0 0,-1 0 0,0 0 0,-1 5 0,-2 0 0,1 0 0,-1 0 0,-1 0 0,1-1 0,-1 0 0,-7 8 0,1-3 0,16-15 0,0-1 0,0 0 0,0 0 0,0 0 0,7-2 0,-8 5 0,0 0 0,0 0 0,0 0 0,0 1 0,1-1 0,-1 1 0,0 0 0,0 0 0,1 1 0,-1 0 0,0-1 0,0 1 0,0 0 0,5 3 0,-7-4 0,0 1 0,0 0 0,0 0 0,0 0 0,-1 0 0,1 0 0,0 0 0,-1 0 0,1 1 0,-1-1 0,0 1 0,1-1 0,-1 1 0,0-1 0,0 1 0,0 0 0,0 0 0,0-1 0,0 1 0,0 0 0,-1 0 0,1 0 0,-1 0 0,1 0 0,-1 0 0,0 0 0,0 0 0,0 0 0,0 0 0,0 0 0,0 0 0,-1 3 0,0-3 0,0 0 0,0 0 0,0 1 0,0-1 0,0 0 0,-1 0 0,1 0 0,-1 0 0,1 0 0,-1 0 0,0-1 0,0 1 0,0-1 0,0 1 0,0-1 0,0 0 0,0 1 0,-1-1 0,1 0 0,0-1 0,-1 1 0,1 0 0,0-1 0,-3 1 0,-9 2 0,1-1 0,-1-1 0,-13 0 0,25-1 0,-23 0-1365,3 0-5461</inkml:trace>
  <inkml:trace contextRef="#ctx0" brushRef="#br0" timeOffset="74527.42">599 881 24575,'0'-1'0,"3"0"0,1 4 0,0 4 0,2 1 0,3-3 0,0-7 0,4-5 0,0-5 0,5-8 0,3-4 0,0-2 0,0-3 0,-4 0 0,-2 6 0,-3 8 0,-1 9 0,-3 7-8191</inkml:trace>
  <inkml:trace contextRef="#ctx0" brushRef="#br0" timeOffset="75261.45">892 1380 24575,'1'1'0,"1"1"0,-1-1 0,0 1 0,0 0 0,0-1 0,0 1 0,0 0 0,0-1 0,-1 1 0,1 0 0,-1 0 0,1 2 0,1 1 0,0-1 0,-1 1 0,1 0 0,0-1 0,1 1 0,-1 0 0,1-1 0,4 6 0,-6-9 0,-1-1 0,1 1 0,-1-1 0,1 1 0,0-1 0,-1 1 0,1-1 0,0 0 0,-1 1 0,1-1 0,0 0 0,0 1 0,-1-1 0,1 0 0,0 0 0,0 0 0,0 0 0,-1 0 0,2 0 0,0 0 0,-1-1 0,1 1 0,-1-1 0,0 1 0,1-1 0,-1 0 0,0 1 0,0-1 0,1 0 0,-1 0 0,0 0 0,0 0 0,0 0 0,1-2 0,28-35 0,48-78 0,-31 42 0,-31 49 0,-10 15 0,0 1 0,1-1 0,0 1 0,9-9 0,-16 17-35,0 1 0,1 0 0,-1-1 0,0 1 0,0 0 0,1-1 0,-1 1 0,0 0 0,1-1 0,-1 1 0,1 0 0,-1-1 0,0 1 0,1 0 0,-1 0 0,1 0 0,-1-1 0,0 1 0,1 0 0,-1 0 0,1 0 0,-1 0 0,1 0 0,-1 0 0,1 0 0,-1 0 0,1 0 0,-1 0 0,1 0 0,-1 0 0,0 0 0,1 1 0,-1-1 0,1 0 0,-1 0 0,1 0 0,-1 1 0,1-1 0,3 7-6791</inkml:trace>
  <inkml:trace contextRef="#ctx0" brushRef="#br0" timeOffset="76726.53">2286 726 24575,'0'6'0,"1"-1"0,0 1 0,0-1 0,1 0 0,-1 0 0,1 0 0,5 9 0,-6-12 0,0 0 0,0-1 0,0 1 0,0-1 0,0 0 0,0 1 0,1-1 0,-1 0 0,0 1 0,1-1 0,2 2 0,-3-3 0,0 0 0,-1 0 0,1 1 0,0-1 0,0 0 0,0 0 0,0 0 0,-1 0 0,1 0 0,0 0 0,0 0 0,0 0 0,0 0 0,-1-1 0,1 1 0,0 0 0,0 0 0,0-1 0,-1 1 0,1-1 0,0 1 0,0 0 0,-1-1 0,1 1 0,0-1 0,0 0 0,11-12 0,0-1 0,-1 1 0,17-28 0,0 0 0,-21 32 0,-4 4 0,0 0 0,0 1 0,0 0 0,1 0 0,0 0 0,-1 0 0,2 1 0,-1-1 0,0 1 0,9-5 0,-13 8 9,1 0 0,-1 0 0,1-1 0,-1 1 0,1 0 0,-1 0 0,1 0 0,-1 0 0,1 0 0,-1 0-1,0 1 1,1-1 0,-1 0 0,1 0 0,-1 0 0,1 0 0,-1 0 0,1 1 0,-1-1 0,0 0 0,1 0 0,-1 1 0,1-1 0,-1 0 0,0 1-1,1-1 1,-1 0 0,0 1 0,0-1 0,1 0 0,-1 1 0,0-1 0,0 1 0,0-1 0,1 1 0,-1-1 0,0 1 0,4 19-1375,-4-19 1027,0 16-6487</inkml:trace>
  <inkml:trace contextRef="#ctx0" brushRef="#br0" timeOffset="77104">2440 1062 24575,'0'1'0,"0"4"0,0 4 0,0 4 0,3 5 0,6 0 0,3-8 0,5-8 0,8-11 0,4-12 0,3-7 0,1-4 0,0-3 0,1-3 0,-3 4 0,-4 11 0,-6 9-8191</inkml:trace>
  <inkml:trace contextRef="#ctx0" brushRef="#br0" timeOffset="77780.39">3740 391 24575,'-1'0'0,"0"0"0,1 1 0,-1-1 0,0 0 0,0 1 0,1-1 0,-1 1 0,0-1 0,1 1 0,-1 0 0,0-1 0,1 1 0,-1-1 0,1 1 0,-1 0 0,1 0 0,0-1 0,-1 1 0,1 0 0,-1 0 0,1-1 0,0 1 0,0 0 0,0 0 0,-1 0 0,1 0 0,0-1 0,0 2 0,0 1 0,0-1 0,-1 0 0,1 1 0,0-1 0,0 0 0,0 1 0,1-1 0,-1 0 0,1 4 0,0-6 0,-1 1 0,0 0 0,1-1 0,-1 1 0,1 0 0,-1-1 0,1 1 0,-1 0 0,1-1 0,-1 1 0,1-1 0,0 1 0,-1-1 0,1 1 0,0-1 0,0 0 0,-1 1 0,1-1 0,0 0 0,0 1 0,-1-1 0,1 0 0,0 0 0,0 0 0,0 0 0,1 0 0,1 0 0,-1-1 0,0 1 0,0 0 0,0-1 0,-1 0 0,1 0 0,0 1 0,3-3 0,3-2 0,-1 0 0,0-1 0,10-10 0,24-31 0,-28 32 0,0 0 0,26-23 0,-38 37 17,-1 0-1,1 1 0,0-1 0,0 0 1,0 1-1,0-1 0,0 0 0,0 1 1,0-1-1,0 1 0,1 0 0,-1-1 1,0 1-1,0 0 0,0 0 0,0 0 1,0 0-1,1 0 0,-1 0 0,2 0 1,-2 1-92,0-1 1,-1 1 0,1-1 0,0 1 0,0 0-1,0-1 1,-1 1 0,1 0 0,0 0 0,-1-1-1,1 1 1,-1 0 0,1 0 0,-1 0 0,1 0-1,-1 0 1,0 0 0,1 0 0,-1 0 0,0 0-1,0 0 1,1 1 0,0 12-6752</inkml:trace>
  <inkml:trace contextRef="#ctx0" brushRef="#br0" timeOffset="78200.52">3860 873 24575,'0'4'0,"0"6"0,2 2 0,4-2 0,5-2 0,4-8 0,5-8 0,4-9 0,3-6 0,-1-4 0,0-3 0,-2-1 0,-4 1 0,-7 9 0,-4 9 0,-5 12 0,-2 6-8191</inkml:trace>
  <inkml:trace contextRef="#ctx0" brushRef="#br0" timeOffset="78985.56">5005 72 24575,'0'8'0,"0"-1"0,1 0 0,0 0 0,1 1 0,-1-1 0,1 0 0,1 0 0,2 7 0,-4-12 0,0-1 0,0 1 0,0 0 0,0-1 0,0 1 0,0-1 0,0 1 0,0-1 0,1 1 0,-1-1 0,0 0 0,1 0 0,-1 0 0,1 0 0,0 0 0,-1 0 0,1 0 0,0 0 0,-1 0 0,1-1 0,0 1 0,0-1 0,0 0 0,-1 1 0,1-1 0,0 0 0,0 0 0,0 0 0,0 0 0,0 0 0,0-1 0,-1 1 0,1-1 0,0 1 0,0-1 0,2-1 0,7-3 0,-1-1 0,0-1 0,0 0 0,-1 0 0,0-1 0,0 0 0,-1-1 0,0 0 0,0 0 0,8-14 0,-5 8 0,1 0 0,23-21 0,-35 36 0,0-1 0,0 1 0,0 0 0,0 0 0,1 0 0,-1 0 0,0-1 0,0 1 0,0 0 0,1 0 0,-1 0 0,0 0 0,0 0 0,0 0 0,1 0 0,-1 0 0,0-1 0,0 1 0,0 0 0,1 0 0,-1 0 0,0 0 0,0 0 0,1 0 0,-1 0 0,0 0 0,0 1 0,0-1 0,1 0 0,-1 0 0,0 0 0,0 0 0,0 0 0,1 0 0,-1 0 0,4 9 0,-3 16 0,-1-24 0,-1 19-1365,0 0-5461</inkml:trace>
  <inkml:trace contextRef="#ctx0" brushRef="#br0" timeOffset="79586.85">5349 460 24575,'0'-1'0,"0"1"0,0 0 0,0 0 0,-1 0 0,1 0 0,0 0 0,0 0 0,0 0 0,0 0 0,0 0 0,0 0 0,0-1 0,0 1 0,0 0 0,0 0 0,0 0 0,0 0 0,0 0 0,0 0 0,0 0 0,0 0 0,0-1 0,0 1 0,0 0 0,0 0 0,0 0 0,0 0 0,0 0 0,0 0 0,0 0 0,1 0 0,-1 0 0,0 0 0,0-1 0,0 1 0,0 0 0,0 0 0,0 0 0,0 0 0,0 0 0,0 0 0,0 0 0,0 0 0,1 0 0,-1 0 0,0 0 0,0 0 0,0 0 0,0 0 0,0 0 0,0 0 0,0 0 0,0 0 0,0 0 0,1 0 0,-1 0 0,0 0 0,0 0 0,0 0 0,5 7 0,4 10 0,-8-14 0,0-1 0,0 0 0,0 0 0,0 0 0,1 0 0,-1-1 0,0 1 0,1 0 0,-1 0 0,1-1 0,0 1 0,-1-1 0,1 1 0,0-1 0,0 0 0,0 0 0,0 0 0,0 0 0,0 0 0,0 0 0,1-1 0,-1 1 0,3 0 0,-2-1 0,0 0 0,1 0 0,-1-1 0,0 1 0,1-1 0,-1 0 0,0 0 0,1 0 0,-1 0 0,0 0 0,0-1 0,0 1 0,0-1 0,0 0 0,3-3 0,9-9 0,-1 0 0,0-1 0,-1-1 0,0 0 0,-2 0 0,19-35 0,5-6 0,-35 56-50,0 1-1,1 0 1,-1-1-1,0 1 0,0-1 1,0 1-1,1 0 1,-1-1-1,0 1 1,1 0-1,-1-1 0,0 1 1,0 0-1,1 0 1,-1-1-1,1 1 1,-1 0-1,0 0 0,1 0 1,-1-1-1,0 1 1,1 0-1,-1 0 1,1 0-1,-1 0 1,1 0-1,-1 4-6775</inkml:trace>
  <inkml:trace contextRef="#ctx0" brushRef="#br0" timeOffset="81104.23">23 1957 24575,'-1'0'0,"0"0"0,0 0 0,0 0 0,0 1 0,0-1 0,-1 0 0,1 1 0,1-1 0,-1 1 0,0-1 0,0 1 0,0-1 0,0 1 0,0 0 0,0-1 0,1 1 0,-1 0 0,0 0 0,0 0 0,1-1 0,-1 1 0,1 0 0,-2 2 0,2-3 0,0 1 0,0-1 0,0 1 0,0 0 0,0-1 0,-1 1 0,1-1 0,0 1 0,0-1 0,0 1 0,1 0 0,-1-1 0,0 1 0,0-1 0,0 1 0,0-1 0,0 1 0,1-1 0,-1 1 0,0-1 0,0 1 0,1-1 0,-1 1 0,0-1 0,1 1 0,-1-1 0,1 0 0,-1 1 0,0-1 0,1 0 0,-1 1 0,1-1 0,-1 0 0,1 1 0,-1-1 0,1 0 0,-1 0 0,1 0 0,0 1 0,-1-1 0,1 0 0,-1 0 0,1 0 0,-1 0 0,1 0 0,1 0 0,8-1 0,1 1 0,-1-1 0,1-1 0,-1 0 0,0-1 0,1 0 0,-1 0 0,0-1 0,9-5 0,21-7 0,13-2 0,229-67 0,-275 85 171,-13 3 0,-13 4-1878,3-3-5119</inkml:trace>
  <inkml:trace contextRef="#ctx0" brushRef="#br0" timeOffset="81563.95">75 1982 24575,'-1'8'0,"2"-2"0,13-7 0,12-5 0,-1-1 0,0-1 0,0-2 0,34-18 0,4 0 0,27-8 0,3 4 0,105-22 0,-172 47-1365,-9 2-5461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1T06:04:10.34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882 417 24575,'0'-2'0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5T19:15:40.63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882 417 24575,'0'-2'0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D0109-A9C7-47DB-9AF4-35A0E9F4B880}" name="Table1" displayName="Table1" ref="A1:D11" totalsRowShown="0" headerRowDxfId="10" headerRowBorderDxfId="9" tableBorderDxfId="8" totalsRowBorderDxfId="7">
  <autoFilter ref="A1:D11" xr:uid="{31ED0109-A9C7-47DB-9AF4-35A0E9F4B880}"/>
  <tableColumns count="4">
    <tableColumn id="1" xr3:uid="{45CC61B7-4DB8-42D7-9BF4-6E82149AF987}" name="Employee_ID" dataDxfId="6"/>
    <tableColumn id="2" xr3:uid="{2A464F17-9B99-4609-B8A0-3382FF6907C5}" name="Employee_Name" dataDxfId="5"/>
    <tableColumn id="3" xr3:uid="{9822613B-CA38-4CB6-9FFB-5C2AE8BB7132}" name="Department" dataDxfId="4"/>
    <tableColumn id="4" xr3:uid="{11BAA4B0-061C-4992-9394-7E71DA587D76}" name="Salar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  <wetp:taskpane dockstate="right" visibility="0" width="525" row="1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688F7E3-8F2C-4BF1-8602-5A250F5743B8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6EC579A-D46D-4E9A-B057-F2B1D04EF0D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df65e6d-a128-42d1-80d8-f2f42573147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F320-AE01-48DB-B35F-06E721377CC6}">
  <sheetPr>
    <tabColor rgb="FFFF0000"/>
  </sheetPr>
  <dimension ref="A1:L109"/>
  <sheetViews>
    <sheetView tabSelected="1" topLeftCell="A27" zoomScale="160" zoomScaleNormal="160" workbookViewId="0">
      <selection activeCell="L46" sqref="L46"/>
    </sheetView>
  </sheetViews>
  <sheetFormatPr defaultRowHeight="14.5" x14ac:dyDescent="0.35"/>
  <cols>
    <col min="1" max="1" width="4.6328125" bestFit="1" customWidth="1"/>
    <col min="2" max="2" width="15.08984375" bestFit="1" customWidth="1"/>
    <col min="3" max="3" width="5.6328125" bestFit="1" customWidth="1"/>
    <col min="4" max="4" width="7.26953125" bestFit="1" customWidth="1"/>
    <col min="5" max="5" width="6.6328125" bestFit="1" customWidth="1"/>
    <col min="6" max="6" width="7.54296875" bestFit="1" customWidth="1"/>
    <col min="7" max="7" width="5.453125" bestFit="1" customWidth="1"/>
    <col min="9" max="9" width="7.7265625" style="1" bestFit="1" customWidth="1"/>
    <col min="10" max="10" width="9.36328125" style="1" bestFit="1" customWidth="1"/>
    <col min="11" max="11" width="8.7265625" style="1"/>
    <col min="12" max="12" width="9.6328125" style="1" bestFit="1" customWidth="1"/>
  </cols>
  <sheetData>
    <row r="1" spans="1:7" ht="15" thickBot="1" x14ac:dyDescent="0.4"/>
    <row r="2" spans="1:7" ht="16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35">
      <c r="A3" s="4">
        <v>1</v>
      </c>
      <c r="B3" s="5" t="s">
        <v>7</v>
      </c>
      <c r="C3" s="5">
        <v>41</v>
      </c>
      <c r="D3" s="5">
        <v>39</v>
      </c>
      <c r="E3" s="5">
        <v>75</v>
      </c>
      <c r="F3" s="5">
        <v>34</v>
      </c>
      <c r="G3" s="6"/>
    </row>
    <row r="4" spans="1:7" x14ac:dyDescent="0.35">
      <c r="A4" s="4">
        <v>2</v>
      </c>
      <c r="B4" s="5" t="s">
        <v>8</v>
      </c>
      <c r="C4" s="5">
        <v>67</v>
      </c>
      <c r="D4" s="5">
        <v>57</v>
      </c>
      <c r="E4" s="5">
        <v>73</v>
      </c>
      <c r="F4" s="5">
        <v>47</v>
      </c>
      <c r="G4" s="6"/>
    </row>
    <row r="5" spans="1:7" x14ac:dyDescent="0.35">
      <c r="A5" s="4">
        <v>3</v>
      </c>
      <c r="B5" s="5" t="s">
        <v>9</v>
      </c>
      <c r="C5" s="5">
        <v>22</v>
      </c>
      <c r="D5" s="5">
        <v>77</v>
      </c>
      <c r="E5" s="5">
        <v>29</v>
      </c>
      <c r="F5" s="5">
        <v>93</v>
      </c>
      <c r="G5" s="6"/>
    </row>
    <row r="6" spans="1:7" x14ac:dyDescent="0.35">
      <c r="A6" s="4">
        <v>4</v>
      </c>
      <c r="B6" s="5" t="s">
        <v>10</v>
      </c>
      <c r="C6" s="5">
        <v>58</v>
      </c>
      <c r="D6" s="5">
        <v>80</v>
      </c>
      <c r="E6" s="5">
        <v>28</v>
      </c>
      <c r="F6" s="5">
        <v>92</v>
      </c>
      <c r="G6" s="6"/>
    </row>
    <row r="7" spans="1:7" x14ac:dyDescent="0.35">
      <c r="A7" s="4">
        <v>5</v>
      </c>
      <c r="B7" s="5" t="s">
        <v>11</v>
      </c>
      <c r="C7" s="5">
        <v>89</v>
      </c>
      <c r="D7" s="5">
        <v>69</v>
      </c>
      <c r="E7" s="5">
        <v>92</v>
      </c>
      <c r="F7" s="5">
        <v>25</v>
      </c>
      <c r="G7" s="6"/>
    </row>
    <row r="8" spans="1:7" x14ac:dyDescent="0.35">
      <c r="A8" s="4">
        <v>6</v>
      </c>
      <c r="B8" s="5" t="s">
        <v>12</v>
      </c>
      <c r="C8" s="5">
        <v>43</v>
      </c>
      <c r="D8" s="5">
        <v>20</v>
      </c>
      <c r="E8" s="5">
        <v>66</v>
      </c>
      <c r="F8" s="5">
        <v>50</v>
      </c>
      <c r="G8" s="6"/>
    </row>
    <row r="9" spans="1:7" x14ac:dyDescent="0.35">
      <c r="A9" s="4">
        <v>7</v>
      </c>
      <c r="B9" s="5" t="s">
        <v>13</v>
      </c>
      <c r="C9" s="5">
        <v>21</v>
      </c>
      <c r="D9" s="5">
        <v>27</v>
      </c>
      <c r="E9" s="5">
        <v>70</v>
      </c>
      <c r="F9" s="5">
        <v>53</v>
      </c>
      <c r="G9" s="6"/>
    </row>
    <row r="10" spans="1:7" x14ac:dyDescent="0.35">
      <c r="A10" s="4">
        <v>8</v>
      </c>
      <c r="B10" s="5" t="s">
        <v>14</v>
      </c>
      <c r="C10" s="5">
        <v>21</v>
      </c>
      <c r="D10" s="5">
        <v>35</v>
      </c>
      <c r="E10" s="5">
        <v>36</v>
      </c>
      <c r="F10" s="5">
        <v>41</v>
      </c>
      <c r="G10" s="6"/>
    </row>
    <row r="11" spans="1:7" x14ac:dyDescent="0.35">
      <c r="A11" s="4">
        <v>9</v>
      </c>
      <c r="B11" s="5" t="s">
        <v>15</v>
      </c>
      <c r="C11" s="5">
        <v>61</v>
      </c>
      <c r="D11" s="5">
        <v>19</v>
      </c>
      <c r="E11" s="5">
        <v>25</v>
      </c>
      <c r="F11" s="5">
        <v>73</v>
      </c>
      <c r="G11" s="6"/>
    </row>
    <row r="12" spans="1:7" x14ac:dyDescent="0.35">
      <c r="A12" s="4">
        <v>10</v>
      </c>
      <c r="B12" s="5" t="s">
        <v>16</v>
      </c>
      <c r="C12" s="5">
        <v>69</v>
      </c>
      <c r="D12" s="5">
        <v>32</v>
      </c>
      <c r="E12" s="5">
        <v>59</v>
      </c>
      <c r="F12" s="5">
        <v>41</v>
      </c>
      <c r="G12" s="6"/>
    </row>
    <row r="13" spans="1:7" x14ac:dyDescent="0.35">
      <c r="A13" s="4">
        <v>11</v>
      </c>
      <c r="B13" s="5" t="s">
        <v>17</v>
      </c>
      <c r="C13" s="5">
        <v>27</v>
      </c>
      <c r="D13" s="5">
        <v>75</v>
      </c>
      <c r="E13" s="5">
        <v>68</v>
      </c>
      <c r="F13" s="5">
        <v>79</v>
      </c>
      <c r="G13" s="6"/>
    </row>
    <row r="14" spans="1:7" x14ac:dyDescent="0.35">
      <c r="A14" s="4">
        <v>12</v>
      </c>
      <c r="B14" s="5" t="s">
        <v>18</v>
      </c>
      <c r="C14" s="5">
        <v>76</v>
      </c>
      <c r="D14" s="5">
        <v>54</v>
      </c>
      <c r="E14" s="5">
        <v>40</v>
      </c>
      <c r="F14" s="5">
        <v>30</v>
      </c>
      <c r="G14" s="6"/>
    </row>
    <row r="15" spans="1:7" x14ac:dyDescent="0.35">
      <c r="A15" s="4">
        <v>13</v>
      </c>
      <c r="B15" s="5" t="s">
        <v>19</v>
      </c>
      <c r="C15" s="5">
        <v>29</v>
      </c>
      <c r="D15" s="5">
        <v>15</v>
      </c>
      <c r="E15" s="5">
        <v>81</v>
      </c>
      <c r="F15" s="5">
        <v>56</v>
      </c>
      <c r="G15" s="6"/>
    </row>
    <row r="16" spans="1:7" x14ac:dyDescent="0.35">
      <c r="A16" s="4">
        <v>14</v>
      </c>
      <c r="B16" s="5" t="s">
        <v>20</v>
      </c>
      <c r="C16" s="5">
        <v>62</v>
      </c>
      <c r="D16" s="5">
        <v>21</v>
      </c>
      <c r="E16" s="5">
        <v>67</v>
      </c>
      <c r="F16" s="5">
        <v>88</v>
      </c>
      <c r="G16" s="6"/>
    </row>
    <row r="17" spans="1:9" ht="15" thickBot="1" x14ac:dyDescent="0.4">
      <c r="A17" s="7">
        <v>15</v>
      </c>
      <c r="B17" s="8" t="s">
        <v>21</v>
      </c>
      <c r="C17" s="8">
        <v>15</v>
      </c>
      <c r="D17" s="8">
        <v>95</v>
      </c>
      <c r="E17" s="8">
        <v>29</v>
      </c>
      <c r="F17" s="8">
        <v>64</v>
      </c>
      <c r="G17" s="6"/>
    </row>
    <row r="29" spans="1:9" ht="15" thickBot="1" x14ac:dyDescent="0.4"/>
    <row r="30" spans="1:9" ht="15" thickBot="1" x14ac:dyDescent="0.4">
      <c r="A30" s="300" t="s">
        <v>22</v>
      </c>
      <c r="B30" s="301"/>
      <c r="C30" s="301"/>
      <c r="D30" s="301"/>
      <c r="E30" s="302"/>
      <c r="F30" s="303">
        <v>400</v>
      </c>
      <c r="G30" s="304"/>
      <c r="H30" s="304"/>
      <c r="I30" s="305"/>
    </row>
    <row r="31" spans="1:9" ht="16" x14ac:dyDescent="0.35">
      <c r="A31" s="9" t="s">
        <v>0</v>
      </c>
      <c r="B31" s="10" t="s">
        <v>1</v>
      </c>
      <c r="C31" s="10" t="s">
        <v>2</v>
      </c>
      <c r="D31" s="10" t="s">
        <v>3</v>
      </c>
      <c r="E31" s="10" t="s">
        <v>4</v>
      </c>
      <c r="F31" s="10" t="s">
        <v>5</v>
      </c>
      <c r="G31" s="10" t="s">
        <v>6</v>
      </c>
      <c r="H31" s="10" t="s">
        <v>23</v>
      </c>
      <c r="I31" s="10" t="s">
        <v>23</v>
      </c>
    </row>
    <row r="32" spans="1:9" x14ac:dyDescent="0.35">
      <c r="A32" s="4">
        <v>1</v>
      </c>
      <c r="B32" s="5" t="s">
        <v>7</v>
      </c>
      <c r="C32" s="5">
        <v>41</v>
      </c>
      <c r="D32" s="5">
        <v>39</v>
      </c>
      <c r="E32" s="5">
        <v>75</v>
      </c>
      <c r="F32" s="5">
        <v>34</v>
      </c>
      <c r="G32" s="6">
        <f>SUM(C32:F32)</f>
        <v>189</v>
      </c>
      <c r="H32" s="11"/>
      <c r="I32" s="11"/>
    </row>
    <row r="33" spans="1:9" x14ac:dyDescent="0.35">
      <c r="A33" s="4">
        <v>2</v>
      </c>
      <c r="B33" s="5" t="s">
        <v>8</v>
      </c>
      <c r="C33" s="5">
        <v>67</v>
      </c>
      <c r="D33" s="5">
        <v>57</v>
      </c>
      <c r="E33" s="5">
        <v>73</v>
      </c>
      <c r="F33" s="5">
        <v>47</v>
      </c>
      <c r="G33" s="6">
        <f t="shared" ref="G33:G46" si="0">SUM(C33:F33)</f>
        <v>244</v>
      </c>
      <c r="H33" s="11"/>
      <c r="I33" s="11"/>
    </row>
    <row r="34" spans="1:9" x14ac:dyDescent="0.35">
      <c r="A34" s="4">
        <v>3</v>
      </c>
      <c r="B34" s="5" t="s">
        <v>9</v>
      </c>
      <c r="C34" s="5">
        <v>22</v>
      </c>
      <c r="D34" s="5">
        <v>77</v>
      </c>
      <c r="E34" s="5">
        <v>29</v>
      </c>
      <c r="F34" s="5">
        <v>93</v>
      </c>
      <c r="G34" s="6">
        <f t="shared" si="0"/>
        <v>221</v>
      </c>
      <c r="H34" s="11"/>
      <c r="I34" s="11"/>
    </row>
    <row r="35" spans="1:9" x14ac:dyDescent="0.35">
      <c r="A35" s="4">
        <v>4</v>
      </c>
      <c r="B35" s="5" t="s">
        <v>10</v>
      </c>
      <c r="C35" s="5">
        <v>58</v>
      </c>
      <c r="D35" s="5">
        <v>80</v>
      </c>
      <c r="E35" s="5">
        <v>28</v>
      </c>
      <c r="F35" s="5">
        <v>92</v>
      </c>
      <c r="G35" s="6">
        <f t="shared" si="0"/>
        <v>258</v>
      </c>
      <c r="H35" s="11"/>
      <c r="I35" s="11"/>
    </row>
    <row r="36" spans="1:9" x14ac:dyDescent="0.35">
      <c r="A36" s="4">
        <v>5</v>
      </c>
      <c r="B36" s="5" t="s">
        <v>11</v>
      </c>
      <c r="C36" s="5">
        <v>89</v>
      </c>
      <c r="D36" s="5">
        <v>69</v>
      </c>
      <c r="E36" s="5">
        <v>92</v>
      </c>
      <c r="F36" s="5">
        <v>25</v>
      </c>
      <c r="G36" s="6">
        <f t="shared" si="0"/>
        <v>275</v>
      </c>
      <c r="H36" s="11"/>
      <c r="I36" s="11"/>
    </row>
    <row r="37" spans="1:9" x14ac:dyDescent="0.35">
      <c r="A37" s="4">
        <v>6</v>
      </c>
      <c r="B37" s="5" t="s">
        <v>12</v>
      </c>
      <c r="C37" s="5">
        <v>43</v>
      </c>
      <c r="D37" s="5">
        <v>20</v>
      </c>
      <c r="E37" s="5">
        <v>66</v>
      </c>
      <c r="F37" s="5">
        <v>50</v>
      </c>
      <c r="G37" s="6">
        <f t="shared" si="0"/>
        <v>179</v>
      </c>
      <c r="H37" s="11"/>
      <c r="I37" s="11"/>
    </row>
    <row r="38" spans="1:9" x14ac:dyDescent="0.35">
      <c r="A38" s="4">
        <v>7</v>
      </c>
      <c r="B38" s="5" t="s">
        <v>13</v>
      </c>
      <c r="C38" s="5">
        <v>21</v>
      </c>
      <c r="D38" s="5">
        <v>27</v>
      </c>
      <c r="E38" s="5">
        <v>70</v>
      </c>
      <c r="F38" s="5">
        <v>53</v>
      </c>
      <c r="G38" s="6">
        <f t="shared" si="0"/>
        <v>171</v>
      </c>
      <c r="H38" s="11"/>
      <c r="I38" s="11"/>
    </row>
    <row r="39" spans="1:9" x14ac:dyDescent="0.35">
      <c r="A39" s="4">
        <v>8</v>
      </c>
      <c r="B39" s="5" t="s">
        <v>14</v>
      </c>
      <c r="C39" s="5">
        <v>21</v>
      </c>
      <c r="D39" s="5">
        <v>35</v>
      </c>
      <c r="E39" s="5">
        <v>36</v>
      </c>
      <c r="F39" s="5">
        <v>41</v>
      </c>
      <c r="G39" s="6">
        <f t="shared" si="0"/>
        <v>133</v>
      </c>
      <c r="H39" s="11"/>
      <c r="I39" s="11"/>
    </row>
    <row r="40" spans="1:9" x14ac:dyDescent="0.35">
      <c r="A40" s="4">
        <v>9</v>
      </c>
      <c r="B40" s="5" t="s">
        <v>15</v>
      </c>
      <c r="C40" s="5">
        <v>61</v>
      </c>
      <c r="D40" s="5">
        <v>19</v>
      </c>
      <c r="E40" s="5">
        <v>25</v>
      </c>
      <c r="F40" s="5">
        <v>73</v>
      </c>
      <c r="G40" s="6">
        <f t="shared" si="0"/>
        <v>178</v>
      </c>
      <c r="H40" s="11"/>
      <c r="I40" s="11"/>
    </row>
    <row r="41" spans="1:9" x14ac:dyDescent="0.35">
      <c r="A41" s="4">
        <v>10</v>
      </c>
      <c r="B41" s="5" t="s">
        <v>16</v>
      </c>
      <c r="C41" s="5">
        <v>69</v>
      </c>
      <c r="D41" s="5">
        <v>32</v>
      </c>
      <c r="E41" s="5">
        <v>59</v>
      </c>
      <c r="F41" s="5">
        <v>41</v>
      </c>
      <c r="G41" s="6">
        <f t="shared" si="0"/>
        <v>201</v>
      </c>
      <c r="H41" s="11"/>
      <c r="I41" s="11"/>
    </row>
    <row r="42" spans="1:9" x14ac:dyDescent="0.35">
      <c r="A42" s="4">
        <v>11</v>
      </c>
      <c r="B42" s="5" t="s">
        <v>17</v>
      </c>
      <c r="C42" s="5">
        <v>27</v>
      </c>
      <c r="D42" s="5">
        <v>75</v>
      </c>
      <c r="E42" s="5">
        <v>68</v>
      </c>
      <c r="F42" s="5">
        <v>79</v>
      </c>
      <c r="G42" s="6">
        <f t="shared" si="0"/>
        <v>249</v>
      </c>
      <c r="H42" s="11"/>
      <c r="I42" s="11"/>
    </row>
    <row r="43" spans="1:9" x14ac:dyDescent="0.35">
      <c r="A43" s="4">
        <v>12</v>
      </c>
      <c r="B43" s="5" t="s">
        <v>18</v>
      </c>
      <c r="C43" s="5">
        <v>76</v>
      </c>
      <c r="D43" s="5">
        <v>54</v>
      </c>
      <c r="E43" s="5">
        <v>40</v>
      </c>
      <c r="F43" s="5">
        <v>30</v>
      </c>
      <c r="G43" s="6">
        <f t="shared" si="0"/>
        <v>200</v>
      </c>
      <c r="H43" s="11"/>
      <c r="I43" s="11"/>
    </row>
    <row r="44" spans="1:9" x14ac:dyDescent="0.35">
      <c r="A44" s="4">
        <v>13</v>
      </c>
      <c r="B44" s="5" t="s">
        <v>19</v>
      </c>
      <c r="C44" s="5">
        <v>29</v>
      </c>
      <c r="D44" s="5">
        <v>15</v>
      </c>
      <c r="E44" s="5">
        <v>81</v>
      </c>
      <c r="F44" s="5">
        <v>56</v>
      </c>
      <c r="G44" s="6">
        <f t="shared" si="0"/>
        <v>181</v>
      </c>
      <c r="H44" s="11"/>
      <c r="I44" s="11"/>
    </row>
    <row r="45" spans="1:9" x14ac:dyDescent="0.35">
      <c r="A45" s="4">
        <v>14</v>
      </c>
      <c r="B45" s="5" t="s">
        <v>20</v>
      </c>
      <c r="C45" s="5">
        <v>62</v>
      </c>
      <c r="D45" s="5">
        <v>21</v>
      </c>
      <c r="E45" s="5">
        <v>67</v>
      </c>
      <c r="F45" s="5">
        <v>88</v>
      </c>
      <c r="G45" s="6">
        <f t="shared" si="0"/>
        <v>238</v>
      </c>
      <c r="H45" s="11"/>
      <c r="I45" s="11"/>
    </row>
    <row r="46" spans="1:9" ht="15" thickBot="1" x14ac:dyDescent="0.4">
      <c r="A46" s="7">
        <v>15</v>
      </c>
      <c r="B46" s="8" t="s">
        <v>21</v>
      </c>
      <c r="C46" s="8">
        <v>15</v>
      </c>
      <c r="D46" s="8">
        <v>95</v>
      </c>
      <c r="E46" s="8">
        <v>29</v>
      </c>
      <c r="F46" s="8">
        <v>64</v>
      </c>
      <c r="G46" s="6">
        <f t="shared" si="0"/>
        <v>203</v>
      </c>
      <c r="H46" s="11"/>
      <c r="I46" s="11"/>
    </row>
    <row r="60" spans="1:12" ht="15" thickBot="1" x14ac:dyDescent="0.4"/>
    <row r="61" spans="1:12" ht="15" thickBot="1" x14ac:dyDescent="0.4">
      <c r="A61" s="300" t="s">
        <v>22</v>
      </c>
      <c r="B61" s="301"/>
      <c r="C61" s="301"/>
      <c r="D61" s="301"/>
      <c r="E61" s="301"/>
      <c r="F61" s="306">
        <v>400</v>
      </c>
      <c r="G61" s="306"/>
      <c r="H61" s="306"/>
      <c r="I61" s="306"/>
      <c r="J61" s="306"/>
      <c r="K61" s="306"/>
      <c r="L61" s="307"/>
    </row>
    <row r="62" spans="1:12" ht="16" x14ac:dyDescent="0.35">
      <c r="A62" s="9" t="s">
        <v>0</v>
      </c>
      <c r="B62" s="10" t="s">
        <v>1</v>
      </c>
      <c r="C62" s="10" t="s">
        <v>2</v>
      </c>
      <c r="D62" s="10" t="s">
        <v>3</v>
      </c>
      <c r="E62" s="10" t="s">
        <v>4</v>
      </c>
      <c r="F62" s="10" t="s">
        <v>5</v>
      </c>
      <c r="G62" s="10" t="s">
        <v>6</v>
      </c>
      <c r="H62" s="10" t="s">
        <v>23</v>
      </c>
      <c r="I62" s="10" t="s">
        <v>24</v>
      </c>
      <c r="J62" s="10" t="s">
        <v>25</v>
      </c>
      <c r="K62" s="10" t="s">
        <v>26</v>
      </c>
      <c r="L62" s="12" t="s">
        <v>27</v>
      </c>
    </row>
    <row r="63" spans="1:12" x14ac:dyDescent="0.35">
      <c r="A63" s="4">
        <v>1</v>
      </c>
      <c r="B63" s="5" t="s">
        <v>7</v>
      </c>
      <c r="C63" s="5">
        <v>41</v>
      </c>
      <c r="D63" s="5">
        <v>39</v>
      </c>
      <c r="E63" s="5">
        <v>75</v>
      </c>
      <c r="F63" s="5">
        <v>34</v>
      </c>
      <c r="G63" s="6">
        <f>SUM(C63:F63)</f>
        <v>189</v>
      </c>
      <c r="H63" s="11">
        <f>G63/$F$61</f>
        <v>0.47249999999999998</v>
      </c>
      <c r="I63" s="13"/>
      <c r="J63" s="13"/>
      <c r="K63" s="13"/>
      <c r="L63" s="13"/>
    </row>
    <row r="64" spans="1:12" x14ac:dyDescent="0.35">
      <c r="A64" s="4">
        <v>2</v>
      </c>
      <c r="B64" s="5" t="s">
        <v>8</v>
      </c>
      <c r="C64" s="5">
        <v>67</v>
      </c>
      <c r="D64" s="5">
        <v>57</v>
      </c>
      <c r="E64" s="5">
        <v>73</v>
      </c>
      <c r="F64" s="5">
        <v>47</v>
      </c>
      <c r="G64" s="6">
        <f t="shared" ref="G64:G75" si="1">SUM(C64:F64)</f>
        <v>244</v>
      </c>
      <c r="H64" s="11">
        <f t="shared" ref="H64:H75" si="2">G64/$F$61</f>
        <v>0.61</v>
      </c>
      <c r="I64" s="13"/>
      <c r="J64" s="13"/>
      <c r="K64" s="13"/>
      <c r="L64" s="13"/>
    </row>
    <row r="65" spans="1:12" x14ac:dyDescent="0.35">
      <c r="A65" s="4">
        <v>3</v>
      </c>
      <c r="B65" s="5" t="s">
        <v>9</v>
      </c>
      <c r="C65" s="5">
        <v>22</v>
      </c>
      <c r="D65" s="5">
        <v>77</v>
      </c>
      <c r="E65" s="5">
        <v>29</v>
      </c>
      <c r="F65" s="5">
        <v>93</v>
      </c>
      <c r="G65" s="6">
        <f t="shared" si="1"/>
        <v>221</v>
      </c>
      <c r="H65" s="11">
        <f t="shared" si="2"/>
        <v>0.55249999999999999</v>
      </c>
      <c r="I65" s="13"/>
      <c r="J65" s="13"/>
      <c r="K65" s="13"/>
      <c r="L65" s="13"/>
    </row>
    <row r="66" spans="1:12" x14ac:dyDescent="0.35">
      <c r="A66" s="4">
        <v>4</v>
      </c>
      <c r="B66" s="5" t="s">
        <v>10</v>
      </c>
      <c r="C66" s="5">
        <v>58</v>
      </c>
      <c r="D66" s="5">
        <v>80</v>
      </c>
      <c r="E66" s="5">
        <v>28</v>
      </c>
      <c r="F66" s="5">
        <v>92</v>
      </c>
      <c r="G66" s="6">
        <f t="shared" si="1"/>
        <v>258</v>
      </c>
      <c r="H66" s="11">
        <f t="shared" si="2"/>
        <v>0.64500000000000002</v>
      </c>
      <c r="I66" s="13"/>
      <c r="J66" s="13"/>
      <c r="K66" s="13"/>
      <c r="L66" s="13"/>
    </row>
    <row r="67" spans="1:12" x14ac:dyDescent="0.35">
      <c r="A67" s="4">
        <v>5</v>
      </c>
      <c r="B67" s="5" t="s">
        <v>11</v>
      </c>
      <c r="C67" s="5">
        <v>89</v>
      </c>
      <c r="D67" s="5">
        <v>69</v>
      </c>
      <c r="E67" s="5">
        <v>92</v>
      </c>
      <c r="F67" s="5">
        <v>25</v>
      </c>
      <c r="G67" s="6">
        <f t="shared" si="1"/>
        <v>275</v>
      </c>
      <c r="H67" s="11">
        <f t="shared" si="2"/>
        <v>0.6875</v>
      </c>
      <c r="I67" s="13"/>
      <c r="J67" s="13"/>
      <c r="K67" s="13"/>
      <c r="L67" s="13"/>
    </row>
    <row r="68" spans="1:12" x14ac:dyDescent="0.35">
      <c r="A68" s="4">
        <v>6</v>
      </c>
      <c r="B68" s="5" t="s">
        <v>12</v>
      </c>
      <c r="C68" s="5">
        <v>43</v>
      </c>
      <c r="D68" s="5">
        <v>20</v>
      </c>
      <c r="E68" s="5">
        <v>66</v>
      </c>
      <c r="F68" s="5">
        <v>50</v>
      </c>
      <c r="G68" s="6">
        <f t="shared" si="1"/>
        <v>179</v>
      </c>
      <c r="H68" s="11">
        <f t="shared" si="2"/>
        <v>0.44750000000000001</v>
      </c>
      <c r="I68" s="13"/>
      <c r="J68" s="13"/>
      <c r="K68" s="13"/>
      <c r="L68" s="13"/>
    </row>
    <row r="69" spans="1:12" x14ac:dyDescent="0.35">
      <c r="A69" s="4">
        <v>7</v>
      </c>
      <c r="B69" s="5" t="s">
        <v>13</v>
      </c>
      <c r="C69" s="5">
        <v>21</v>
      </c>
      <c r="D69" s="5">
        <v>27</v>
      </c>
      <c r="E69" s="5">
        <v>70</v>
      </c>
      <c r="F69" s="5">
        <v>53</v>
      </c>
      <c r="G69" s="6">
        <f t="shared" si="1"/>
        <v>171</v>
      </c>
      <c r="H69" s="11">
        <f t="shared" si="2"/>
        <v>0.42749999999999999</v>
      </c>
      <c r="I69" s="13"/>
      <c r="J69" s="13"/>
      <c r="K69" s="13"/>
      <c r="L69" s="13"/>
    </row>
    <row r="70" spans="1:12" x14ac:dyDescent="0.35">
      <c r="A70" s="4">
        <v>8</v>
      </c>
      <c r="B70" s="5" t="s">
        <v>14</v>
      </c>
      <c r="C70" s="5">
        <v>21</v>
      </c>
      <c r="D70" s="5">
        <v>35</v>
      </c>
      <c r="E70" s="5">
        <v>36</v>
      </c>
      <c r="F70" s="5">
        <v>41</v>
      </c>
      <c r="G70" s="6">
        <f t="shared" si="1"/>
        <v>133</v>
      </c>
      <c r="H70" s="11">
        <f t="shared" si="2"/>
        <v>0.33250000000000002</v>
      </c>
      <c r="I70" s="13"/>
      <c r="J70" s="13"/>
      <c r="K70" s="13"/>
      <c r="L70" s="13"/>
    </row>
    <row r="71" spans="1:12" x14ac:dyDescent="0.35">
      <c r="A71" s="4">
        <v>9</v>
      </c>
      <c r="B71" s="5" t="s">
        <v>15</v>
      </c>
      <c r="C71" s="5">
        <v>61</v>
      </c>
      <c r="D71" s="5">
        <v>19</v>
      </c>
      <c r="E71" s="5">
        <v>25</v>
      </c>
      <c r="F71" s="5">
        <v>73</v>
      </c>
      <c r="G71" s="6">
        <f t="shared" si="1"/>
        <v>178</v>
      </c>
      <c r="H71" s="11">
        <f t="shared" si="2"/>
        <v>0.44500000000000001</v>
      </c>
      <c r="I71" s="13"/>
      <c r="J71" s="13"/>
      <c r="K71" s="13"/>
      <c r="L71" s="13"/>
    </row>
    <row r="72" spans="1:12" x14ac:dyDescent="0.35">
      <c r="A72" s="4">
        <v>10</v>
      </c>
      <c r="B72" s="5" t="s">
        <v>16</v>
      </c>
      <c r="C72" s="5">
        <v>69</v>
      </c>
      <c r="D72" s="5">
        <v>32</v>
      </c>
      <c r="E72" s="5">
        <v>59</v>
      </c>
      <c r="F72" s="5">
        <v>41</v>
      </c>
      <c r="G72" s="6">
        <f t="shared" si="1"/>
        <v>201</v>
      </c>
      <c r="H72" s="11">
        <f t="shared" si="2"/>
        <v>0.50249999999999995</v>
      </c>
      <c r="I72" s="13"/>
      <c r="J72" s="13"/>
      <c r="K72" s="13"/>
      <c r="L72" s="13"/>
    </row>
    <row r="73" spans="1:12" x14ac:dyDescent="0.35">
      <c r="A73" s="4">
        <v>11</v>
      </c>
      <c r="B73" s="5" t="s">
        <v>17</v>
      </c>
      <c r="C73" s="5">
        <v>27</v>
      </c>
      <c r="D73" s="5">
        <v>75</v>
      </c>
      <c r="E73" s="5">
        <v>68</v>
      </c>
      <c r="F73" s="5">
        <v>79</v>
      </c>
      <c r="G73" s="6">
        <f t="shared" si="1"/>
        <v>249</v>
      </c>
      <c r="H73" s="11">
        <f t="shared" si="2"/>
        <v>0.62250000000000005</v>
      </c>
      <c r="I73" s="13"/>
      <c r="J73" s="13"/>
      <c r="K73" s="13"/>
      <c r="L73" s="13"/>
    </row>
    <row r="74" spans="1:12" x14ac:dyDescent="0.35">
      <c r="A74" s="4">
        <v>12</v>
      </c>
      <c r="B74" s="5" t="s">
        <v>18</v>
      </c>
      <c r="C74" s="5">
        <v>76</v>
      </c>
      <c r="D74" s="5">
        <v>54</v>
      </c>
      <c r="E74" s="5">
        <v>40</v>
      </c>
      <c r="F74" s="5">
        <v>30</v>
      </c>
      <c r="G74" s="6">
        <f t="shared" si="1"/>
        <v>200</v>
      </c>
      <c r="H74" s="11">
        <f t="shared" si="2"/>
        <v>0.5</v>
      </c>
      <c r="I74" s="13"/>
      <c r="J74" s="13"/>
      <c r="K74" s="13"/>
      <c r="L74" s="13"/>
    </row>
    <row r="75" spans="1:12" ht="15" thickBot="1" x14ac:dyDescent="0.4">
      <c r="A75" s="7">
        <v>13</v>
      </c>
      <c r="B75" s="8" t="s">
        <v>19</v>
      </c>
      <c r="C75" s="8">
        <v>29</v>
      </c>
      <c r="D75" s="8">
        <v>15</v>
      </c>
      <c r="E75" s="8">
        <v>81</v>
      </c>
      <c r="F75" s="8">
        <v>56</v>
      </c>
      <c r="G75" s="14">
        <f t="shared" si="1"/>
        <v>181</v>
      </c>
      <c r="H75" s="11">
        <f t="shared" si="2"/>
        <v>0.45250000000000001</v>
      </c>
      <c r="I75" s="13"/>
      <c r="J75" s="13"/>
      <c r="K75" s="13"/>
      <c r="L75" s="13"/>
    </row>
    <row r="80" spans="1:12" x14ac:dyDescent="0.35">
      <c r="B80" s="15"/>
      <c r="C80" s="15"/>
    </row>
    <row r="81" spans="2:10" x14ac:dyDescent="0.35">
      <c r="B81" s="15"/>
      <c r="C81" s="15"/>
    </row>
    <row r="82" spans="2:10" x14ac:dyDescent="0.35">
      <c r="B82" s="15"/>
      <c r="C82" s="15"/>
    </row>
    <row r="92" spans="2:10" ht="15" thickBot="1" x14ac:dyDescent="0.4"/>
    <row r="93" spans="2:10" ht="15" thickBot="1" x14ac:dyDescent="0.4">
      <c r="B93" s="300" t="s">
        <v>22</v>
      </c>
      <c r="C93" s="301"/>
      <c r="D93" s="301"/>
      <c r="E93" s="301"/>
      <c r="F93" s="302"/>
      <c r="G93" s="303">
        <v>400</v>
      </c>
      <c r="H93" s="304"/>
      <c r="I93" s="304"/>
      <c r="J93" s="305"/>
    </row>
    <row r="94" spans="2:10" ht="16" x14ac:dyDescent="0.35">
      <c r="B94" s="9" t="s">
        <v>0</v>
      </c>
      <c r="C94" s="10" t="s">
        <v>1</v>
      </c>
      <c r="D94" s="10" t="s">
        <v>2</v>
      </c>
      <c r="E94" s="10" t="s">
        <v>3</v>
      </c>
      <c r="F94" s="10" t="s">
        <v>4</v>
      </c>
      <c r="G94" s="10" t="s">
        <v>5</v>
      </c>
      <c r="H94" s="10" t="s">
        <v>6</v>
      </c>
      <c r="I94" s="10" t="s">
        <v>23</v>
      </c>
      <c r="J94" s="10" t="s">
        <v>28</v>
      </c>
    </row>
    <row r="95" spans="2:10" x14ac:dyDescent="0.35">
      <c r="B95" s="4">
        <v>1</v>
      </c>
      <c r="C95" s="5" t="s">
        <v>7</v>
      </c>
      <c r="D95" s="5">
        <v>41</v>
      </c>
      <c r="E95" s="5">
        <v>39</v>
      </c>
      <c r="F95" s="5">
        <v>75</v>
      </c>
      <c r="G95" s="5">
        <v>34</v>
      </c>
      <c r="H95" s="6">
        <f>SUM(D95:G95)</f>
        <v>189</v>
      </c>
      <c r="I95" s="11">
        <f>H95/400</f>
        <v>0.47249999999999998</v>
      </c>
      <c r="J95" s="16">
        <f>RANK(I95,$I$95:$I$109,0)</f>
        <v>10</v>
      </c>
    </row>
    <row r="96" spans="2:10" x14ac:dyDescent="0.35">
      <c r="B96" s="4">
        <v>2</v>
      </c>
      <c r="C96" s="5" t="s">
        <v>8</v>
      </c>
      <c r="D96" s="5">
        <v>67</v>
      </c>
      <c r="E96" s="5">
        <v>57</v>
      </c>
      <c r="F96" s="5">
        <v>73</v>
      </c>
      <c r="G96" s="5">
        <v>47</v>
      </c>
      <c r="H96" s="6">
        <f t="shared" ref="H96:H109" si="3">SUM(D96:G96)</f>
        <v>244</v>
      </c>
      <c r="I96" s="11">
        <f t="shared" ref="I96:I109" si="4">H96/400</f>
        <v>0.61</v>
      </c>
      <c r="J96" s="16">
        <f t="shared" ref="J96:J109" si="5">RANK(I96,$I$95:$I$109,0)</f>
        <v>4</v>
      </c>
    </row>
    <row r="97" spans="2:10" x14ac:dyDescent="0.35">
      <c r="B97" s="4">
        <v>3</v>
      </c>
      <c r="C97" s="5" t="s">
        <v>9</v>
      </c>
      <c r="D97" s="5">
        <v>22</v>
      </c>
      <c r="E97" s="5">
        <v>77</v>
      </c>
      <c r="F97" s="5">
        <v>29</v>
      </c>
      <c r="G97" s="5">
        <v>93</v>
      </c>
      <c r="H97" s="6">
        <f t="shared" si="3"/>
        <v>221</v>
      </c>
      <c r="I97" s="11">
        <f t="shared" si="4"/>
        <v>0.55249999999999999</v>
      </c>
      <c r="J97" s="16">
        <f t="shared" si="5"/>
        <v>6</v>
      </c>
    </row>
    <row r="98" spans="2:10" x14ac:dyDescent="0.35">
      <c r="B98" s="4">
        <v>4</v>
      </c>
      <c r="C98" s="5" t="s">
        <v>10</v>
      </c>
      <c r="D98" s="5">
        <v>58</v>
      </c>
      <c r="E98" s="5">
        <v>80</v>
      </c>
      <c r="F98" s="5">
        <v>28</v>
      </c>
      <c r="G98" s="5">
        <v>92</v>
      </c>
      <c r="H98" s="6">
        <f t="shared" si="3"/>
        <v>258</v>
      </c>
      <c r="I98" s="11">
        <f t="shared" si="4"/>
        <v>0.64500000000000002</v>
      </c>
      <c r="J98" s="16">
        <f t="shared" si="5"/>
        <v>2</v>
      </c>
    </row>
    <row r="99" spans="2:10" x14ac:dyDescent="0.35">
      <c r="B99" s="4">
        <v>5</v>
      </c>
      <c r="C99" s="5" t="s">
        <v>11</v>
      </c>
      <c r="D99" s="5">
        <v>89</v>
      </c>
      <c r="E99" s="5">
        <v>69</v>
      </c>
      <c r="F99" s="5">
        <v>92</v>
      </c>
      <c r="G99" s="5">
        <v>25</v>
      </c>
      <c r="H99" s="6">
        <f t="shared" si="3"/>
        <v>275</v>
      </c>
      <c r="I99" s="11">
        <f t="shared" si="4"/>
        <v>0.6875</v>
      </c>
      <c r="J99" s="16">
        <f t="shared" si="5"/>
        <v>1</v>
      </c>
    </row>
    <row r="100" spans="2:10" x14ac:dyDescent="0.35">
      <c r="B100" s="4">
        <v>6</v>
      </c>
      <c r="C100" s="5" t="s">
        <v>12</v>
      </c>
      <c r="D100" s="5">
        <v>43</v>
      </c>
      <c r="E100" s="5">
        <v>20</v>
      </c>
      <c r="F100" s="5">
        <v>66</v>
      </c>
      <c r="G100" s="5">
        <v>50</v>
      </c>
      <c r="H100" s="6">
        <f t="shared" si="3"/>
        <v>179</v>
      </c>
      <c r="I100" s="11">
        <f t="shared" si="4"/>
        <v>0.44750000000000001</v>
      </c>
      <c r="J100" s="16">
        <f t="shared" si="5"/>
        <v>12</v>
      </c>
    </row>
    <row r="101" spans="2:10" x14ac:dyDescent="0.35">
      <c r="B101" s="4">
        <v>7</v>
      </c>
      <c r="C101" s="5" t="s">
        <v>13</v>
      </c>
      <c r="D101" s="5">
        <v>21</v>
      </c>
      <c r="E101" s="5">
        <v>27</v>
      </c>
      <c r="F101" s="5">
        <v>70</v>
      </c>
      <c r="G101" s="5">
        <v>53</v>
      </c>
      <c r="H101" s="6">
        <f t="shared" si="3"/>
        <v>171</v>
      </c>
      <c r="I101" s="11">
        <f t="shared" si="4"/>
        <v>0.42749999999999999</v>
      </c>
      <c r="J101" s="16">
        <f t="shared" si="5"/>
        <v>14</v>
      </c>
    </row>
    <row r="102" spans="2:10" x14ac:dyDescent="0.35">
      <c r="B102" s="4">
        <v>8</v>
      </c>
      <c r="C102" s="5" t="s">
        <v>14</v>
      </c>
      <c r="D102" s="5">
        <v>21</v>
      </c>
      <c r="E102" s="5">
        <v>35</v>
      </c>
      <c r="F102" s="5">
        <v>36</v>
      </c>
      <c r="G102" s="5">
        <v>41</v>
      </c>
      <c r="H102" s="6">
        <f t="shared" si="3"/>
        <v>133</v>
      </c>
      <c r="I102" s="11">
        <f t="shared" si="4"/>
        <v>0.33250000000000002</v>
      </c>
      <c r="J102" s="16">
        <f t="shared" si="5"/>
        <v>15</v>
      </c>
    </row>
    <row r="103" spans="2:10" x14ac:dyDescent="0.35">
      <c r="B103" s="4">
        <v>9</v>
      </c>
      <c r="C103" s="5" t="s">
        <v>15</v>
      </c>
      <c r="D103" s="5">
        <v>61</v>
      </c>
      <c r="E103" s="5">
        <v>19</v>
      </c>
      <c r="F103" s="5">
        <v>25</v>
      </c>
      <c r="G103" s="5">
        <v>73</v>
      </c>
      <c r="H103" s="6">
        <f t="shared" si="3"/>
        <v>178</v>
      </c>
      <c r="I103" s="11">
        <f t="shared" si="4"/>
        <v>0.44500000000000001</v>
      </c>
      <c r="J103" s="16">
        <f t="shared" si="5"/>
        <v>13</v>
      </c>
    </row>
    <row r="104" spans="2:10" x14ac:dyDescent="0.35">
      <c r="B104" s="4">
        <v>10</v>
      </c>
      <c r="C104" s="5" t="s">
        <v>16</v>
      </c>
      <c r="D104" s="5">
        <v>69</v>
      </c>
      <c r="E104" s="5">
        <v>32</v>
      </c>
      <c r="F104" s="5">
        <v>59</v>
      </c>
      <c r="G104" s="5">
        <v>41</v>
      </c>
      <c r="H104" s="6">
        <f t="shared" si="3"/>
        <v>201</v>
      </c>
      <c r="I104" s="11">
        <f t="shared" si="4"/>
        <v>0.50249999999999995</v>
      </c>
      <c r="J104" s="16">
        <f t="shared" si="5"/>
        <v>8</v>
      </c>
    </row>
    <row r="105" spans="2:10" x14ac:dyDescent="0.35">
      <c r="B105" s="4">
        <v>11</v>
      </c>
      <c r="C105" s="5" t="s">
        <v>17</v>
      </c>
      <c r="D105" s="5">
        <v>27</v>
      </c>
      <c r="E105" s="5">
        <v>75</v>
      </c>
      <c r="F105" s="5">
        <v>68</v>
      </c>
      <c r="G105" s="5">
        <v>79</v>
      </c>
      <c r="H105" s="6">
        <f t="shared" si="3"/>
        <v>249</v>
      </c>
      <c r="I105" s="11">
        <f t="shared" si="4"/>
        <v>0.62250000000000005</v>
      </c>
      <c r="J105" s="16">
        <f t="shared" si="5"/>
        <v>3</v>
      </c>
    </row>
    <row r="106" spans="2:10" x14ac:dyDescent="0.35">
      <c r="B106" s="4">
        <v>12</v>
      </c>
      <c r="C106" s="5" t="s">
        <v>18</v>
      </c>
      <c r="D106" s="5">
        <v>76</v>
      </c>
      <c r="E106" s="5">
        <v>54</v>
      </c>
      <c r="F106" s="5">
        <v>40</v>
      </c>
      <c r="G106" s="5">
        <v>30</v>
      </c>
      <c r="H106" s="6">
        <f t="shared" si="3"/>
        <v>200</v>
      </c>
      <c r="I106" s="11">
        <f t="shared" si="4"/>
        <v>0.5</v>
      </c>
      <c r="J106" s="16">
        <f t="shared" si="5"/>
        <v>9</v>
      </c>
    </row>
    <row r="107" spans="2:10" x14ac:dyDescent="0.35">
      <c r="B107" s="4">
        <v>13</v>
      </c>
      <c r="C107" s="5" t="s">
        <v>19</v>
      </c>
      <c r="D107" s="5">
        <v>29</v>
      </c>
      <c r="E107" s="5">
        <v>15</v>
      </c>
      <c r="F107" s="5">
        <v>81</v>
      </c>
      <c r="G107" s="5">
        <v>56</v>
      </c>
      <c r="H107" s="6">
        <f t="shared" si="3"/>
        <v>181</v>
      </c>
      <c r="I107" s="11">
        <f t="shared" si="4"/>
        <v>0.45250000000000001</v>
      </c>
      <c r="J107" s="16">
        <f t="shared" si="5"/>
        <v>11</v>
      </c>
    </row>
    <row r="108" spans="2:10" x14ac:dyDescent="0.35">
      <c r="B108" s="4">
        <v>14</v>
      </c>
      <c r="C108" s="5" t="s">
        <v>20</v>
      </c>
      <c r="D108" s="5">
        <v>62</v>
      </c>
      <c r="E108" s="5">
        <v>21</v>
      </c>
      <c r="F108" s="5">
        <v>67</v>
      </c>
      <c r="G108" s="5">
        <v>88</v>
      </c>
      <c r="H108" s="6">
        <f t="shared" si="3"/>
        <v>238</v>
      </c>
      <c r="I108" s="11">
        <f t="shared" si="4"/>
        <v>0.59499999999999997</v>
      </c>
      <c r="J108" s="16">
        <f t="shared" si="5"/>
        <v>5</v>
      </c>
    </row>
    <row r="109" spans="2:10" ht="15" thickBot="1" x14ac:dyDescent="0.4">
      <c r="B109" s="7">
        <v>15</v>
      </c>
      <c r="C109" s="8" t="s">
        <v>21</v>
      </c>
      <c r="D109" s="8">
        <v>15</v>
      </c>
      <c r="E109" s="8">
        <v>95</v>
      </c>
      <c r="F109" s="8">
        <v>29</v>
      </c>
      <c r="G109" s="8">
        <v>64</v>
      </c>
      <c r="H109" s="6">
        <f t="shared" si="3"/>
        <v>203</v>
      </c>
      <c r="I109" s="11">
        <f t="shared" si="4"/>
        <v>0.50749999999999995</v>
      </c>
      <c r="J109" s="16">
        <f t="shared" si="5"/>
        <v>7</v>
      </c>
    </row>
  </sheetData>
  <mergeCells count="6">
    <mergeCell ref="A30:E30"/>
    <mergeCell ref="F30:I30"/>
    <mergeCell ref="A61:E61"/>
    <mergeCell ref="F61:L61"/>
    <mergeCell ref="B93:F93"/>
    <mergeCell ref="G93:J9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CCBB-ADC4-4214-8658-28AD0B2592A4}">
  <sheetPr>
    <tabColor rgb="FFFF0000"/>
  </sheetPr>
  <dimension ref="A1:L109"/>
  <sheetViews>
    <sheetView topLeftCell="A21" zoomScale="160" zoomScaleNormal="160" workbookViewId="0">
      <selection activeCell="N106" sqref="N106"/>
    </sheetView>
  </sheetViews>
  <sheetFormatPr defaultRowHeight="14.5" x14ac:dyDescent="0.35"/>
  <cols>
    <col min="1" max="1" width="4.6328125" bestFit="1" customWidth="1"/>
    <col min="2" max="2" width="15.08984375" bestFit="1" customWidth="1"/>
    <col min="3" max="3" width="5.6328125" bestFit="1" customWidth="1"/>
    <col min="4" max="4" width="7.26953125" bestFit="1" customWidth="1"/>
    <col min="5" max="5" width="6.6328125" bestFit="1" customWidth="1"/>
    <col min="6" max="6" width="7.54296875" bestFit="1" customWidth="1"/>
    <col min="7" max="7" width="5.453125" bestFit="1" customWidth="1"/>
    <col min="9" max="9" width="7.7265625" style="1" bestFit="1" customWidth="1"/>
    <col min="10" max="10" width="9.36328125" style="1" bestFit="1" customWidth="1"/>
    <col min="11" max="11" width="8.7265625" style="1"/>
    <col min="12" max="12" width="9.6328125" style="1" bestFit="1" customWidth="1"/>
  </cols>
  <sheetData>
    <row r="1" spans="1:9" ht="15" thickBot="1" x14ac:dyDescent="0.4"/>
    <row r="2" spans="1:9" ht="16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9" x14ac:dyDescent="0.35">
      <c r="A3" s="4">
        <v>1</v>
      </c>
      <c r="B3" s="5" t="s">
        <v>7</v>
      </c>
      <c r="C3" s="5">
        <v>41</v>
      </c>
      <c r="D3" s="5">
        <v>39</v>
      </c>
      <c r="E3" s="5">
        <v>75</v>
      </c>
      <c r="F3" s="5">
        <v>34</v>
      </c>
      <c r="G3" s="6">
        <f>SUM(C3:F3)</f>
        <v>189</v>
      </c>
      <c r="H3">
        <f>41+39+75+34</f>
        <v>189</v>
      </c>
      <c r="I3" s="1">
        <f>SUM(C3:F3)</f>
        <v>189</v>
      </c>
    </row>
    <row r="4" spans="1:9" x14ac:dyDescent="0.35">
      <c r="A4" s="4">
        <v>2</v>
      </c>
      <c r="B4" s="5" t="s">
        <v>8</v>
      </c>
      <c r="C4" s="5">
        <v>67</v>
      </c>
      <c r="D4" s="5">
        <v>57</v>
      </c>
      <c r="E4" s="5">
        <v>73</v>
      </c>
      <c r="F4" s="5">
        <v>47</v>
      </c>
      <c r="G4" s="6">
        <f t="shared" ref="G4:G17" si="0">SUM(C4:F4)</f>
        <v>244</v>
      </c>
      <c r="H4">
        <f t="shared" ref="H4:H17" si="1">41+39+75+34</f>
        <v>189</v>
      </c>
      <c r="I4" s="1">
        <f t="shared" ref="I4:I17" si="2">SUM(C4:F4)</f>
        <v>244</v>
      </c>
    </row>
    <row r="5" spans="1:9" x14ac:dyDescent="0.35">
      <c r="A5" s="4">
        <v>3</v>
      </c>
      <c r="B5" s="5" t="s">
        <v>9</v>
      </c>
      <c r="C5" s="5">
        <v>22</v>
      </c>
      <c r="D5" s="5">
        <v>77</v>
      </c>
      <c r="E5" s="5">
        <v>29</v>
      </c>
      <c r="F5" s="5">
        <v>93</v>
      </c>
      <c r="G5" s="6">
        <f t="shared" si="0"/>
        <v>221</v>
      </c>
      <c r="H5">
        <f t="shared" si="1"/>
        <v>189</v>
      </c>
      <c r="I5" s="1">
        <f t="shared" si="2"/>
        <v>221</v>
      </c>
    </row>
    <row r="6" spans="1:9" x14ac:dyDescent="0.35">
      <c r="A6" s="4">
        <v>4</v>
      </c>
      <c r="B6" s="5" t="s">
        <v>10</v>
      </c>
      <c r="C6" s="5">
        <v>58</v>
      </c>
      <c r="D6" s="5">
        <v>80</v>
      </c>
      <c r="E6" s="5">
        <v>28</v>
      </c>
      <c r="F6" s="5">
        <v>92</v>
      </c>
      <c r="G6" s="6">
        <f t="shared" si="0"/>
        <v>258</v>
      </c>
      <c r="H6">
        <f t="shared" si="1"/>
        <v>189</v>
      </c>
      <c r="I6" s="1">
        <f t="shared" si="2"/>
        <v>258</v>
      </c>
    </row>
    <row r="7" spans="1:9" x14ac:dyDescent="0.35">
      <c r="A7" s="4">
        <v>5</v>
      </c>
      <c r="B7" s="5" t="s">
        <v>11</v>
      </c>
      <c r="C7" s="5">
        <v>89</v>
      </c>
      <c r="D7" s="5">
        <v>69</v>
      </c>
      <c r="E7" s="5">
        <v>92</v>
      </c>
      <c r="F7" s="5">
        <v>25</v>
      </c>
      <c r="G7" s="6">
        <f t="shared" si="0"/>
        <v>275</v>
      </c>
      <c r="H7">
        <f t="shared" si="1"/>
        <v>189</v>
      </c>
      <c r="I7" s="1">
        <f t="shared" si="2"/>
        <v>275</v>
      </c>
    </row>
    <row r="8" spans="1:9" x14ac:dyDescent="0.35">
      <c r="A8" s="4">
        <v>6</v>
      </c>
      <c r="B8" s="5" t="s">
        <v>12</v>
      </c>
      <c r="C8" s="5">
        <v>43</v>
      </c>
      <c r="D8" s="5">
        <v>20</v>
      </c>
      <c r="E8" s="5">
        <v>66</v>
      </c>
      <c r="F8" s="5">
        <v>50</v>
      </c>
      <c r="G8" s="6">
        <f t="shared" si="0"/>
        <v>179</v>
      </c>
      <c r="H8">
        <f t="shared" si="1"/>
        <v>189</v>
      </c>
      <c r="I8" s="1">
        <f t="shared" si="2"/>
        <v>179</v>
      </c>
    </row>
    <row r="9" spans="1:9" x14ac:dyDescent="0.35">
      <c r="A9" s="4">
        <v>7</v>
      </c>
      <c r="B9" s="5" t="s">
        <v>13</v>
      </c>
      <c r="C9" s="5">
        <v>21</v>
      </c>
      <c r="D9" s="5">
        <v>27</v>
      </c>
      <c r="E9" s="5">
        <v>70</v>
      </c>
      <c r="F9" s="5">
        <v>53</v>
      </c>
      <c r="G9" s="6">
        <f t="shared" si="0"/>
        <v>171</v>
      </c>
      <c r="H9">
        <f t="shared" si="1"/>
        <v>189</v>
      </c>
      <c r="I9" s="1">
        <f t="shared" si="2"/>
        <v>171</v>
      </c>
    </row>
    <row r="10" spans="1:9" x14ac:dyDescent="0.35">
      <c r="A10" s="4">
        <v>8</v>
      </c>
      <c r="B10" s="5" t="s">
        <v>14</v>
      </c>
      <c r="C10" s="5">
        <v>21</v>
      </c>
      <c r="D10" s="5">
        <v>35</v>
      </c>
      <c r="E10" s="5">
        <v>36</v>
      </c>
      <c r="F10" s="5">
        <v>41</v>
      </c>
      <c r="G10" s="6">
        <f t="shared" si="0"/>
        <v>133</v>
      </c>
      <c r="H10">
        <f t="shared" si="1"/>
        <v>189</v>
      </c>
      <c r="I10" s="1">
        <f t="shared" si="2"/>
        <v>133</v>
      </c>
    </row>
    <row r="11" spans="1:9" x14ac:dyDescent="0.35">
      <c r="A11" s="4">
        <v>9</v>
      </c>
      <c r="B11" s="5" t="s">
        <v>15</v>
      </c>
      <c r="C11" s="5">
        <v>61</v>
      </c>
      <c r="D11" s="5">
        <v>19</v>
      </c>
      <c r="E11" s="5">
        <v>25</v>
      </c>
      <c r="F11" s="5">
        <v>73</v>
      </c>
      <c r="G11" s="6">
        <f t="shared" si="0"/>
        <v>178</v>
      </c>
      <c r="H11">
        <f t="shared" si="1"/>
        <v>189</v>
      </c>
      <c r="I11" s="1">
        <f t="shared" si="2"/>
        <v>178</v>
      </c>
    </row>
    <row r="12" spans="1:9" x14ac:dyDescent="0.35">
      <c r="A12" s="4">
        <v>10</v>
      </c>
      <c r="B12" s="5" t="s">
        <v>16</v>
      </c>
      <c r="C12" s="5">
        <v>69</v>
      </c>
      <c r="D12" s="5">
        <v>32</v>
      </c>
      <c r="E12" s="5">
        <v>59</v>
      </c>
      <c r="F12" s="5">
        <v>41</v>
      </c>
      <c r="G12" s="6">
        <f t="shared" si="0"/>
        <v>201</v>
      </c>
      <c r="H12">
        <f t="shared" si="1"/>
        <v>189</v>
      </c>
      <c r="I12" s="1">
        <f t="shared" si="2"/>
        <v>201</v>
      </c>
    </row>
    <row r="13" spans="1:9" x14ac:dyDescent="0.35">
      <c r="A13" s="4">
        <v>11</v>
      </c>
      <c r="B13" s="5" t="s">
        <v>17</v>
      </c>
      <c r="C13" s="5">
        <v>27</v>
      </c>
      <c r="D13" s="5">
        <v>75</v>
      </c>
      <c r="E13" s="5">
        <v>68</v>
      </c>
      <c r="F13" s="5">
        <v>79</v>
      </c>
      <c r="G13" s="6">
        <f t="shared" si="0"/>
        <v>249</v>
      </c>
      <c r="H13">
        <f t="shared" si="1"/>
        <v>189</v>
      </c>
      <c r="I13" s="1">
        <f t="shared" si="2"/>
        <v>249</v>
      </c>
    </row>
    <row r="14" spans="1:9" x14ac:dyDescent="0.35">
      <c r="A14" s="4">
        <v>12</v>
      </c>
      <c r="B14" s="5" t="s">
        <v>18</v>
      </c>
      <c r="C14" s="5">
        <v>76</v>
      </c>
      <c r="D14" s="5">
        <v>54</v>
      </c>
      <c r="E14" s="5">
        <v>40</v>
      </c>
      <c r="F14" s="5">
        <v>30</v>
      </c>
      <c r="G14" s="6">
        <f t="shared" si="0"/>
        <v>200</v>
      </c>
      <c r="H14">
        <f t="shared" si="1"/>
        <v>189</v>
      </c>
      <c r="I14" s="1">
        <f t="shared" si="2"/>
        <v>200</v>
      </c>
    </row>
    <row r="15" spans="1:9" x14ac:dyDescent="0.35">
      <c r="A15" s="4">
        <v>13</v>
      </c>
      <c r="B15" s="5" t="s">
        <v>19</v>
      </c>
      <c r="C15" s="5">
        <v>29</v>
      </c>
      <c r="D15" s="5">
        <v>15</v>
      </c>
      <c r="E15" s="5">
        <v>81</v>
      </c>
      <c r="F15" s="5">
        <v>56</v>
      </c>
      <c r="G15" s="6">
        <f t="shared" si="0"/>
        <v>181</v>
      </c>
      <c r="H15">
        <f t="shared" si="1"/>
        <v>189</v>
      </c>
      <c r="I15" s="1">
        <f t="shared" si="2"/>
        <v>181</v>
      </c>
    </row>
    <row r="16" spans="1:9" x14ac:dyDescent="0.35">
      <c r="A16" s="4">
        <v>14</v>
      </c>
      <c r="B16" s="5" t="s">
        <v>20</v>
      </c>
      <c r="C16" s="5">
        <v>62</v>
      </c>
      <c r="D16" s="5">
        <v>21</v>
      </c>
      <c r="E16" s="5">
        <v>67</v>
      </c>
      <c r="F16" s="5">
        <v>88</v>
      </c>
      <c r="G16" s="6">
        <f t="shared" si="0"/>
        <v>238</v>
      </c>
      <c r="H16">
        <f t="shared" si="1"/>
        <v>189</v>
      </c>
      <c r="I16" s="1">
        <f t="shared" si="2"/>
        <v>238</v>
      </c>
    </row>
    <row r="17" spans="1:9" ht="15" thickBot="1" x14ac:dyDescent="0.4">
      <c r="A17" s="7">
        <v>15</v>
      </c>
      <c r="B17" s="8" t="s">
        <v>21</v>
      </c>
      <c r="C17" s="8">
        <v>15</v>
      </c>
      <c r="D17" s="8">
        <v>95</v>
      </c>
      <c r="E17" s="8">
        <v>29</v>
      </c>
      <c r="F17" s="8">
        <v>64</v>
      </c>
      <c r="G17" s="6">
        <f t="shared" si="0"/>
        <v>203</v>
      </c>
      <c r="H17">
        <f t="shared" si="1"/>
        <v>189</v>
      </c>
      <c r="I17" s="1">
        <f t="shared" si="2"/>
        <v>203</v>
      </c>
    </row>
    <row r="29" spans="1:9" ht="15" thickBot="1" x14ac:dyDescent="0.4"/>
    <row r="30" spans="1:9" ht="15" thickBot="1" x14ac:dyDescent="0.4">
      <c r="A30" s="300" t="s">
        <v>22</v>
      </c>
      <c r="B30" s="301"/>
      <c r="C30" s="301"/>
      <c r="D30" s="301"/>
      <c r="E30" s="302"/>
      <c r="F30" s="303">
        <v>400</v>
      </c>
      <c r="G30" s="304"/>
      <c r="H30" s="304"/>
      <c r="I30" s="305"/>
    </row>
    <row r="31" spans="1:9" ht="16" x14ac:dyDescent="0.35">
      <c r="A31" s="9" t="s">
        <v>0</v>
      </c>
      <c r="B31" s="10" t="s">
        <v>1</v>
      </c>
      <c r="C31" s="10" t="s">
        <v>2</v>
      </c>
      <c r="D31" s="10" t="s">
        <v>3</v>
      </c>
      <c r="E31" s="10" t="s">
        <v>4</v>
      </c>
      <c r="F31" s="10" t="s">
        <v>5</v>
      </c>
      <c r="G31" s="10" t="s">
        <v>6</v>
      </c>
      <c r="H31" s="10" t="s">
        <v>23</v>
      </c>
      <c r="I31" s="10" t="s">
        <v>23</v>
      </c>
    </row>
    <row r="32" spans="1:9" x14ac:dyDescent="0.35">
      <c r="A32" s="4">
        <v>1</v>
      </c>
      <c r="B32" s="5" t="s">
        <v>7</v>
      </c>
      <c r="C32" s="5">
        <v>41</v>
      </c>
      <c r="D32" s="5">
        <v>39</v>
      </c>
      <c r="E32" s="5">
        <v>75</v>
      </c>
      <c r="F32" s="5">
        <v>34</v>
      </c>
      <c r="G32" s="6">
        <f>SUM(C32:F32)</f>
        <v>189</v>
      </c>
      <c r="H32" s="11">
        <f>G32/400</f>
        <v>0.47249999999999998</v>
      </c>
      <c r="I32" s="11">
        <f>G32/$F$30</f>
        <v>0.47249999999999998</v>
      </c>
    </row>
    <row r="33" spans="1:9" x14ac:dyDescent="0.35">
      <c r="A33" s="4">
        <v>2</v>
      </c>
      <c r="B33" s="5" t="s">
        <v>8</v>
      </c>
      <c r="C33" s="5">
        <v>67</v>
      </c>
      <c r="D33" s="5">
        <v>57</v>
      </c>
      <c r="E33" s="5">
        <v>73</v>
      </c>
      <c r="F33" s="5">
        <v>47</v>
      </c>
      <c r="G33" s="6">
        <f t="shared" ref="G33:G46" si="3">SUM(C33:F33)</f>
        <v>244</v>
      </c>
      <c r="H33" s="11">
        <f t="shared" ref="H33:H46" si="4">G33/400</f>
        <v>0.61</v>
      </c>
      <c r="I33" s="11">
        <f t="shared" ref="I33:I46" si="5">G33/$F$30</f>
        <v>0.61</v>
      </c>
    </row>
    <row r="34" spans="1:9" x14ac:dyDescent="0.35">
      <c r="A34" s="4">
        <v>3</v>
      </c>
      <c r="B34" s="5" t="s">
        <v>9</v>
      </c>
      <c r="C34" s="5">
        <v>22</v>
      </c>
      <c r="D34" s="5">
        <v>77</v>
      </c>
      <c r="E34" s="5">
        <v>29</v>
      </c>
      <c r="F34" s="5">
        <v>93</v>
      </c>
      <c r="G34" s="6">
        <f t="shared" si="3"/>
        <v>221</v>
      </c>
      <c r="H34" s="11">
        <f t="shared" si="4"/>
        <v>0.55249999999999999</v>
      </c>
      <c r="I34" s="11">
        <f t="shared" si="5"/>
        <v>0.55249999999999999</v>
      </c>
    </row>
    <row r="35" spans="1:9" x14ac:dyDescent="0.35">
      <c r="A35" s="4">
        <v>4</v>
      </c>
      <c r="B35" s="5" t="s">
        <v>10</v>
      </c>
      <c r="C35" s="5">
        <v>58</v>
      </c>
      <c r="D35" s="5">
        <v>80</v>
      </c>
      <c r="E35" s="5">
        <v>28</v>
      </c>
      <c r="F35" s="5">
        <v>92</v>
      </c>
      <c r="G35" s="6">
        <f t="shared" si="3"/>
        <v>258</v>
      </c>
      <c r="H35" s="11">
        <f t="shared" si="4"/>
        <v>0.64500000000000002</v>
      </c>
      <c r="I35" s="11">
        <f t="shared" si="5"/>
        <v>0.64500000000000002</v>
      </c>
    </row>
    <row r="36" spans="1:9" x14ac:dyDescent="0.35">
      <c r="A36" s="4">
        <v>5</v>
      </c>
      <c r="B36" s="5" t="s">
        <v>11</v>
      </c>
      <c r="C36" s="5">
        <v>89</v>
      </c>
      <c r="D36" s="5">
        <v>69</v>
      </c>
      <c r="E36" s="5">
        <v>92</v>
      </c>
      <c r="F36" s="5">
        <v>25</v>
      </c>
      <c r="G36" s="6">
        <f t="shared" si="3"/>
        <v>275</v>
      </c>
      <c r="H36" s="11">
        <f t="shared" si="4"/>
        <v>0.6875</v>
      </c>
      <c r="I36" s="11">
        <f t="shared" si="5"/>
        <v>0.6875</v>
      </c>
    </row>
    <row r="37" spans="1:9" x14ac:dyDescent="0.35">
      <c r="A37" s="4">
        <v>6</v>
      </c>
      <c r="B37" s="5" t="s">
        <v>12</v>
      </c>
      <c r="C37" s="5">
        <v>43</v>
      </c>
      <c r="D37" s="5">
        <v>20</v>
      </c>
      <c r="E37" s="5">
        <v>66</v>
      </c>
      <c r="F37" s="5">
        <v>50</v>
      </c>
      <c r="G37" s="6">
        <f t="shared" si="3"/>
        <v>179</v>
      </c>
      <c r="H37" s="11">
        <f t="shared" si="4"/>
        <v>0.44750000000000001</v>
      </c>
      <c r="I37" s="11">
        <f t="shared" si="5"/>
        <v>0.44750000000000001</v>
      </c>
    </row>
    <row r="38" spans="1:9" x14ac:dyDescent="0.35">
      <c r="A38" s="4">
        <v>7</v>
      </c>
      <c r="B38" s="5" t="s">
        <v>13</v>
      </c>
      <c r="C38" s="5">
        <v>21</v>
      </c>
      <c r="D38" s="5">
        <v>27</v>
      </c>
      <c r="E38" s="5">
        <v>70</v>
      </c>
      <c r="F38" s="5">
        <v>53</v>
      </c>
      <c r="G38" s="6">
        <f t="shared" si="3"/>
        <v>171</v>
      </c>
      <c r="H38" s="11">
        <f t="shared" si="4"/>
        <v>0.42749999999999999</v>
      </c>
      <c r="I38" s="11">
        <f t="shared" si="5"/>
        <v>0.42749999999999999</v>
      </c>
    </row>
    <row r="39" spans="1:9" x14ac:dyDescent="0.35">
      <c r="A39" s="4">
        <v>8</v>
      </c>
      <c r="B39" s="5" t="s">
        <v>14</v>
      </c>
      <c r="C39" s="5">
        <v>21</v>
      </c>
      <c r="D39" s="5">
        <v>35</v>
      </c>
      <c r="E39" s="5">
        <v>36</v>
      </c>
      <c r="F39" s="5">
        <v>41</v>
      </c>
      <c r="G39" s="6">
        <f t="shared" si="3"/>
        <v>133</v>
      </c>
      <c r="H39" s="11">
        <f t="shared" si="4"/>
        <v>0.33250000000000002</v>
      </c>
      <c r="I39" s="11">
        <f t="shared" si="5"/>
        <v>0.33250000000000002</v>
      </c>
    </row>
    <row r="40" spans="1:9" x14ac:dyDescent="0.35">
      <c r="A40" s="4">
        <v>9</v>
      </c>
      <c r="B40" s="5" t="s">
        <v>15</v>
      </c>
      <c r="C40" s="5">
        <v>61</v>
      </c>
      <c r="D40" s="5">
        <v>19</v>
      </c>
      <c r="E40" s="5">
        <v>25</v>
      </c>
      <c r="F40" s="5">
        <v>73</v>
      </c>
      <c r="G40" s="6">
        <f t="shared" si="3"/>
        <v>178</v>
      </c>
      <c r="H40" s="11">
        <f t="shared" si="4"/>
        <v>0.44500000000000001</v>
      </c>
      <c r="I40" s="11">
        <f t="shared" si="5"/>
        <v>0.44500000000000001</v>
      </c>
    </row>
    <row r="41" spans="1:9" x14ac:dyDescent="0.35">
      <c r="A41" s="4">
        <v>10</v>
      </c>
      <c r="B41" s="5" t="s">
        <v>16</v>
      </c>
      <c r="C41" s="5">
        <v>69</v>
      </c>
      <c r="D41" s="5">
        <v>32</v>
      </c>
      <c r="E41" s="5">
        <v>59</v>
      </c>
      <c r="F41" s="5">
        <v>41</v>
      </c>
      <c r="G41" s="6">
        <f t="shared" si="3"/>
        <v>201</v>
      </c>
      <c r="H41" s="11">
        <f t="shared" si="4"/>
        <v>0.50249999999999995</v>
      </c>
      <c r="I41" s="11">
        <f t="shared" si="5"/>
        <v>0.50249999999999995</v>
      </c>
    </row>
    <row r="42" spans="1:9" x14ac:dyDescent="0.35">
      <c r="A42" s="4">
        <v>11</v>
      </c>
      <c r="B42" s="5" t="s">
        <v>17</v>
      </c>
      <c r="C42" s="5">
        <v>27</v>
      </c>
      <c r="D42" s="5">
        <v>75</v>
      </c>
      <c r="E42" s="5">
        <v>68</v>
      </c>
      <c r="F42" s="5">
        <v>79</v>
      </c>
      <c r="G42" s="6">
        <f t="shared" si="3"/>
        <v>249</v>
      </c>
      <c r="H42" s="11">
        <f t="shared" si="4"/>
        <v>0.62250000000000005</v>
      </c>
      <c r="I42" s="11">
        <f t="shared" si="5"/>
        <v>0.62250000000000005</v>
      </c>
    </row>
    <row r="43" spans="1:9" x14ac:dyDescent="0.35">
      <c r="A43" s="4">
        <v>12</v>
      </c>
      <c r="B43" s="5" t="s">
        <v>18</v>
      </c>
      <c r="C43" s="5">
        <v>76</v>
      </c>
      <c r="D43" s="5">
        <v>54</v>
      </c>
      <c r="E43" s="5">
        <v>40</v>
      </c>
      <c r="F43" s="5">
        <v>30</v>
      </c>
      <c r="G43" s="6">
        <f t="shared" si="3"/>
        <v>200</v>
      </c>
      <c r="H43" s="11">
        <f t="shared" si="4"/>
        <v>0.5</v>
      </c>
      <c r="I43" s="11">
        <f t="shared" si="5"/>
        <v>0.5</v>
      </c>
    </row>
    <row r="44" spans="1:9" x14ac:dyDescent="0.35">
      <c r="A44" s="4">
        <v>13</v>
      </c>
      <c r="B44" s="5" t="s">
        <v>19</v>
      </c>
      <c r="C44" s="5">
        <v>29</v>
      </c>
      <c r="D44" s="5">
        <v>15</v>
      </c>
      <c r="E44" s="5">
        <v>81</v>
      </c>
      <c r="F44" s="5">
        <v>56</v>
      </c>
      <c r="G44" s="6">
        <f t="shared" si="3"/>
        <v>181</v>
      </c>
      <c r="H44" s="11">
        <f t="shared" si="4"/>
        <v>0.45250000000000001</v>
      </c>
      <c r="I44" s="11">
        <f t="shared" si="5"/>
        <v>0.45250000000000001</v>
      </c>
    </row>
    <row r="45" spans="1:9" x14ac:dyDescent="0.35">
      <c r="A45" s="4">
        <v>14</v>
      </c>
      <c r="B45" s="5" t="s">
        <v>20</v>
      </c>
      <c r="C45" s="5">
        <v>62</v>
      </c>
      <c r="D45" s="5">
        <v>21</v>
      </c>
      <c r="E45" s="5">
        <v>67</v>
      </c>
      <c r="F45" s="5">
        <v>88</v>
      </c>
      <c r="G45" s="6">
        <f t="shared" si="3"/>
        <v>238</v>
      </c>
      <c r="H45" s="11">
        <f t="shared" si="4"/>
        <v>0.59499999999999997</v>
      </c>
      <c r="I45" s="11">
        <f t="shared" si="5"/>
        <v>0.59499999999999997</v>
      </c>
    </row>
    <row r="46" spans="1:9" ht="15" thickBot="1" x14ac:dyDescent="0.4">
      <c r="A46" s="7">
        <v>15</v>
      </c>
      <c r="B46" s="8" t="s">
        <v>21</v>
      </c>
      <c r="C46" s="8">
        <v>15</v>
      </c>
      <c r="D46" s="8">
        <v>95</v>
      </c>
      <c r="E46" s="8">
        <v>29</v>
      </c>
      <c r="F46" s="8">
        <v>64</v>
      </c>
      <c r="G46" s="6">
        <f t="shared" si="3"/>
        <v>203</v>
      </c>
      <c r="H46" s="11">
        <f t="shared" si="4"/>
        <v>0.50749999999999995</v>
      </c>
      <c r="I46" s="11">
        <f t="shared" si="5"/>
        <v>0.50749999999999995</v>
      </c>
    </row>
    <row r="60" spans="1:12" ht="15" thickBot="1" x14ac:dyDescent="0.4"/>
    <row r="61" spans="1:12" ht="15" thickBot="1" x14ac:dyDescent="0.4">
      <c r="A61" s="300" t="s">
        <v>22</v>
      </c>
      <c r="B61" s="301"/>
      <c r="C61" s="301"/>
      <c r="D61" s="301"/>
      <c r="E61" s="301"/>
      <c r="F61" s="306">
        <v>400</v>
      </c>
      <c r="G61" s="306"/>
      <c r="H61" s="306"/>
      <c r="I61" s="306"/>
      <c r="J61" s="306"/>
      <c r="K61" s="306"/>
      <c r="L61" s="307"/>
    </row>
    <row r="62" spans="1:12" ht="16" x14ac:dyDescent="0.35">
      <c r="A62" s="9" t="s">
        <v>0</v>
      </c>
      <c r="B62" s="10" t="s">
        <v>1</v>
      </c>
      <c r="C62" s="10" t="s">
        <v>2</v>
      </c>
      <c r="D62" s="10" t="s">
        <v>3</v>
      </c>
      <c r="E62" s="10" t="s">
        <v>4</v>
      </c>
      <c r="F62" s="10" t="s">
        <v>5</v>
      </c>
      <c r="G62" s="10" t="s">
        <v>6</v>
      </c>
      <c r="H62" s="10" t="s">
        <v>23</v>
      </c>
      <c r="I62" s="10" t="s">
        <v>24</v>
      </c>
      <c r="J62" s="10" t="s">
        <v>25</v>
      </c>
      <c r="K62" s="10" t="s">
        <v>26</v>
      </c>
      <c r="L62" s="12" t="s">
        <v>27</v>
      </c>
    </row>
    <row r="63" spans="1:12" x14ac:dyDescent="0.35">
      <c r="A63" s="4">
        <v>1</v>
      </c>
      <c r="B63" s="5" t="s">
        <v>7</v>
      </c>
      <c r="C63" s="5">
        <v>41</v>
      </c>
      <c r="D63" s="5">
        <v>39</v>
      </c>
      <c r="E63" s="5">
        <v>75</v>
      </c>
      <c r="F63" s="5">
        <v>34</v>
      </c>
      <c r="G63" s="6">
        <f>SUM(C63:F63)</f>
        <v>189</v>
      </c>
      <c r="H63" s="11">
        <f>G63/$F$61</f>
        <v>0.47249999999999998</v>
      </c>
      <c r="I63" s="13">
        <f>C63/$G63</f>
        <v>0.21693121693121692</v>
      </c>
      <c r="J63" s="13">
        <f>D63/$G63</f>
        <v>0.20634920634920634</v>
      </c>
      <c r="K63" s="13">
        <f>E63/$G63</f>
        <v>0.3968253968253968</v>
      </c>
      <c r="L63" s="13">
        <f>F63/$G63</f>
        <v>0.17989417989417988</v>
      </c>
    </row>
    <row r="64" spans="1:12" x14ac:dyDescent="0.35">
      <c r="A64" s="4">
        <v>2</v>
      </c>
      <c r="B64" s="5" t="s">
        <v>8</v>
      </c>
      <c r="C64" s="5">
        <v>67</v>
      </c>
      <c r="D64" s="5">
        <v>57</v>
      </c>
      <c r="E64" s="5">
        <v>73</v>
      </c>
      <c r="F64" s="5">
        <v>47</v>
      </c>
      <c r="G64" s="6">
        <f t="shared" ref="G64:G75" si="6">SUM(C64:F64)</f>
        <v>244</v>
      </c>
      <c r="H64" s="11">
        <f t="shared" ref="H64:H75" si="7">G64/$F$61</f>
        <v>0.61</v>
      </c>
      <c r="I64" s="13">
        <f t="shared" ref="I64:I75" si="8">C64/$G64</f>
        <v>0.27459016393442626</v>
      </c>
      <c r="J64" s="13">
        <f t="shared" ref="J64:J75" si="9">D64/$G64</f>
        <v>0.23360655737704919</v>
      </c>
      <c r="K64" s="13">
        <f t="shared" ref="K64:K75" si="10">E64/$G64</f>
        <v>0.29918032786885246</v>
      </c>
      <c r="L64" s="13">
        <f t="shared" ref="L64:L75" si="11">F64/$G64</f>
        <v>0.19262295081967212</v>
      </c>
    </row>
    <row r="65" spans="1:12" x14ac:dyDescent="0.35">
      <c r="A65" s="4">
        <v>3</v>
      </c>
      <c r="B65" s="5" t="s">
        <v>9</v>
      </c>
      <c r="C65" s="5">
        <v>22</v>
      </c>
      <c r="D65" s="5">
        <v>77</v>
      </c>
      <c r="E65" s="5">
        <v>29</v>
      </c>
      <c r="F65" s="5">
        <v>93</v>
      </c>
      <c r="G65" s="6">
        <f t="shared" si="6"/>
        <v>221</v>
      </c>
      <c r="H65" s="11">
        <f t="shared" si="7"/>
        <v>0.55249999999999999</v>
      </c>
      <c r="I65" s="13">
        <f t="shared" si="8"/>
        <v>9.9547511312217188E-2</v>
      </c>
      <c r="J65" s="13">
        <f t="shared" si="9"/>
        <v>0.34841628959276016</v>
      </c>
      <c r="K65" s="13">
        <f t="shared" si="10"/>
        <v>0.13122171945701358</v>
      </c>
      <c r="L65" s="13">
        <f t="shared" si="11"/>
        <v>0.42081447963800905</v>
      </c>
    </row>
    <row r="66" spans="1:12" x14ac:dyDescent="0.35">
      <c r="A66" s="4">
        <v>4</v>
      </c>
      <c r="B66" s="5" t="s">
        <v>10</v>
      </c>
      <c r="C66" s="5">
        <v>58</v>
      </c>
      <c r="D66" s="5">
        <v>80</v>
      </c>
      <c r="E66" s="5">
        <v>28</v>
      </c>
      <c r="F66" s="5">
        <v>92</v>
      </c>
      <c r="G66" s="6">
        <f t="shared" si="6"/>
        <v>258</v>
      </c>
      <c r="H66" s="11">
        <f t="shared" si="7"/>
        <v>0.64500000000000002</v>
      </c>
      <c r="I66" s="13">
        <f t="shared" si="8"/>
        <v>0.22480620155038761</v>
      </c>
      <c r="J66" s="13">
        <f t="shared" si="9"/>
        <v>0.31007751937984496</v>
      </c>
      <c r="K66" s="13">
        <f t="shared" si="10"/>
        <v>0.10852713178294573</v>
      </c>
      <c r="L66" s="13">
        <f t="shared" si="11"/>
        <v>0.35658914728682173</v>
      </c>
    </row>
    <row r="67" spans="1:12" x14ac:dyDescent="0.35">
      <c r="A67" s="4">
        <v>5</v>
      </c>
      <c r="B67" s="5" t="s">
        <v>11</v>
      </c>
      <c r="C67" s="5">
        <v>89</v>
      </c>
      <c r="D67" s="5">
        <v>69</v>
      </c>
      <c r="E67" s="5">
        <v>92</v>
      </c>
      <c r="F67" s="5">
        <v>25</v>
      </c>
      <c r="G67" s="6">
        <f t="shared" si="6"/>
        <v>275</v>
      </c>
      <c r="H67" s="11">
        <f t="shared" si="7"/>
        <v>0.6875</v>
      </c>
      <c r="I67" s="13">
        <f t="shared" si="8"/>
        <v>0.32363636363636361</v>
      </c>
      <c r="J67" s="13">
        <f t="shared" si="9"/>
        <v>0.25090909090909091</v>
      </c>
      <c r="K67" s="13">
        <f t="shared" si="10"/>
        <v>0.33454545454545453</v>
      </c>
      <c r="L67" s="13">
        <f t="shared" si="11"/>
        <v>9.0909090909090912E-2</v>
      </c>
    </row>
    <row r="68" spans="1:12" x14ac:dyDescent="0.35">
      <c r="A68" s="4">
        <v>6</v>
      </c>
      <c r="B68" s="5" t="s">
        <v>12</v>
      </c>
      <c r="C68" s="5">
        <v>43</v>
      </c>
      <c r="D68" s="5">
        <v>20</v>
      </c>
      <c r="E68" s="5">
        <v>66</v>
      </c>
      <c r="F68" s="5">
        <v>50</v>
      </c>
      <c r="G68" s="6">
        <f t="shared" si="6"/>
        <v>179</v>
      </c>
      <c r="H68" s="11">
        <f t="shared" si="7"/>
        <v>0.44750000000000001</v>
      </c>
      <c r="I68" s="13">
        <f t="shared" si="8"/>
        <v>0.24022346368715083</v>
      </c>
      <c r="J68" s="13">
        <f t="shared" si="9"/>
        <v>0.11173184357541899</v>
      </c>
      <c r="K68" s="13">
        <f t="shared" si="10"/>
        <v>0.36871508379888268</v>
      </c>
      <c r="L68" s="13">
        <f t="shared" si="11"/>
        <v>0.27932960893854747</v>
      </c>
    </row>
    <row r="69" spans="1:12" x14ac:dyDescent="0.35">
      <c r="A69" s="4">
        <v>7</v>
      </c>
      <c r="B69" s="5" t="s">
        <v>13</v>
      </c>
      <c r="C69" s="5">
        <v>21</v>
      </c>
      <c r="D69" s="5">
        <v>27</v>
      </c>
      <c r="E69" s="5">
        <v>70</v>
      </c>
      <c r="F69" s="5">
        <v>53</v>
      </c>
      <c r="G69" s="6">
        <f t="shared" si="6"/>
        <v>171</v>
      </c>
      <c r="H69" s="11">
        <f t="shared" si="7"/>
        <v>0.42749999999999999</v>
      </c>
      <c r="I69" s="13">
        <f t="shared" si="8"/>
        <v>0.12280701754385964</v>
      </c>
      <c r="J69" s="13">
        <f t="shared" si="9"/>
        <v>0.15789473684210525</v>
      </c>
      <c r="K69" s="13">
        <f t="shared" si="10"/>
        <v>0.40935672514619881</v>
      </c>
      <c r="L69" s="13">
        <f t="shared" si="11"/>
        <v>0.30994152046783624</v>
      </c>
    </row>
    <row r="70" spans="1:12" x14ac:dyDescent="0.35">
      <c r="A70" s="4">
        <v>8</v>
      </c>
      <c r="B70" s="5" t="s">
        <v>14</v>
      </c>
      <c r="C70" s="5">
        <v>21</v>
      </c>
      <c r="D70" s="5">
        <v>35</v>
      </c>
      <c r="E70" s="5">
        <v>36</v>
      </c>
      <c r="F70" s="5">
        <v>41</v>
      </c>
      <c r="G70" s="6">
        <f t="shared" si="6"/>
        <v>133</v>
      </c>
      <c r="H70" s="11">
        <f t="shared" si="7"/>
        <v>0.33250000000000002</v>
      </c>
      <c r="I70" s="13">
        <f t="shared" si="8"/>
        <v>0.15789473684210525</v>
      </c>
      <c r="J70" s="13">
        <f t="shared" si="9"/>
        <v>0.26315789473684209</v>
      </c>
      <c r="K70" s="13">
        <f t="shared" si="10"/>
        <v>0.27067669172932329</v>
      </c>
      <c r="L70" s="13">
        <f t="shared" si="11"/>
        <v>0.30827067669172931</v>
      </c>
    </row>
    <row r="71" spans="1:12" x14ac:dyDescent="0.35">
      <c r="A71" s="4">
        <v>9</v>
      </c>
      <c r="B71" s="5" t="s">
        <v>15</v>
      </c>
      <c r="C71" s="5">
        <v>61</v>
      </c>
      <c r="D71" s="5">
        <v>19</v>
      </c>
      <c r="E71" s="5">
        <v>25</v>
      </c>
      <c r="F71" s="5">
        <v>73</v>
      </c>
      <c r="G71" s="6">
        <f t="shared" si="6"/>
        <v>178</v>
      </c>
      <c r="H71" s="11">
        <f t="shared" si="7"/>
        <v>0.44500000000000001</v>
      </c>
      <c r="I71" s="13">
        <f t="shared" si="8"/>
        <v>0.34269662921348315</v>
      </c>
      <c r="J71" s="13">
        <f t="shared" si="9"/>
        <v>0.10674157303370786</v>
      </c>
      <c r="K71" s="13">
        <f t="shared" si="10"/>
        <v>0.1404494382022472</v>
      </c>
      <c r="L71" s="13">
        <f t="shared" si="11"/>
        <v>0.4101123595505618</v>
      </c>
    </row>
    <row r="72" spans="1:12" x14ac:dyDescent="0.35">
      <c r="A72" s="4">
        <v>10</v>
      </c>
      <c r="B72" s="5" t="s">
        <v>16</v>
      </c>
      <c r="C72" s="5">
        <v>69</v>
      </c>
      <c r="D72" s="5">
        <v>32</v>
      </c>
      <c r="E72" s="5">
        <v>59</v>
      </c>
      <c r="F72" s="5">
        <v>41</v>
      </c>
      <c r="G72" s="6">
        <f t="shared" si="6"/>
        <v>201</v>
      </c>
      <c r="H72" s="11">
        <f t="shared" si="7"/>
        <v>0.50249999999999995</v>
      </c>
      <c r="I72" s="13">
        <f t="shared" si="8"/>
        <v>0.34328358208955223</v>
      </c>
      <c r="J72" s="13">
        <f t="shared" si="9"/>
        <v>0.15920398009950248</v>
      </c>
      <c r="K72" s="13">
        <f t="shared" si="10"/>
        <v>0.29353233830845771</v>
      </c>
      <c r="L72" s="13">
        <f t="shared" si="11"/>
        <v>0.20398009950248755</v>
      </c>
    </row>
    <row r="73" spans="1:12" x14ac:dyDescent="0.35">
      <c r="A73" s="4">
        <v>11</v>
      </c>
      <c r="B73" s="5" t="s">
        <v>17</v>
      </c>
      <c r="C73" s="5">
        <v>27</v>
      </c>
      <c r="D73" s="5">
        <v>75</v>
      </c>
      <c r="E73" s="5">
        <v>68</v>
      </c>
      <c r="F73" s="5">
        <v>79</v>
      </c>
      <c r="G73" s="6">
        <f t="shared" si="6"/>
        <v>249</v>
      </c>
      <c r="H73" s="11">
        <f t="shared" si="7"/>
        <v>0.62250000000000005</v>
      </c>
      <c r="I73" s="13">
        <f t="shared" si="8"/>
        <v>0.10843373493975904</v>
      </c>
      <c r="J73" s="13">
        <f t="shared" si="9"/>
        <v>0.30120481927710846</v>
      </c>
      <c r="K73" s="13">
        <f t="shared" si="10"/>
        <v>0.27309236947791166</v>
      </c>
      <c r="L73" s="13">
        <f t="shared" si="11"/>
        <v>0.31726907630522089</v>
      </c>
    </row>
    <row r="74" spans="1:12" x14ac:dyDescent="0.35">
      <c r="A74" s="4">
        <v>12</v>
      </c>
      <c r="B74" s="5" t="s">
        <v>18</v>
      </c>
      <c r="C74" s="5">
        <v>76</v>
      </c>
      <c r="D74" s="5">
        <v>54</v>
      </c>
      <c r="E74" s="5">
        <v>40</v>
      </c>
      <c r="F74" s="5">
        <v>30</v>
      </c>
      <c r="G74" s="6">
        <f t="shared" si="6"/>
        <v>200</v>
      </c>
      <c r="H74" s="11">
        <f t="shared" si="7"/>
        <v>0.5</v>
      </c>
      <c r="I74" s="13">
        <f t="shared" si="8"/>
        <v>0.38</v>
      </c>
      <c r="J74" s="13">
        <f t="shared" si="9"/>
        <v>0.27</v>
      </c>
      <c r="K74" s="13">
        <f t="shared" si="10"/>
        <v>0.2</v>
      </c>
      <c r="L74" s="13">
        <f t="shared" si="11"/>
        <v>0.15</v>
      </c>
    </row>
    <row r="75" spans="1:12" ht="15" thickBot="1" x14ac:dyDescent="0.4">
      <c r="A75" s="7">
        <v>13</v>
      </c>
      <c r="B75" s="8" t="s">
        <v>19</v>
      </c>
      <c r="C75" s="8">
        <v>29</v>
      </c>
      <c r="D75" s="8">
        <v>15</v>
      </c>
      <c r="E75" s="8">
        <v>81</v>
      </c>
      <c r="F75" s="8">
        <v>56</v>
      </c>
      <c r="G75" s="14">
        <f t="shared" si="6"/>
        <v>181</v>
      </c>
      <c r="H75" s="11">
        <f t="shared" si="7"/>
        <v>0.45250000000000001</v>
      </c>
      <c r="I75" s="13">
        <f t="shared" si="8"/>
        <v>0.16022099447513813</v>
      </c>
      <c r="J75" s="13">
        <f t="shared" si="9"/>
        <v>8.2872928176795577E-2</v>
      </c>
      <c r="K75" s="13">
        <f t="shared" si="10"/>
        <v>0.44751381215469616</v>
      </c>
      <c r="L75" s="13">
        <f t="shared" si="11"/>
        <v>0.30939226519337015</v>
      </c>
    </row>
    <row r="80" spans="1:12" x14ac:dyDescent="0.35">
      <c r="B80" s="15"/>
      <c r="C80" s="15"/>
    </row>
    <row r="81" spans="2:10" x14ac:dyDescent="0.35">
      <c r="B81" s="15"/>
      <c r="C81" s="15"/>
    </row>
    <row r="82" spans="2:10" x14ac:dyDescent="0.35">
      <c r="B82" s="15"/>
      <c r="C82" s="15"/>
    </row>
    <row r="92" spans="2:10" ht="15" thickBot="1" x14ac:dyDescent="0.4"/>
    <row r="93" spans="2:10" ht="15" thickBot="1" x14ac:dyDescent="0.4">
      <c r="B93" s="300" t="s">
        <v>22</v>
      </c>
      <c r="C93" s="301"/>
      <c r="D93" s="301"/>
      <c r="E93" s="301"/>
      <c r="F93" s="302"/>
      <c r="G93" s="303">
        <v>400</v>
      </c>
      <c r="H93" s="304"/>
      <c r="I93" s="304"/>
      <c r="J93" s="305"/>
    </row>
    <row r="94" spans="2:10" ht="16" x14ac:dyDescent="0.35">
      <c r="B94" s="9" t="s">
        <v>0</v>
      </c>
      <c r="C94" s="10" t="s">
        <v>1</v>
      </c>
      <c r="D94" s="10" t="s">
        <v>2</v>
      </c>
      <c r="E94" s="10" t="s">
        <v>3</v>
      </c>
      <c r="F94" s="10" t="s">
        <v>4</v>
      </c>
      <c r="G94" s="10" t="s">
        <v>5</v>
      </c>
      <c r="H94" s="10" t="s">
        <v>6</v>
      </c>
      <c r="I94" s="10" t="s">
        <v>23</v>
      </c>
      <c r="J94" s="10" t="s">
        <v>28</v>
      </c>
    </row>
    <row r="95" spans="2:10" x14ac:dyDescent="0.35">
      <c r="B95" s="4">
        <v>1</v>
      </c>
      <c r="C95" s="5" t="s">
        <v>7</v>
      </c>
      <c r="D95" s="5">
        <v>41</v>
      </c>
      <c r="E95" s="5">
        <v>39</v>
      </c>
      <c r="F95" s="5">
        <v>75</v>
      </c>
      <c r="G95" s="5">
        <v>34</v>
      </c>
      <c r="H95" s="6">
        <f>SUM(D95:G95)</f>
        <v>189</v>
      </c>
      <c r="I95" s="11">
        <f>H95/400</f>
        <v>0.47249999999999998</v>
      </c>
      <c r="J95" s="16">
        <f>RANK(I95,$I$95:$I$109,0)</f>
        <v>10</v>
      </c>
    </row>
    <row r="96" spans="2:10" x14ac:dyDescent="0.35">
      <c r="B96" s="4">
        <v>2</v>
      </c>
      <c r="C96" s="5" t="s">
        <v>8</v>
      </c>
      <c r="D96" s="5">
        <v>67</v>
      </c>
      <c r="E96" s="5">
        <v>57</v>
      </c>
      <c r="F96" s="5">
        <v>73</v>
      </c>
      <c r="G96" s="5">
        <v>47</v>
      </c>
      <c r="H96" s="6">
        <f t="shared" ref="H96:H109" si="12">SUM(D96:G96)</f>
        <v>244</v>
      </c>
      <c r="I96" s="11">
        <f t="shared" ref="I96:I109" si="13">H96/400</f>
        <v>0.61</v>
      </c>
      <c r="J96" s="16">
        <f t="shared" ref="J96:J109" si="14">RANK(I96,$I$95:$I$109,0)</f>
        <v>4</v>
      </c>
    </row>
    <row r="97" spans="2:10" x14ac:dyDescent="0.35">
      <c r="B97" s="4">
        <v>3</v>
      </c>
      <c r="C97" s="5" t="s">
        <v>9</v>
      </c>
      <c r="D97" s="5">
        <v>22</v>
      </c>
      <c r="E97" s="5">
        <v>77</v>
      </c>
      <c r="F97" s="5">
        <v>29</v>
      </c>
      <c r="G97" s="5">
        <v>93</v>
      </c>
      <c r="H97" s="6">
        <f t="shared" si="12"/>
        <v>221</v>
      </c>
      <c r="I97" s="11">
        <f t="shared" si="13"/>
        <v>0.55249999999999999</v>
      </c>
      <c r="J97" s="16">
        <f t="shared" si="14"/>
        <v>6</v>
      </c>
    </row>
    <row r="98" spans="2:10" x14ac:dyDescent="0.35">
      <c r="B98" s="4">
        <v>4</v>
      </c>
      <c r="C98" s="5" t="s">
        <v>10</v>
      </c>
      <c r="D98" s="5">
        <v>58</v>
      </c>
      <c r="E98" s="5">
        <v>80</v>
      </c>
      <c r="F98" s="5">
        <v>28</v>
      </c>
      <c r="G98" s="5">
        <v>92</v>
      </c>
      <c r="H98" s="6">
        <f t="shared" si="12"/>
        <v>258</v>
      </c>
      <c r="I98" s="11">
        <f t="shared" si="13"/>
        <v>0.64500000000000002</v>
      </c>
      <c r="J98" s="16">
        <f t="shared" si="14"/>
        <v>2</v>
      </c>
    </row>
    <row r="99" spans="2:10" x14ac:dyDescent="0.35">
      <c r="B99" s="4">
        <v>5</v>
      </c>
      <c r="C99" s="5" t="s">
        <v>11</v>
      </c>
      <c r="D99" s="5">
        <v>89</v>
      </c>
      <c r="E99" s="5">
        <v>69</v>
      </c>
      <c r="F99" s="5">
        <v>92</v>
      </c>
      <c r="G99" s="5">
        <v>25</v>
      </c>
      <c r="H99" s="6">
        <f t="shared" si="12"/>
        <v>275</v>
      </c>
      <c r="I99" s="11">
        <f t="shared" si="13"/>
        <v>0.6875</v>
      </c>
      <c r="J99" s="16">
        <f t="shared" si="14"/>
        <v>1</v>
      </c>
    </row>
    <row r="100" spans="2:10" x14ac:dyDescent="0.35">
      <c r="B100" s="4">
        <v>6</v>
      </c>
      <c r="C100" s="5" t="s">
        <v>12</v>
      </c>
      <c r="D100" s="5">
        <v>43</v>
      </c>
      <c r="E100" s="5">
        <v>20</v>
      </c>
      <c r="F100" s="5">
        <v>66</v>
      </c>
      <c r="G100" s="5">
        <v>50</v>
      </c>
      <c r="H100" s="6">
        <f t="shared" si="12"/>
        <v>179</v>
      </c>
      <c r="I100" s="11">
        <f t="shared" si="13"/>
        <v>0.44750000000000001</v>
      </c>
      <c r="J100" s="16">
        <f t="shared" si="14"/>
        <v>12</v>
      </c>
    </row>
    <row r="101" spans="2:10" x14ac:dyDescent="0.35">
      <c r="B101" s="4">
        <v>7</v>
      </c>
      <c r="C101" s="5" t="s">
        <v>13</v>
      </c>
      <c r="D101" s="5">
        <v>21</v>
      </c>
      <c r="E101" s="5">
        <v>27</v>
      </c>
      <c r="F101" s="5">
        <v>70</v>
      </c>
      <c r="G101" s="5">
        <v>53</v>
      </c>
      <c r="H101" s="6">
        <f t="shared" si="12"/>
        <v>171</v>
      </c>
      <c r="I101" s="11">
        <f t="shared" si="13"/>
        <v>0.42749999999999999</v>
      </c>
      <c r="J101" s="16">
        <f t="shared" si="14"/>
        <v>14</v>
      </c>
    </row>
    <row r="102" spans="2:10" x14ac:dyDescent="0.35">
      <c r="B102" s="4">
        <v>8</v>
      </c>
      <c r="C102" s="5" t="s">
        <v>14</v>
      </c>
      <c r="D102" s="5">
        <v>21</v>
      </c>
      <c r="E102" s="5">
        <v>35</v>
      </c>
      <c r="F102" s="5">
        <v>36</v>
      </c>
      <c r="G102" s="5">
        <v>41</v>
      </c>
      <c r="H102" s="6">
        <f t="shared" si="12"/>
        <v>133</v>
      </c>
      <c r="I102" s="11">
        <f t="shared" si="13"/>
        <v>0.33250000000000002</v>
      </c>
      <c r="J102" s="16">
        <f t="shared" si="14"/>
        <v>15</v>
      </c>
    </row>
    <row r="103" spans="2:10" x14ac:dyDescent="0.35">
      <c r="B103" s="4">
        <v>9</v>
      </c>
      <c r="C103" s="5" t="s">
        <v>15</v>
      </c>
      <c r="D103" s="5">
        <v>61</v>
      </c>
      <c r="E103" s="5">
        <v>19</v>
      </c>
      <c r="F103" s="5">
        <v>25</v>
      </c>
      <c r="G103" s="5">
        <v>73</v>
      </c>
      <c r="H103" s="6">
        <f t="shared" si="12"/>
        <v>178</v>
      </c>
      <c r="I103" s="11">
        <f t="shared" si="13"/>
        <v>0.44500000000000001</v>
      </c>
      <c r="J103" s="16">
        <f t="shared" si="14"/>
        <v>13</v>
      </c>
    </row>
    <row r="104" spans="2:10" x14ac:dyDescent="0.35">
      <c r="B104" s="4">
        <v>10</v>
      </c>
      <c r="C104" s="5" t="s">
        <v>16</v>
      </c>
      <c r="D104" s="5">
        <v>69</v>
      </c>
      <c r="E104" s="5">
        <v>32</v>
      </c>
      <c r="F104" s="5">
        <v>59</v>
      </c>
      <c r="G104" s="5">
        <v>41</v>
      </c>
      <c r="H104" s="6">
        <f t="shared" si="12"/>
        <v>201</v>
      </c>
      <c r="I104" s="11">
        <f t="shared" si="13"/>
        <v>0.50249999999999995</v>
      </c>
      <c r="J104" s="16">
        <f t="shared" si="14"/>
        <v>8</v>
      </c>
    </row>
    <row r="105" spans="2:10" x14ac:dyDescent="0.35">
      <c r="B105" s="4">
        <v>11</v>
      </c>
      <c r="C105" s="5" t="s">
        <v>17</v>
      </c>
      <c r="D105" s="5">
        <v>27</v>
      </c>
      <c r="E105" s="5">
        <v>75</v>
      </c>
      <c r="F105" s="5">
        <v>68</v>
      </c>
      <c r="G105" s="5">
        <v>79</v>
      </c>
      <c r="H105" s="6">
        <f t="shared" si="12"/>
        <v>249</v>
      </c>
      <c r="I105" s="11">
        <f t="shared" si="13"/>
        <v>0.62250000000000005</v>
      </c>
      <c r="J105" s="16">
        <f t="shared" si="14"/>
        <v>3</v>
      </c>
    </row>
    <row r="106" spans="2:10" x14ac:dyDescent="0.35">
      <c r="B106" s="4">
        <v>12</v>
      </c>
      <c r="C106" s="5" t="s">
        <v>18</v>
      </c>
      <c r="D106" s="5">
        <v>76</v>
      </c>
      <c r="E106" s="5">
        <v>54</v>
      </c>
      <c r="F106" s="5">
        <v>40</v>
      </c>
      <c r="G106" s="5">
        <v>30</v>
      </c>
      <c r="H106" s="6">
        <f t="shared" si="12"/>
        <v>200</v>
      </c>
      <c r="I106" s="11">
        <f t="shared" si="13"/>
        <v>0.5</v>
      </c>
      <c r="J106" s="16">
        <f t="shared" si="14"/>
        <v>9</v>
      </c>
    </row>
    <row r="107" spans="2:10" x14ac:dyDescent="0.35">
      <c r="B107" s="4">
        <v>13</v>
      </c>
      <c r="C107" s="5" t="s">
        <v>19</v>
      </c>
      <c r="D107" s="5">
        <v>29</v>
      </c>
      <c r="E107" s="5">
        <v>15</v>
      </c>
      <c r="F107" s="5">
        <v>81</v>
      </c>
      <c r="G107" s="5">
        <v>56</v>
      </c>
      <c r="H107" s="6">
        <f t="shared" si="12"/>
        <v>181</v>
      </c>
      <c r="I107" s="11">
        <f t="shared" si="13"/>
        <v>0.45250000000000001</v>
      </c>
      <c r="J107" s="16">
        <f t="shared" si="14"/>
        <v>11</v>
      </c>
    </row>
    <row r="108" spans="2:10" x14ac:dyDescent="0.35">
      <c r="B108" s="4">
        <v>14</v>
      </c>
      <c r="C108" s="5" t="s">
        <v>20</v>
      </c>
      <c r="D108" s="5">
        <v>62</v>
      </c>
      <c r="E108" s="5">
        <v>21</v>
      </c>
      <c r="F108" s="5">
        <v>67</v>
      </c>
      <c r="G108" s="5">
        <v>88</v>
      </c>
      <c r="H108" s="6">
        <f t="shared" si="12"/>
        <v>238</v>
      </c>
      <c r="I108" s="11">
        <f t="shared" si="13"/>
        <v>0.59499999999999997</v>
      </c>
      <c r="J108" s="16">
        <f t="shared" si="14"/>
        <v>5</v>
      </c>
    </row>
    <row r="109" spans="2:10" ht="15" thickBot="1" x14ac:dyDescent="0.4">
      <c r="B109" s="7">
        <v>15</v>
      </c>
      <c r="C109" s="8" t="s">
        <v>21</v>
      </c>
      <c r="D109" s="8">
        <v>15</v>
      </c>
      <c r="E109" s="8">
        <v>95</v>
      </c>
      <c r="F109" s="8">
        <v>29</v>
      </c>
      <c r="G109" s="8">
        <v>64</v>
      </c>
      <c r="H109" s="6">
        <f t="shared" si="12"/>
        <v>203</v>
      </c>
      <c r="I109" s="11">
        <f t="shared" si="13"/>
        <v>0.50749999999999995</v>
      </c>
      <c r="J109" s="16">
        <f t="shared" si="14"/>
        <v>7</v>
      </c>
    </row>
  </sheetData>
  <mergeCells count="6">
    <mergeCell ref="A30:E30"/>
    <mergeCell ref="F30:I30"/>
    <mergeCell ref="A61:E61"/>
    <mergeCell ref="F61:L61"/>
    <mergeCell ref="B93:F93"/>
    <mergeCell ref="G93:J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A3E27-DFD7-4AAB-AE30-98B3FDA22956}">
  <sheetPr>
    <tabColor rgb="FFFFFF00"/>
  </sheetPr>
  <dimension ref="B1:T136"/>
  <sheetViews>
    <sheetView topLeftCell="F110" zoomScale="115" zoomScaleNormal="115" workbookViewId="0">
      <selection activeCell="H125" sqref="H125:I136"/>
    </sheetView>
  </sheetViews>
  <sheetFormatPr defaultRowHeight="14.5" x14ac:dyDescent="0.35"/>
  <cols>
    <col min="2" max="2" width="25.7265625" customWidth="1"/>
    <col min="3" max="3" width="23.36328125" bestFit="1" customWidth="1"/>
    <col min="4" max="4" width="20.1796875" customWidth="1"/>
    <col min="5" max="5" width="8.1796875" bestFit="1" customWidth="1"/>
    <col min="6" max="6" width="24.6328125" customWidth="1"/>
    <col min="7" max="7" width="19.08984375" customWidth="1"/>
    <col min="8" max="8" width="22.7265625" customWidth="1"/>
    <col min="9" max="9" width="18.90625" customWidth="1"/>
    <col min="10" max="10" width="20.36328125" customWidth="1"/>
    <col min="11" max="11" width="16.1796875" bestFit="1" customWidth="1"/>
    <col min="12" max="12" width="12.453125" bestFit="1" customWidth="1"/>
    <col min="13" max="13" width="12.08984375" bestFit="1" customWidth="1"/>
  </cols>
  <sheetData>
    <row r="1" spans="2:9" ht="19" thickBot="1" x14ac:dyDescent="0.5">
      <c r="B1" s="316" t="s">
        <v>130</v>
      </c>
      <c r="C1" s="316"/>
      <c r="E1" s="313" t="s">
        <v>142</v>
      </c>
      <c r="F1" s="315"/>
      <c r="H1" s="313" t="s">
        <v>155</v>
      </c>
      <c r="I1" s="315"/>
    </row>
    <row r="2" spans="2:9" ht="18.5" x14ac:dyDescent="0.35">
      <c r="B2" s="24" t="s">
        <v>1</v>
      </c>
      <c r="C2" s="25" t="s">
        <v>131</v>
      </c>
      <c r="E2" s="29" t="s">
        <v>143</v>
      </c>
      <c r="F2" s="30" t="s">
        <v>144</v>
      </c>
      <c r="H2" s="29" t="s">
        <v>143</v>
      </c>
      <c r="I2" s="30" t="s">
        <v>144</v>
      </c>
    </row>
    <row r="3" spans="2:9" ht="16" x14ac:dyDescent="0.35">
      <c r="B3" s="26" t="s">
        <v>132</v>
      </c>
      <c r="C3" s="27"/>
      <c r="E3" s="31" t="s">
        <v>145</v>
      </c>
      <c r="F3" s="27"/>
      <c r="H3" s="31" t="s">
        <v>145</v>
      </c>
      <c r="I3" s="27" t="str">
        <f>MID(H3,5,4)</f>
        <v>5678</v>
      </c>
    </row>
    <row r="4" spans="2:9" ht="16" x14ac:dyDescent="0.35">
      <c r="B4" s="26" t="s">
        <v>133</v>
      </c>
      <c r="C4" s="27"/>
      <c r="E4" s="31" t="s">
        <v>146</v>
      </c>
      <c r="F4" s="27"/>
      <c r="H4" s="31" t="s">
        <v>146</v>
      </c>
      <c r="I4" s="27" t="str">
        <f t="shared" ref="I4:I12" si="0">MID(H4,5,4)</f>
        <v>8492</v>
      </c>
    </row>
    <row r="5" spans="2:9" ht="16" x14ac:dyDescent="0.35">
      <c r="B5" s="26" t="s">
        <v>134</v>
      </c>
      <c r="C5" s="27"/>
      <c r="E5" s="31" t="s">
        <v>147</v>
      </c>
      <c r="F5" s="27"/>
      <c r="H5" s="31" t="s">
        <v>147</v>
      </c>
      <c r="I5" s="27" t="str">
        <f t="shared" si="0"/>
        <v>2345</v>
      </c>
    </row>
    <row r="6" spans="2:9" ht="16" x14ac:dyDescent="0.35">
      <c r="B6" s="26" t="s">
        <v>135</v>
      </c>
      <c r="C6" s="27"/>
      <c r="E6" s="31" t="s">
        <v>148</v>
      </c>
      <c r="F6" s="27"/>
      <c r="H6" s="31" t="s">
        <v>148</v>
      </c>
      <c r="I6" s="27" t="str">
        <f t="shared" si="0"/>
        <v>6789</v>
      </c>
    </row>
    <row r="7" spans="2:9" ht="16" x14ac:dyDescent="0.35">
      <c r="B7" s="26" t="s">
        <v>136</v>
      </c>
      <c r="C7" s="27"/>
      <c r="E7" s="31" t="s">
        <v>149</v>
      </c>
      <c r="F7" s="27"/>
      <c r="H7" s="31" t="s">
        <v>149</v>
      </c>
      <c r="I7" s="27" t="str">
        <f t="shared" si="0"/>
        <v>4532</v>
      </c>
    </row>
    <row r="8" spans="2:9" ht="16" x14ac:dyDescent="0.35">
      <c r="B8" s="26" t="s">
        <v>137</v>
      </c>
      <c r="C8" s="27"/>
      <c r="E8" s="31" t="s">
        <v>150</v>
      </c>
      <c r="F8" s="27"/>
      <c r="H8" s="31" t="s">
        <v>150</v>
      </c>
      <c r="I8" s="27" t="str">
        <f t="shared" si="0"/>
        <v>9102</v>
      </c>
    </row>
    <row r="9" spans="2:9" ht="16" x14ac:dyDescent="0.35">
      <c r="B9" s="26" t="s">
        <v>138</v>
      </c>
      <c r="C9" s="27"/>
      <c r="E9" s="31" t="s">
        <v>151</v>
      </c>
      <c r="F9" s="27"/>
      <c r="H9" s="31" t="s">
        <v>151</v>
      </c>
      <c r="I9" s="27" t="str">
        <f t="shared" si="0"/>
        <v>3217</v>
      </c>
    </row>
    <row r="10" spans="2:9" ht="16" x14ac:dyDescent="0.35">
      <c r="B10" s="26" t="s">
        <v>139</v>
      </c>
      <c r="C10" s="27"/>
      <c r="E10" s="31" t="s">
        <v>152</v>
      </c>
      <c r="F10" s="27"/>
      <c r="H10" s="31" t="s">
        <v>152</v>
      </c>
      <c r="I10" s="27" t="str">
        <f t="shared" si="0"/>
        <v>7654</v>
      </c>
    </row>
    <row r="11" spans="2:9" ht="16" x14ac:dyDescent="0.35">
      <c r="B11" s="26" t="s">
        <v>140</v>
      </c>
      <c r="C11" s="27"/>
      <c r="E11" s="31" t="s">
        <v>153</v>
      </c>
      <c r="F11" s="27"/>
      <c r="H11" s="31" t="s">
        <v>153</v>
      </c>
      <c r="I11" s="27" t="str">
        <f t="shared" si="0"/>
        <v>1876</v>
      </c>
    </row>
    <row r="12" spans="2:9" ht="16.5" thickBot="1" x14ac:dyDescent="0.4">
      <c r="B12" s="28" t="s">
        <v>141</v>
      </c>
      <c r="C12" s="27"/>
      <c r="E12" s="32" t="s">
        <v>154</v>
      </c>
      <c r="F12" s="27"/>
      <c r="H12" s="32" t="s">
        <v>154</v>
      </c>
      <c r="I12" s="27" t="str">
        <f t="shared" si="0"/>
        <v>5923</v>
      </c>
    </row>
    <row r="17" spans="2:3" ht="15" thickBot="1" x14ac:dyDescent="0.4"/>
    <row r="18" spans="2:3" ht="19" thickBot="1" x14ac:dyDescent="0.5">
      <c r="B18" s="311" t="s">
        <v>156</v>
      </c>
      <c r="C18" s="312"/>
    </row>
    <row r="19" spans="2:3" ht="18.5" x14ac:dyDescent="0.35">
      <c r="B19" s="24" t="s">
        <v>143</v>
      </c>
      <c r="C19" s="25"/>
    </row>
    <row r="20" spans="2:3" ht="16" x14ac:dyDescent="0.35">
      <c r="B20" s="31" t="s">
        <v>145</v>
      </c>
      <c r="C20" s="27"/>
    </row>
    <row r="21" spans="2:3" ht="16" x14ac:dyDescent="0.35">
      <c r="B21" s="31" t="s">
        <v>146</v>
      </c>
      <c r="C21" s="27"/>
    </row>
    <row r="22" spans="2:3" ht="16" x14ac:dyDescent="0.35">
      <c r="B22" s="31" t="s">
        <v>157</v>
      </c>
      <c r="C22" s="27"/>
    </row>
    <row r="23" spans="2:3" ht="16" x14ac:dyDescent="0.35">
      <c r="B23" s="31" t="s">
        <v>158</v>
      </c>
      <c r="C23" s="27"/>
    </row>
    <row r="24" spans="2:3" ht="16" x14ac:dyDescent="0.35">
      <c r="B24" s="31" t="s">
        <v>149</v>
      </c>
      <c r="C24" s="27"/>
    </row>
    <row r="25" spans="2:3" ht="16" x14ac:dyDescent="0.35">
      <c r="B25" s="31" t="s">
        <v>150</v>
      </c>
      <c r="C25" s="27"/>
    </row>
    <row r="26" spans="2:3" ht="16" x14ac:dyDescent="0.35">
      <c r="B26" s="31" t="s">
        <v>151</v>
      </c>
      <c r="C26" s="27"/>
    </row>
    <row r="27" spans="2:3" ht="16" x14ac:dyDescent="0.35">
      <c r="B27" s="31" t="s">
        <v>152</v>
      </c>
      <c r="C27" s="27"/>
    </row>
    <row r="28" spans="2:3" ht="16" x14ac:dyDescent="0.35">
      <c r="B28" s="31" t="s">
        <v>153</v>
      </c>
      <c r="C28" s="27"/>
    </row>
    <row r="29" spans="2:3" ht="16.5" thickBot="1" x14ac:dyDescent="0.4">
      <c r="B29" s="32" t="s">
        <v>154</v>
      </c>
      <c r="C29" s="27"/>
    </row>
    <row r="38" spans="2:3" ht="15" thickBot="1" x14ac:dyDescent="0.4"/>
    <row r="39" spans="2:3" ht="19" thickBot="1" x14ac:dyDescent="0.5">
      <c r="B39" s="311" t="s">
        <v>159</v>
      </c>
      <c r="C39" s="312"/>
    </row>
    <row r="40" spans="2:3" ht="18.5" x14ac:dyDescent="0.35">
      <c r="B40" s="24" t="s">
        <v>143</v>
      </c>
      <c r="C40" s="25"/>
    </row>
    <row r="41" spans="2:3" ht="16" x14ac:dyDescent="0.35">
      <c r="B41" s="26" t="s">
        <v>160</v>
      </c>
      <c r="C41" s="27"/>
    </row>
    <row r="42" spans="2:3" ht="16" x14ac:dyDescent="0.35">
      <c r="B42" s="26" t="s">
        <v>161</v>
      </c>
      <c r="C42" s="27"/>
    </row>
    <row r="43" spans="2:3" ht="16" x14ac:dyDescent="0.35">
      <c r="B43" s="26" t="s">
        <v>162</v>
      </c>
      <c r="C43" s="27"/>
    </row>
    <row r="44" spans="2:3" ht="16" x14ac:dyDescent="0.35">
      <c r="B44" s="26" t="s">
        <v>135</v>
      </c>
      <c r="C44" s="27"/>
    </row>
    <row r="45" spans="2:3" ht="16" x14ac:dyDescent="0.35">
      <c r="B45" s="26" t="s">
        <v>163</v>
      </c>
      <c r="C45" s="27"/>
    </row>
    <row r="46" spans="2:3" ht="16" x14ac:dyDescent="0.35">
      <c r="B46" s="26" t="s">
        <v>164</v>
      </c>
      <c r="C46" s="27"/>
    </row>
    <row r="47" spans="2:3" ht="16" x14ac:dyDescent="0.35">
      <c r="B47" s="26" t="s">
        <v>165</v>
      </c>
      <c r="C47" s="27"/>
    </row>
    <row r="48" spans="2:3" ht="16" x14ac:dyDescent="0.35">
      <c r="B48" s="26" t="s">
        <v>166</v>
      </c>
      <c r="C48" s="27"/>
    </row>
    <row r="49" spans="2:3" ht="16" x14ac:dyDescent="0.35">
      <c r="B49" s="26" t="s">
        <v>140</v>
      </c>
      <c r="C49" s="27"/>
    </row>
    <row r="50" spans="2:3" ht="16.5" thickBot="1" x14ac:dyDescent="0.4">
      <c r="B50" s="28" t="s">
        <v>167</v>
      </c>
      <c r="C50" s="27"/>
    </row>
    <row r="59" spans="2:3" ht="15" thickBot="1" x14ac:dyDescent="0.4"/>
    <row r="60" spans="2:3" ht="19" thickBot="1" x14ac:dyDescent="0.5">
      <c r="B60" s="311" t="s">
        <v>168</v>
      </c>
      <c r="C60" s="312"/>
    </row>
    <row r="61" spans="2:3" ht="18.5" x14ac:dyDescent="0.35">
      <c r="B61" s="24" t="s">
        <v>169</v>
      </c>
      <c r="C61" s="25" t="s">
        <v>170</v>
      </c>
    </row>
    <row r="62" spans="2:3" ht="16" x14ac:dyDescent="0.35">
      <c r="B62" s="33" t="s">
        <v>171</v>
      </c>
      <c r="C62" s="27"/>
    </row>
    <row r="63" spans="2:3" ht="16" x14ac:dyDescent="0.35">
      <c r="B63" s="33" t="s">
        <v>172</v>
      </c>
      <c r="C63" s="27"/>
    </row>
    <row r="64" spans="2:3" ht="16" x14ac:dyDescent="0.35">
      <c r="B64" s="33">
        <v>37084</v>
      </c>
      <c r="C64" s="27"/>
    </row>
    <row r="65" spans="2:6" ht="16" x14ac:dyDescent="0.35">
      <c r="B65" s="33" t="s">
        <v>173</v>
      </c>
      <c r="C65" s="27"/>
    </row>
    <row r="66" spans="2:6" ht="16" x14ac:dyDescent="0.35">
      <c r="B66" s="33" t="s">
        <v>174</v>
      </c>
      <c r="C66" s="27"/>
    </row>
    <row r="67" spans="2:6" ht="16" x14ac:dyDescent="0.35">
      <c r="B67" s="33">
        <v>36841</v>
      </c>
      <c r="C67" s="27"/>
    </row>
    <row r="68" spans="2:6" ht="16" x14ac:dyDescent="0.35">
      <c r="B68" s="33" t="s">
        <v>175</v>
      </c>
      <c r="C68" s="27"/>
    </row>
    <row r="69" spans="2:6" ht="16" x14ac:dyDescent="0.35">
      <c r="B69" s="33">
        <v>35491</v>
      </c>
      <c r="C69" s="27"/>
    </row>
    <row r="70" spans="2:6" ht="16" x14ac:dyDescent="0.35">
      <c r="B70" s="33" t="s">
        <v>176</v>
      </c>
      <c r="C70" s="27"/>
      <c r="E70" s="34"/>
    </row>
    <row r="71" spans="2:6" ht="16.5" thickBot="1" x14ac:dyDescent="0.4">
      <c r="B71" s="35">
        <v>37478</v>
      </c>
      <c r="C71" s="27"/>
    </row>
    <row r="72" spans="2:6" x14ac:dyDescent="0.35">
      <c r="B72" s="36"/>
    </row>
    <row r="80" spans="2:6" ht="19" thickBot="1" x14ac:dyDescent="0.5">
      <c r="B80" s="316" t="s">
        <v>177</v>
      </c>
      <c r="C80" s="316"/>
      <c r="E80" s="316" t="s">
        <v>180</v>
      </c>
      <c r="F80" s="316"/>
    </row>
    <row r="81" spans="2:9" ht="19" thickBot="1" x14ac:dyDescent="0.5">
      <c r="B81" s="24" t="s">
        <v>1</v>
      </c>
      <c r="C81" s="25" t="s">
        <v>178</v>
      </c>
      <c r="E81" s="24" t="s">
        <v>1</v>
      </c>
      <c r="F81" s="25" t="s">
        <v>181</v>
      </c>
      <c r="H81" s="316" t="s">
        <v>182</v>
      </c>
      <c r="I81" s="316"/>
    </row>
    <row r="82" spans="2:9" ht="18.5" x14ac:dyDescent="0.35">
      <c r="B82" s="26" t="s">
        <v>132</v>
      </c>
      <c r="C82" s="27"/>
      <c r="E82" s="26" t="s">
        <v>132</v>
      </c>
      <c r="F82" s="27"/>
      <c r="H82" s="24" t="s">
        <v>1</v>
      </c>
      <c r="I82" s="25" t="s">
        <v>183</v>
      </c>
    </row>
    <row r="83" spans="2:9" ht="16" x14ac:dyDescent="0.35">
      <c r="B83" s="26" t="s">
        <v>133</v>
      </c>
      <c r="C83" s="27"/>
      <c r="E83" s="26" t="s">
        <v>133</v>
      </c>
      <c r="F83" s="27"/>
      <c r="H83" s="26" t="s">
        <v>184</v>
      </c>
      <c r="I83" s="27"/>
    </row>
    <row r="84" spans="2:9" ht="16" x14ac:dyDescent="0.35">
      <c r="B84" s="26" t="s">
        <v>134</v>
      </c>
      <c r="C84" s="27"/>
      <c r="E84" s="26" t="s">
        <v>134</v>
      </c>
      <c r="F84" s="27"/>
      <c r="H84" s="26" t="s">
        <v>185</v>
      </c>
      <c r="I84" s="27"/>
    </row>
    <row r="85" spans="2:9" ht="16" x14ac:dyDescent="0.35">
      <c r="B85" s="26" t="s">
        <v>135</v>
      </c>
      <c r="C85" s="27"/>
      <c r="E85" s="26" t="s">
        <v>135</v>
      </c>
      <c r="F85" s="27"/>
      <c r="H85" s="26" t="s">
        <v>186</v>
      </c>
      <c r="I85" s="27"/>
    </row>
    <row r="86" spans="2:9" ht="16" x14ac:dyDescent="0.35">
      <c r="B86" s="26" t="s">
        <v>136</v>
      </c>
      <c r="C86" s="27"/>
      <c r="E86" s="26" t="s">
        <v>136</v>
      </c>
      <c r="F86" s="27"/>
      <c r="H86" s="26" t="s">
        <v>187</v>
      </c>
      <c r="I86" s="27"/>
    </row>
    <row r="87" spans="2:9" ht="16" x14ac:dyDescent="0.35">
      <c r="B87" s="26" t="s">
        <v>137</v>
      </c>
      <c r="C87" s="27"/>
      <c r="E87" s="26" t="s">
        <v>137</v>
      </c>
      <c r="F87" s="27"/>
      <c r="H87" s="26" t="s">
        <v>188</v>
      </c>
      <c r="I87" s="27"/>
    </row>
    <row r="88" spans="2:9" ht="16" x14ac:dyDescent="0.35">
      <c r="B88" s="26" t="s">
        <v>138</v>
      </c>
      <c r="C88" s="27"/>
      <c r="E88" s="26" t="s">
        <v>138</v>
      </c>
      <c r="F88" s="27"/>
      <c r="H88" s="26" t="s">
        <v>189</v>
      </c>
      <c r="I88" s="27"/>
    </row>
    <row r="89" spans="2:9" ht="16" x14ac:dyDescent="0.35">
      <c r="B89" s="26" t="s">
        <v>139</v>
      </c>
      <c r="C89" s="27"/>
      <c r="E89" s="26" t="s">
        <v>139</v>
      </c>
      <c r="F89" s="27"/>
      <c r="H89" s="26" t="s">
        <v>190</v>
      </c>
      <c r="I89" s="27"/>
    </row>
    <row r="90" spans="2:9" ht="16" x14ac:dyDescent="0.35">
      <c r="B90" s="26" t="s">
        <v>140</v>
      </c>
      <c r="C90" s="27"/>
      <c r="E90" s="26" t="s">
        <v>140</v>
      </c>
      <c r="F90" s="27"/>
      <c r="H90" s="26" t="s">
        <v>191</v>
      </c>
      <c r="I90" s="27"/>
    </row>
    <row r="91" spans="2:9" ht="16.5" thickBot="1" x14ac:dyDescent="0.4">
      <c r="B91" s="28" t="s">
        <v>179</v>
      </c>
      <c r="C91" s="27"/>
      <c r="E91" s="28" t="s">
        <v>179</v>
      </c>
      <c r="F91" s="27"/>
      <c r="H91" s="26" t="s">
        <v>192</v>
      </c>
      <c r="I91" s="27"/>
    </row>
    <row r="92" spans="2:9" ht="16.5" thickBot="1" x14ac:dyDescent="0.4">
      <c r="H92" s="28" t="s">
        <v>193</v>
      </c>
      <c r="I92" s="27"/>
    </row>
    <row r="99" spans="2:20" ht="15" thickBot="1" x14ac:dyDescent="0.4"/>
    <row r="100" spans="2:20" ht="18.5" x14ac:dyDescent="0.45">
      <c r="B100" s="313" t="s">
        <v>194</v>
      </c>
      <c r="C100" s="314"/>
      <c r="D100" s="315"/>
      <c r="F100" s="313" t="s">
        <v>195</v>
      </c>
      <c r="G100" s="314"/>
      <c r="H100" s="315"/>
      <c r="J100" s="313" t="s">
        <v>231</v>
      </c>
      <c r="K100" s="314"/>
      <c r="L100" s="315"/>
      <c r="N100" s="308" t="s">
        <v>232</v>
      </c>
      <c r="O100" s="309"/>
      <c r="P100" s="310"/>
      <c r="R100" s="308" t="s">
        <v>233</v>
      </c>
      <c r="S100" s="309"/>
      <c r="T100" s="310"/>
    </row>
    <row r="101" spans="2:20" ht="18.5" x14ac:dyDescent="0.35">
      <c r="B101" s="29" t="s">
        <v>196</v>
      </c>
      <c r="C101" s="37" t="s">
        <v>197</v>
      </c>
      <c r="D101" s="30" t="s">
        <v>198</v>
      </c>
      <c r="F101" s="29" t="s">
        <v>196</v>
      </c>
      <c r="G101" s="37" t="s">
        <v>197</v>
      </c>
      <c r="H101" s="30" t="s">
        <v>198</v>
      </c>
      <c r="J101" s="30" t="s">
        <v>198</v>
      </c>
      <c r="K101" s="29" t="s">
        <v>196</v>
      </c>
      <c r="L101" s="37" t="s">
        <v>197</v>
      </c>
      <c r="N101" s="29" t="s">
        <v>196</v>
      </c>
      <c r="O101" s="37" t="s">
        <v>197</v>
      </c>
      <c r="P101" s="30" t="s">
        <v>198</v>
      </c>
      <c r="R101" s="29" t="s">
        <v>196</v>
      </c>
      <c r="S101" s="37" t="s">
        <v>197</v>
      </c>
      <c r="T101" s="30" t="s">
        <v>198</v>
      </c>
    </row>
    <row r="102" spans="2:20" ht="16" x14ac:dyDescent="0.35">
      <c r="B102" s="26" t="s">
        <v>199</v>
      </c>
      <c r="C102" s="5" t="s">
        <v>200</v>
      </c>
      <c r="D102" s="38"/>
      <c r="F102" s="26" t="s">
        <v>201</v>
      </c>
      <c r="G102" s="5" t="s">
        <v>200</v>
      </c>
      <c r="H102" s="38"/>
      <c r="J102" s="38" t="s">
        <v>7</v>
      </c>
      <c r="K102" s="26"/>
      <c r="L102" s="5"/>
      <c r="N102" s="26" t="s">
        <v>199</v>
      </c>
      <c r="O102" s="5" t="s">
        <v>200</v>
      </c>
      <c r="P102" s="38"/>
      <c r="R102" s="26" t="s">
        <v>199</v>
      </c>
      <c r="S102" s="5" t="s">
        <v>200</v>
      </c>
      <c r="T102" s="38"/>
    </row>
    <row r="103" spans="2:20" ht="16" x14ac:dyDescent="0.35">
      <c r="B103" s="26" t="s">
        <v>202</v>
      </c>
      <c r="C103" s="5" t="s">
        <v>203</v>
      </c>
      <c r="D103" s="38"/>
      <c r="F103" s="26" t="s">
        <v>202</v>
      </c>
      <c r="G103" s="5" t="s">
        <v>203</v>
      </c>
      <c r="H103" s="38"/>
      <c r="J103" s="38" t="s">
        <v>204</v>
      </c>
      <c r="K103" s="26"/>
      <c r="L103" s="5"/>
      <c r="N103" s="26" t="s">
        <v>202</v>
      </c>
      <c r="O103" s="5" t="s">
        <v>203</v>
      </c>
      <c r="P103" s="38"/>
      <c r="R103" s="26" t="s">
        <v>202</v>
      </c>
      <c r="S103" s="5" t="s">
        <v>203</v>
      </c>
      <c r="T103" s="38"/>
    </row>
    <row r="104" spans="2:20" ht="16" x14ac:dyDescent="0.35">
      <c r="B104" s="26" t="s">
        <v>205</v>
      </c>
      <c r="C104" s="5" t="s">
        <v>206</v>
      </c>
      <c r="D104" s="38"/>
      <c r="F104" s="26" t="s">
        <v>205</v>
      </c>
      <c r="G104" s="5" t="s">
        <v>206</v>
      </c>
      <c r="H104" s="38"/>
      <c r="J104" s="38" t="s">
        <v>207</v>
      </c>
      <c r="K104" s="26"/>
      <c r="L104" s="5"/>
      <c r="N104" s="26" t="s">
        <v>205</v>
      </c>
      <c r="O104" s="5" t="s">
        <v>206</v>
      </c>
      <c r="P104" s="38"/>
      <c r="R104" s="26" t="s">
        <v>205</v>
      </c>
      <c r="S104" s="5" t="s">
        <v>206</v>
      </c>
      <c r="T104" s="38"/>
    </row>
    <row r="105" spans="2:20" ht="16" x14ac:dyDescent="0.35">
      <c r="B105" s="26" t="s">
        <v>208</v>
      </c>
      <c r="C105" s="5" t="s">
        <v>209</v>
      </c>
      <c r="D105" s="38"/>
      <c r="F105" s="26" t="s">
        <v>208</v>
      </c>
      <c r="G105" s="5" t="s">
        <v>209</v>
      </c>
      <c r="H105" s="38"/>
      <c r="J105" s="38" t="s">
        <v>210</v>
      </c>
      <c r="K105" s="26"/>
      <c r="L105" s="5"/>
      <c r="N105" s="26" t="s">
        <v>208</v>
      </c>
      <c r="O105" s="5" t="s">
        <v>209</v>
      </c>
      <c r="P105" s="38"/>
      <c r="R105" s="26" t="s">
        <v>208</v>
      </c>
      <c r="S105" s="5" t="s">
        <v>209</v>
      </c>
      <c r="T105" s="38"/>
    </row>
    <row r="106" spans="2:20" ht="16" x14ac:dyDescent="0.35">
      <c r="B106" s="26" t="s">
        <v>211</v>
      </c>
      <c r="C106" s="5" t="s">
        <v>212</v>
      </c>
      <c r="D106" s="38"/>
      <c r="F106" s="26" t="s">
        <v>211</v>
      </c>
      <c r="G106" s="5" t="s">
        <v>212</v>
      </c>
      <c r="H106" s="38"/>
      <c r="J106" s="38" t="s">
        <v>213</v>
      </c>
      <c r="K106" s="26"/>
      <c r="L106" s="5"/>
      <c r="N106" s="26" t="s">
        <v>211</v>
      </c>
      <c r="O106" s="5" t="s">
        <v>212</v>
      </c>
      <c r="P106" s="38"/>
      <c r="R106" s="26" t="s">
        <v>211</v>
      </c>
      <c r="S106" s="5" t="s">
        <v>212</v>
      </c>
      <c r="T106" s="38"/>
    </row>
    <row r="107" spans="2:20" ht="16" x14ac:dyDescent="0.35">
      <c r="B107" s="26" t="s">
        <v>214</v>
      </c>
      <c r="C107" s="5" t="s">
        <v>215</v>
      </c>
      <c r="D107" s="38"/>
      <c r="F107" s="26" t="s">
        <v>214</v>
      </c>
      <c r="G107" s="5" t="s">
        <v>215</v>
      </c>
      <c r="H107" s="38"/>
      <c r="J107" s="38" t="s">
        <v>216</v>
      </c>
      <c r="K107" s="26"/>
      <c r="L107" s="5"/>
      <c r="N107" s="26" t="s">
        <v>214</v>
      </c>
      <c r="O107" s="5" t="s">
        <v>215</v>
      </c>
      <c r="P107" s="38"/>
      <c r="R107" s="26" t="s">
        <v>214</v>
      </c>
      <c r="S107" s="5" t="s">
        <v>215</v>
      </c>
      <c r="T107" s="38"/>
    </row>
    <row r="108" spans="2:20" ht="16" x14ac:dyDescent="0.35">
      <c r="B108" s="26" t="s">
        <v>217</v>
      </c>
      <c r="C108" s="5" t="s">
        <v>218</v>
      </c>
      <c r="D108" s="38"/>
      <c r="F108" s="26" t="s">
        <v>217</v>
      </c>
      <c r="G108" s="5" t="s">
        <v>218</v>
      </c>
      <c r="H108" s="38"/>
      <c r="J108" s="38" t="s">
        <v>219</v>
      </c>
      <c r="K108" s="26"/>
      <c r="L108" s="5"/>
      <c r="N108" s="26" t="s">
        <v>217</v>
      </c>
      <c r="O108" s="5" t="s">
        <v>218</v>
      </c>
      <c r="P108" s="38"/>
      <c r="R108" s="26" t="s">
        <v>217</v>
      </c>
      <c r="S108" s="5" t="s">
        <v>218</v>
      </c>
      <c r="T108" s="38"/>
    </row>
    <row r="109" spans="2:20" ht="16" x14ac:dyDescent="0.35">
      <c r="B109" s="26" t="s">
        <v>220</v>
      </c>
      <c r="C109" s="5" t="s">
        <v>221</v>
      </c>
      <c r="D109" s="38"/>
      <c r="F109" s="26" t="s">
        <v>220</v>
      </c>
      <c r="G109" s="5" t="s">
        <v>221</v>
      </c>
      <c r="H109" s="38"/>
      <c r="J109" s="38" t="s">
        <v>222</v>
      </c>
      <c r="K109" s="26"/>
      <c r="L109" s="5"/>
      <c r="N109" s="26" t="s">
        <v>220</v>
      </c>
      <c r="O109" s="5" t="s">
        <v>221</v>
      </c>
      <c r="P109" s="38"/>
      <c r="R109" s="26" t="s">
        <v>220</v>
      </c>
      <c r="S109" s="5" t="s">
        <v>221</v>
      </c>
      <c r="T109" s="38"/>
    </row>
    <row r="110" spans="2:20" ht="16" x14ac:dyDescent="0.35">
      <c r="B110" s="26" t="s">
        <v>223</v>
      </c>
      <c r="C110" s="5" t="s">
        <v>224</v>
      </c>
      <c r="D110" s="38"/>
      <c r="F110" s="26" t="s">
        <v>223</v>
      </c>
      <c r="G110" s="5" t="s">
        <v>224</v>
      </c>
      <c r="H110" s="38"/>
      <c r="J110" s="38" t="s">
        <v>225</v>
      </c>
      <c r="K110" s="26"/>
      <c r="L110" s="5"/>
      <c r="N110" s="26" t="s">
        <v>223</v>
      </c>
      <c r="O110" s="5" t="s">
        <v>224</v>
      </c>
      <c r="P110" s="38"/>
      <c r="R110" s="26" t="s">
        <v>223</v>
      </c>
      <c r="S110" s="5" t="s">
        <v>224</v>
      </c>
      <c r="T110" s="38"/>
    </row>
    <row r="111" spans="2:20" ht="16.5" thickBot="1" x14ac:dyDescent="0.4">
      <c r="B111" s="28" t="s">
        <v>226</v>
      </c>
      <c r="C111" s="8" t="s">
        <v>227</v>
      </c>
      <c r="D111" s="38"/>
      <c r="F111" s="28" t="s">
        <v>226</v>
      </c>
      <c r="G111" s="8" t="s">
        <v>227</v>
      </c>
      <c r="H111" s="39"/>
      <c r="J111" s="39" t="s">
        <v>228</v>
      </c>
      <c r="K111" s="28"/>
      <c r="L111" s="8"/>
      <c r="N111" s="28" t="s">
        <v>226</v>
      </c>
      <c r="O111" s="8" t="s">
        <v>227</v>
      </c>
      <c r="P111" s="38"/>
      <c r="R111" s="28" t="s">
        <v>226</v>
      </c>
      <c r="S111" s="8" t="s">
        <v>227</v>
      </c>
      <c r="T111" s="38"/>
    </row>
    <row r="124" spans="2:12" ht="15" thickBot="1" x14ac:dyDescent="0.4"/>
    <row r="125" spans="2:12" ht="19" thickBot="1" x14ac:dyDescent="0.5">
      <c r="B125" s="311" t="s">
        <v>229</v>
      </c>
      <c r="C125" s="312"/>
      <c r="E125" s="311" t="s">
        <v>234</v>
      </c>
      <c r="F125" s="312"/>
      <c r="H125" s="311" t="s">
        <v>235</v>
      </c>
      <c r="I125" s="312"/>
      <c r="K125" s="311" t="s">
        <v>236</v>
      </c>
      <c r="L125" s="312"/>
    </row>
    <row r="126" spans="2:12" ht="18.5" x14ac:dyDescent="0.35">
      <c r="B126" s="24" t="s">
        <v>143</v>
      </c>
      <c r="C126" s="25" t="s">
        <v>230</v>
      </c>
      <c r="E126" s="24" t="s">
        <v>143</v>
      </c>
      <c r="F126" s="25" t="s">
        <v>230</v>
      </c>
      <c r="H126" s="24" t="s">
        <v>143</v>
      </c>
      <c r="I126" s="25" t="s">
        <v>230</v>
      </c>
      <c r="K126" s="24" t="s">
        <v>143</v>
      </c>
      <c r="L126" s="25" t="s">
        <v>230</v>
      </c>
    </row>
    <row r="127" spans="2:12" ht="16" x14ac:dyDescent="0.35">
      <c r="B127" s="31" t="s">
        <v>145</v>
      </c>
      <c r="C127" s="27"/>
      <c r="E127" s="31" t="s">
        <v>145</v>
      </c>
      <c r="F127" s="27"/>
      <c r="H127" s="31" t="s">
        <v>145</v>
      </c>
      <c r="I127" s="27"/>
      <c r="K127" s="31" t="s">
        <v>145</v>
      </c>
      <c r="L127" s="27"/>
    </row>
    <row r="128" spans="2:12" ht="16" x14ac:dyDescent="0.35">
      <c r="B128" s="31" t="s">
        <v>146</v>
      </c>
      <c r="C128" s="27"/>
      <c r="E128" s="31" t="s">
        <v>146</v>
      </c>
      <c r="F128" s="27"/>
      <c r="H128" s="31" t="s">
        <v>146</v>
      </c>
      <c r="I128" s="27"/>
      <c r="K128" s="31" t="s">
        <v>146</v>
      </c>
      <c r="L128" s="27"/>
    </row>
    <row r="129" spans="2:12" ht="16" x14ac:dyDescent="0.35">
      <c r="B129" s="31" t="s">
        <v>147</v>
      </c>
      <c r="C129" s="27"/>
      <c r="E129" s="31" t="s">
        <v>147</v>
      </c>
      <c r="F129" s="27"/>
      <c r="H129" s="31" t="s">
        <v>147</v>
      </c>
      <c r="I129" s="27"/>
      <c r="K129" s="31" t="s">
        <v>147</v>
      </c>
      <c r="L129" s="27"/>
    </row>
    <row r="130" spans="2:12" ht="16" x14ac:dyDescent="0.35">
      <c r="B130" s="31" t="s">
        <v>148</v>
      </c>
      <c r="C130" s="27"/>
      <c r="E130" s="31" t="s">
        <v>148</v>
      </c>
      <c r="F130" s="27"/>
      <c r="H130" s="31" t="s">
        <v>148</v>
      </c>
      <c r="I130" s="27"/>
      <c r="K130" s="31" t="s">
        <v>148</v>
      </c>
      <c r="L130" s="27"/>
    </row>
    <row r="131" spans="2:12" ht="16" x14ac:dyDescent="0.35">
      <c r="B131" s="31" t="s">
        <v>149</v>
      </c>
      <c r="C131" s="27"/>
      <c r="E131" s="31" t="s">
        <v>149</v>
      </c>
      <c r="F131" s="27"/>
      <c r="H131" s="31" t="s">
        <v>149</v>
      </c>
      <c r="I131" s="27"/>
      <c r="K131" s="31" t="s">
        <v>149</v>
      </c>
      <c r="L131" s="27"/>
    </row>
    <row r="132" spans="2:12" ht="16" x14ac:dyDescent="0.35">
      <c r="B132" s="31" t="s">
        <v>150</v>
      </c>
      <c r="C132" s="27"/>
      <c r="E132" s="31" t="s">
        <v>150</v>
      </c>
      <c r="F132" s="27"/>
      <c r="H132" s="31" t="s">
        <v>150</v>
      </c>
      <c r="I132" s="27"/>
      <c r="K132" s="31" t="s">
        <v>150</v>
      </c>
      <c r="L132" s="27"/>
    </row>
    <row r="133" spans="2:12" ht="16" x14ac:dyDescent="0.35">
      <c r="B133" s="31" t="s">
        <v>151</v>
      </c>
      <c r="C133" s="27"/>
      <c r="E133" s="31" t="s">
        <v>151</v>
      </c>
      <c r="F133" s="27"/>
      <c r="H133" s="31" t="s">
        <v>151</v>
      </c>
      <c r="I133" s="27"/>
      <c r="K133" s="31" t="s">
        <v>151</v>
      </c>
      <c r="L133" s="27"/>
    </row>
    <row r="134" spans="2:12" ht="16" x14ac:dyDescent="0.35">
      <c r="B134" s="31" t="s">
        <v>152</v>
      </c>
      <c r="C134" s="27"/>
      <c r="E134" s="31" t="s">
        <v>152</v>
      </c>
      <c r="F134" s="27"/>
      <c r="H134" s="31" t="s">
        <v>152</v>
      </c>
      <c r="I134" s="27"/>
      <c r="K134" s="31" t="s">
        <v>152</v>
      </c>
      <c r="L134" s="27"/>
    </row>
    <row r="135" spans="2:12" ht="16" x14ac:dyDescent="0.35">
      <c r="B135" s="31" t="s">
        <v>153</v>
      </c>
      <c r="C135" s="27"/>
      <c r="E135" s="31" t="s">
        <v>153</v>
      </c>
      <c r="F135" s="27"/>
      <c r="H135" s="31" t="s">
        <v>153</v>
      </c>
      <c r="I135" s="27"/>
      <c r="K135" s="31" t="s">
        <v>153</v>
      </c>
      <c r="L135" s="27"/>
    </row>
    <row r="136" spans="2:12" ht="16.5" thickBot="1" x14ac:dyDescent="0.4">
      <c r="B136" s="32" t="s">
        <v>154</v>
      </c>
      <c r="C136" s="40"/>
      <c r="E136" s="32" t="s">
        <v>154</v>
      </c>
      <c r="F136" s="40"/>
      <c r="H136" s="32" t="s">
        <v>154</v>
      </c>
      <c r="I136" s="40"/>
      <c r="K136" s="32" t="s">
        <v>154</v>
      </c>
      <c r="L136" s="40"/>
    </row>
  </sheetData>
  <mergeCells count="18">
    <mergeCell ref="B60:C60"/>
    <mergeCell ref="B1:C1"/>
    <mergeCell ref="E1:F1"/>
    <mergeCell ref="H1:I1"/>
    <mergeCell ref="B18:C18"/>
    <mergeCell ref="B39:C39"/>
    <mergeCell ref="B80:C80"/>
    <mergeCell ref="E80:F80"/>
    <mergeCell ref="H81:I81"/>
    <mergeCell ref="B100:D100"/>
    <mergeCell ref="F100:H100"/>
    <mergeCell ref="N100:P100"/>
    <mergeCell ref="R100:T100"/>
    <mergeCell ref="B125:C125"/>
    <mergeCell ref="E125:F125"/>
    <mergeCell ref="H125:I125"/>
    <mergeCell ref="K125:L125"/>
    <mergeCell ref="J100:L10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DC48-A8FB-433B-8466-F2655FD588C4}">
  <sheetPr>
    <tabColor rgb="FFFFFF00"/>
  </sheetPr>
  <dimension ref="B1:Y157"/>
  <sheetViews>
    <sheetView topLeftCell="A143" zoomScale="220" zoomScaleNormal="220" workbookViewId="0">
      <selection activeCell="C150" sqref="C150"/>
    </sheetView>
  </sheetViews>
  <sheetFormatPr defaultRowHeight="14.5" x14ac:dyDescent="0.35"/>
  <cols>
    <col min="2" max="2" width="23.453125" bestFit="1" customWidth="1"/>
    <col min="3" max="3" width="24.36328125" customWidth="1"/>
    <col min="4" max="4" width="24.81640625" customWidth="1"/>
    <col min="5" max="5" width="18.6328125" bestFit="1" customWidth="1"/>
    <col min="6" max="6" width="23.81640625" customWidth="1"/>
    <col min="7" max="7" width="12.1796875" bestFit="1" customWidth="1"/>
    <col min="8" max="8" width="22" bestFit="1" customWidth="1"/>
    <col min="9" max="9" width="21.26953125" customWidth="1"/>
    <col min="10" max="10" width="15.36328125" bestFit="1" customWidth="1"/>
    <col min="11" max="11" width="20.453125" customWidth="1"/>
    <col min="12" max="12" width="13.6328125" customWidth="1"/>
    <col min="13" max="13" width="12.08984375" bestFit="1" customWidth="1"/>
    <col min="14" max="14" width="12.453125" bestFit="1" customWidth="1"/>
    <col min="15" max="15" width="12.1796875" bestFit="1" customWidth="1"/>
    <col min="16" max="16" width="16.7265625" customWidth="1"/>
    <col min="18" max="18" width="12.453125" bestFit="1" customWidth="1"/>
    <col min="19" max="19" width="12.1796875" bestFit="1" customWidth="1"/>
    <col min="20" max="20" width="15.54296875" customWidth="1"/>
    <col min="21" max="21" width="17.36328125" customWidth="1"/>
    <col min="23" max="23" width="15.54296875" bestFit="1" customWidth="1"/>
    <col min="24" max="24" width="12.36328125" bestFit="1" customWidth="1"/>
    <col min="25" max="25" width="12.1796875" bestFit="1" customWidth="1"/>
  </cols>
  <sheetData>
    <row r="1" spans="2:9" ht="19" thickBot="1" x14ac:dyDescent="0.5">
      <c r="B1" s="316" t="s">
        <v>130</v>
      </c>
      <c r="C1" s="316"/>
      <c r="E1" s="313" t="s">
        <v>142</v>
      </c>
      <c r="F1" s="315"/>
      <c r="H1" s="313" t="s">
        <v>155</v>
      </c>
      <c r="I1" s="315"/>
    </row>
    <row r="2" spans="2:9" ht="18.5" x14ac:dyDescent="0.35">
      <c r="B2" s="24" t="s">
        <v>1</v>
      </c>
      <c r="C2" s="25" t="s">
        <v>131</v>
      </c>
      <c r="E2" s="29" t="s">
        <v>143</v>
      </c>
      <c r="F2" s="30" t="s">
        <v>144</v>
      </c>
      <c r="H2" s="29" t="s">
        <v>143</v>
      </c>
      <c r="I2" s="30" t="s">
        <v>144</v>
      </c>
    </row>
    <row r="3" spans="2:9" ht="16" x14ac:dyDescent="0.35">
      <c r="B3" s="26" t="s">
        <v>132</v>
      </c>
      <c r="C3" s="27" t="str">
        <f>LEFT(B3,3)</f>
        <v>Mr.</v>
      </c>
      <c r="E3" s="31" t="s">
        <v>145</v>
      </c>
      <c r="F3" s="27" t="str">
        <f>RIGHT(E3,3)</f>
        <v>MNO</v>
      </c>
      <c r="H3" s="31" t="s">
        <v>145</v>
      </c>
      <c r="I3" s="27" t="str">
        <f>MID(H3,5,4)</f>
        <v>5678</v>
      </c>
    </row>
    <row r="4" spans="2:9" ht="16" x14ac:dyDescent="0.35">
      <c r="B4" s="26" t="s">
        <v>133</v>
      </c>
      <c r="C4" s="27" t="str">
        <f t="shared" ref="C4:C12" si="0">LEFT(B4,3)</f>
        <v>Mr.</v>
      </c>
      <c r="E4" s="31" t="s">
        <v>146</v>
      </c>
      <c r="F4" s="27" t="str">
        <f t="shared" ref="F4:F12" si="1">RIGHT(E4,3)</f>
        <v>KLM</v>
      </c>
      <c r="H4" s="31" t="s">
        <v>146</v>
      </c>
      <c r="I4" s="27" t="str">
        <f t="shared" ref="I4:I12" si="2">MID(H4,5,4)</f>
        <v>8492</v>
      </c>
    </row>
    <row r="5" spans="2:9" ht="16" x14ac:dyDescent="0.35">
      <c r="B5" s="26" t="s">
        <v>134</v>
      </c>
      <c r="C5" s="27" t="str">
        <f t="shared" si="0"/>
        <v>Mr.</v>
      </c>
      <c r="E5" s="31" t="s">
        <v>147</v>
      </c>
      <c r="F5" s="27" t="str">
        <f t="shared" si="1"/>
        <v>XYZ</v>
      </c>
      <c r="H5" s="31" t="s">
        <v>147</v>
      </c>
      <c r="I5" s="27" t="str">
        <f t="shared" si="2"/>
        <v>2345</v>
      </c>
    </row>
    <row r="6" spans="2:9" ht="16" x14ac:dyDescent="0.35">
      <c r="B6" s="26" t="s">
        <v>135</v>
      </c>
      <c r="C6" s="27" t="str">
        <f t="shared" si="0"/>
        <v>Mr.</v>
      </c>
      <c r="E6" s="31" t="s">
        <v>148</v>
      </c>
      <c r="F6" s="27" t="str">
        <f t="shared" si="1"/>
        <v>PQR</v>
      </c>
      <c r="H6" s="31" t="s">
        <v>148</v>
      </c>
      <c r="I6" s="27" t="str">
        <f t="shared" si="2"/>
        <v>6789</v>
      </c>
    </row>
    <row r="7" spans="2:9" ht="16" x14ac:dyDescent="0.35">
      <c r="B7" s="26" t="s">
        <v>136</v>
      </c>
      <c r="C7" s="27" t="str">
        <f t="shared" si="0"/>
        <v>Mr.</v>
      </c>
      <c r="E7" s="31" t="s">
        <v>149</v>
      </c>
      <c r="F7" s="27" t="str">
        <f t="shared" si="1"/>
        <v>ABC</v>
      </c>
      <c r="H7" s="31" t="s">
        <v>149</v>
      </c>
      <c r="I7" s="27" t="str">
        <f t="shared" si="2"/>
        <v>4532</v>
      </c>
    </row>
    <row r="8" spans="2:9" ht="16" x14ac:dyDescent="0.35">
      <c r="B8" s="26" t="s">
        <v>137</v>
      </c>
      <c r="C8" s="27" t="str">
        <f t="shared" si="0"/>
        <v>Mr.</v>
      </c>
      <c r="E8" s="31" t="s">
        <v>150</v>
      </c>
      <c r="F8" s="27" t="str">
        <f t="shared" si="1"/>
        <v>DEF</v>
      </c>
      <c r="H8" s="31" t="s">
        <v>150</v>
      </c>
      <c r="I8" s="27" t="str">
        <f t="shared" si="2"/>
        <v>9102</v>
      </c>
    </row>
    <row r="9" spans="2:9" ht="16" x14ac:dyDescent="0.35">
      <c r="B9" s="26" t="s">
        <v>138</v>
      </c>
      <c r="C9" s="27" t="str">
        <f t="shared" si="0"/>
        <v>Mr.</v>
      </c>
      <c r="E9" s="31" t="s">
        <v>151</v>
      </c>
      <c r="F9" s="27" t="str">
        <f t="shared" si="1"/>
        <v>GHI</v>
      </c>
      <c r="H9" s="31" t="s">
        <v>151</v>
      </c>
      <c r="I9" s="27" t="str">
        <f t="shared" si="2"/>
        <v>3217</v>
      </c>
    </row>
    <row r="10" spans="2:9" ht="16" x14ac:dyDescent="0.35">
      <c r="B10" s="26" t="s">
        <v>139</v>
      </c>
      <c r="C10" s="27" t="str">
        <f t="shared" si="0"/>
        <v>Mr.</v>
      </c>
      <c r="E10" s="31" t="s">
        <v>152</v>
      </c>
      <c r="F10" s="27" t="str">
        <f t="shared" si="1"/>
        <v>JKL</v>
      </c>
      <c r="H10" s="31" t="s">
        <v>152</v>
      </c>
      <c r="I10" s="27" t="str">
        <f t="shared" si="2"/>
        <v>7654</v>
      </c>
    </row>
    <row r="11" spans="2:9" ht="16" x14ac:dyDescent="0.35">
      <c r="B11" s="26" t="s">
        <v>140</v>
      </c>
      <c r="C11" s="27" t="str">
        <f t="shared" si="0"/>
        <v>Mr.</v>
      </c>
      <c r="E11" s="31" t="s">
        <v>153</v>
      </c>
      <c r="F11" s="27" t="str">
        <f t="shared" si="1"/>
        <v>STU</v>
      </c>
      <c r="H11" s="31" t="s">
        <v>153</v>
      </c>
      <c r="I11" s="27" t="str">
        <f t="shared" si="2"/>
        <v>1876</v>
      </c>
    </row>
    <row r="12" spans="2:9" ht="16.5" thickBot="1" x14ac:dyDescent="0.4">
      <c r="B12" s="28" t="s">
        <v>141</v>
      </c>
      <c r="C12" s="27" t="str">
        <f t="shared" si="0"/>
        <v>Ms.</v>
      </c>
      <c r="E12" s="32" t="s">
        <v>154</v>
      </c>
      <c r="F12" s="27" t="str">
        <f t="shared" si="1"/>
        <v>VWX</v>
      </c>
      <c r="H12" s="32" t="s">
        <v>154</v>
      </c>
      <c r="I12" s="27" t="str">
        <f t="shared" si="2"/>
        <v>5923</v>
      </c>
    </row>
    <row r="17" spans="2:4" ht="15" thickBot="1" x14ac:dyDescent="0.4"/>
    <row r="18" spans="2:4" ht="19" thickBot="1" x14ac:dyDescent="0.5">
      <c r="B18" s="311" t="s">
        <v>237</v>
      </c>
      <c r="C18" s="312"/>
      <c r="D18" t="s">
        <v>238</v>
      </c>
    </row>
    <row r="19" spans="2:4" ht="18.5" x14ac:dyDescent="0.35">
      <c r="B19" s="24" t="s">
        <v>143</v>
      </c>
      <c r="C19" s="25"/>
      <c r="D19" t="s">
        <v>249</v>
      </c>
    </row>
    <row r="20" spans="2:4" ht="16" x14ac:dyDescent="0.35">
      <c r="B20" s="31" t="s">
        <v>145</v>
      </c>
      <c r="C20" s="27">
        <f>LEN(B20)</f>
        <v>12</v>
      </c>
    </row>
    <row r="21" spans="2:4" ht="16" x14ac:dyDescent="0.35">
      <c r="B21" s="31" t="s">
        <v>146</v>
      </c>
      <c r="C21" s="27">
        <f t="shared" ref="C21:C29" si="3">LEN(B21)</f>
        <v>12</v>
      </c>
    </row>
    <row r="22" spans="2:4" ht="16" x14ac:dyDescent="0.35">
      <c r="B22" s="31" t="s">
        <v>157</v>
      </c>
      <c r="C22" s="27">
        <f t="shared" si="3"/>
        <v>11</v>
      </c>
    </row>
    <row r="23" spans="2:4" ht="16" x14ac:dyDescent="0.35">
      <c r="B23" s="31" t="s">
        <v>158</v>
      </c>
      <c r="C23" s="27">
        <f t="shared" si="3"/>
        <v>14</v>
      </c>
    </row>
    <row r="24" spans="2:4" ht="16" x14ac:dyDescent="0.35">
      <c r="B24" s="31" t="s">
        <v>149</v>
      </c>
      <c r="C24" s="27">
        <f t="shared" si="3"/>
        <v>12</v>
      </c>
    </row>
    <row r="25" spans="2:4" ht="16" x14ac:dyDescent="0.35">
      <c r="B25" s="31" t="s">
        <v>150</v>
      </c>
      <c r="C25" s="27">
        <f t="shared" si="3"/>
        <v>12</v>
      </c>
    </row>
    <row r="26" spans="2:4" ht="16" x14ac:dyDescent="0.35">
      <c r="B26" s="31" t="s">
        <v>151</v>
      </c>
      <c r="C26" s="27">
        <f t="shared" si="3"/>
        <v>12</v>
      </c>
    </row>
    <row r="27" spans="2:4" ht="16" x14ac:dyDescent="0.35">
      <c r="B27" s="31" t="s">
        <v>152</v>
      </c>
      <c r="C27" s="27">
        <f t="shared" si="3"/>
        <v>12</v>
      </c>
    </row>
    <row r="28" spans="2:4" ht="16" x14ac:dyDescent="0.35">
      <c r="B28" s="31" t="s">
        <v>153</v>
      </c>
      <c r="C28" s="27">
        <f t="shared" si="3"/>
        <v>12</v>
      </c>
    </row>
    <row r="29" spans="2:4" ht="16.5" thickBot="1" x14ac:dyDescent="0.4">
      <c r="B29" s="32" t="s">
        <v>154</v>
      </c>
      <c r="C29" s="27">
        <f t="shared" si="3"/>
        <v>12</v>
      </c>
    </row>
    <row r="38" spans="2:4" ht="15" thickBot="1" x14ac:dyDescent="0.4"/>
    <row r="39" spans="2:4" ht="19" thickBot="1" x14ac:dyDescent="0.5">
      <c r="B39" s="311" t="s">
        <v>159</v>
      </c>
      <c r="C39" s="312"/>
      <c r="D39" t="s">
        <v>239</v>
      </c>
    </row>
    <row r="40" spans="2:4" ht="18.5" x14ac:dyDescent="0.35">
      <c r="B40" s="24" t="s">
        <v>143</v>
      </c>
      <c r="C40" s="25"/>
    </row>
    <row r="41" spans="2:4" ht="16" x14ac:dyDescent="0.35">
      <c r="B41" s="26" t="s">
        <v>160</v>
      </c>
      <c r="C41" s="27" t="str">
        <f>TRIM(B41)</f>
        <v>Mr. Aarav Sharma</v>
      </c>
    </row>
    <row r="42" spans="2:4" ht="16" x14ac:dyDescent="0.35">
      <c r="B42" s="26" t="s">
        <v>161</v>
      </c>
      <c r="C42" s="27" t="str">
        <f t="shared" ref="C42:C50" si="4">TRIM(B42)</f>
        <v>Mr. Rohan Iyer</v>
      </c>
    </row>
    <row r="43" spans="2:4" ht="16" x14ac:dyDescent="0.35">
      <c r="B43" s="26" t="s">
        <v>162</v>
      </c>
      <c r="C43" s="27" t="str">
        <f t="shared" si="4"/>
        <v>Mr. Aditya Mehta</v>
      </c>
    </row>
    <row r="44" spans="2:4" ht="16" x14ac:dyDescent="0.35">
      <c r="B44" s="26" t="s">
        <v>135</v>
      </c>
      <c r="C44" s="27" t="str">
        <f t="shared" si="4"/>
        <v>Mr. Vikram Malhotra</v>
      </c>
    </row>
    <row r="45" spans="2:4" ht="16" x14ac:dyDescent="0.35">
      <c r="B45" s="26" t="s">
        <v>163</v>
      </c>
      <c r="C45" s="27" t="str">
        <f t="shared" si="4"/>
        <v>Mr. Rajat Bansal</v>
      </c>
    </row>
    <row r="46" spans="2:4" ht="16" x14ac:dyDescent="0.35">
      <c r="B46" s="26" t="s">
        <v>164</v>
      </c>
      <c r="C46" s="27" t="str">
        <f t="shared" si="4"/>
        <v>Mr. Suresh Reddy</v>
      </c>
    </row>
    <row r="47" spans="2:4" ht="16" x14ac:dyDescent="0.35">
      <c r="B47" s="26" t="s">
        <v>165</v>
      </c>
      <c r="C47" s="27" t="str">
        <f t="shared" si="4"/>
        <v>Mr. Arjun Thakur</v>
      </c>
    </row>
    <row r="48" spans="2:4" ht="16" x14ac:dyDescent="0.35">
      <c r="B48" s="26" t="s">
        <v>166</v>
      </c>
      <c r="C48" s="27" t="str">
        <f t="shared" si="4"/>
        <v>Mr. Kunal Saxena</v>
      </c>
    </row>
    <row r="49" spans="2:4" ht="16" x14ac:dyDescent="0.35">
      <c r="B49" s="26" t="s">
        <v>140</v>
      </c>
      <c r="C49" s="27" t="str">
        <f t="shared" si="4"/>
        <v>Mr. Siddharth Rao</v>
      </c>
    </row>
    <row r="50" spans="2:4" ht="16.5" thickBot="1" x14ac:dyDescent="0.4">
      <c r="B50" s="28" t="s">
        <v>167</v>
      </c>
      <c r="C50" s="27" t="str">
        <f t="shared" si="4"/>
        <v>Mr. Manish Tripathi</v>
      </c>
    </row>
    <row r="59" spans="2:4" ht="15" thickBot="1" x14ac:dyDescent="0.4"/>
    <row r="60" spans="2:4" ht="19" thickBot="1" x14ac:dyDescent="0.5">
      <c r="B60" s="311" t="s">
        <v>168</v>
      </c>
      <c r="C60" s="312"/>
    </row>
    <row r="61" spans="2:4" ht="18.5" x14ac:dyDescent="0.35">
      <c r="B61" s="24" t="s">
        <v>169</v>
      </c>
      <c r="C61" s="25" t="s">
        <v>170</v>
      </c>
    </row>
    <row r="62" spans="2:4" ht="16" x14ac:dyDescent="0.35">
      <c r="B62" s="33" t="s">
        <v>171</v>
      </c>
      <c r="C62" s="27" t="str">
        <f>TEXT(B62,"dddd")</f>
        <v>Friday</v>
      </c>
      <c r="D62" t="str">
        <f>TEXT(B62,"mmmm")</f>
        <v>June</v>
      </c>
    </row>
    <row r="63" spans="2:4" ht="16" x14ac:dyDescent="0.35">
      <c r="B63" s="33" t="s">
        <v>172</v>
      </c>
      <c r="C63" s="27" t="str">
        <f t="shared" ref="C63:C71" si="5">TEXT(B63,"dddd")</f>
        <v>Wednesday</v>
      </c>
      <c r="D63" t="str">
        <f t="shared" ref="D63:D71" si="6">TEXT(B63,"mmmm")</f>
        <v>September</v>
      </c>
    </row>
    <row r="64" spans="2:4" ht="16" x14ac:dyDescent="0.35">
      <c r="B64" s="33">
        <v>37084</v>
      </c>
      <c r="C64" s="27" t="str">
        <f t="shared" si="5"/>
        <v>Thursday</v>
      </c>
      <c r="D64" t="str">
        <f t="shared" si="6"/>
        <v>July</v>
      </c>
    </row>
    <row r="65" spans="2:9" ht="16" x14ac:dyDescent="0.35">
      <c r="B65" s="33" t="s">
        <v>173</v>
      </c>
      <c r="C65" s="27" t="str">
        <f t="shared" si="5"/>
        <v>Tuesday</v>
      </c>
      <c r="D65" t="str">
        <f t="shared" si="6"/>
        <v>April</v>
      </c>
    </row>
    <row r="66" spans="2:9" ht="16" x14ac:dyDescent="0.35">
      <c r="B66" s="33" t="s">
        <v>174</v>
      </c>
      <c r="C66" s="27" t="str">
        <f t="shared" si="5"/>
        <v>Wednesday</v>
      </c>
      <c r="D66" t="str">
        <f t="shared" si="6"/>
        <v>July</v>
      </c>
    </row>
    <row r="67" spans="2:9" ht="16" x14ac:dyDescent="0.35">
      <c r="B67" s="33">
        <v>36841</v>
      </c>
      <c r="C67" s="27" t="str">
        <f t="shared" si="5"/>
        <v>Saturday</v>
      </c>
      <c r="D67" t="str">
        <f t="shared" si="6"/>
        <v>November</v>
      </c>
    </row>
    <row r="68" spans="2:9" ht="16" x14ac:dyDescent="0.35">
      <c r="B68" s="33" t="s">
        <v>175</v>
      </c>
      <c r="C68" s="27" t="str">
        <f t="shared" si="5"/>
        <v>Tuesday</v>
      </c>
      <c r="D68" t="str">
        <f t="shared" si="6"/>
        <v>May</v>
      </c>
    </row>
    <row r="69" spans="2:9" ht="16" x14ac:dyDescent="0.35">
      <c r="B69" s="33">
        <v>35491</v>
      </c>
      <c r="C69" s="27" t="str">
        <f t="shared" si="5"/>
        <v>Sunday</v>
      </c>
      <c r="D69" t="str">
        <f t="shared" si="6"/>
        <v>March</v>
      </c>
    </row>
    <row r="70" spans="2:9" ht="16" x14ac:dyDescent="0.35">
      <c r="B70" s="33" t="s">
        <v>176</v>
      </c>
      <c r="C70" s="27" t="str">
        <f t="shared" si="5"/>
        <v>Thursday</v>
      </c>
      <c r="D70" t="str">
        <f t="shared" si="6"/>
        <v>August</v>
      </c>
      <c r="E70" s="34"/>
    </row>
    <row r="71" spans="2:9" ht="16.5" thickBot="1" x14ac:dyDescent="0.4">
      <c r="B71" s="35">
        <v>37478</v>
      </c>
      <c r="C71" s="27" t="str">
        <f t="shared" si="5"/>
        <v>Saturday</v>
      </c>
      <c r="D71" t="str">
        <f t="shared" si="6"/>
        <v>August</v>
      </c>
    </row>
    <row r="72" spans="2:9" x14ac:dyDescent="0.35">
      <c r="B72" s="36"/>
    </row>
    <row r="80" spans="2:9" ht="19" thickBot="1" x14ac:dyDescent="0.5">
      <c r="B80" s="316" t="s">
        <v>177</v>
      </c>
      <c r="C80" s="316"/>
      <c r="E80" s="316" t="s">
        <v>180</v>
      </c>
      <c r="F80" s="316"/>
      <c r="H80" s="317" t="s">
        <v>182</v>
      </c>
      <c r="I80" s="317"/>
    </row>
    <row r="81" spans="2:9" ht="18.5" x14ac:dyDescent="0.35">
      <c r="B81" s="24" t="s">
        <v>1</v>
      </c>
      <c r="C81" s="25" t="s">
        <v>178</v>
      </c>
      <c r="E81" s="24" t="s">
        <v>1</v>
      </c>
      <c r="F81" s="25" t="s">
        <v>181</v>
      </c>
      <c r="H81" s="24" t="s">
        <v>1</v>
      </c>
      <c r="I81" s="25" t="s">
        <v>183</v>
      </c>
    </row>
    <row r="82" spans="2:9" ht="16" x14ac:dyDescent="0.35">
      <c r="B82" s="26" t="s">
        <v>132</v>
      </c>
      <c r="C82" s="27" t="str">
        <f>LOWER(B82)</f>
        <v>mr. aarav sharma</v>
      </c>
      <c r="E82" s="26" t="s">
        <v>132</v>
      </c>
      <c r="F82" s="27" t="str">
        <f>UPPER(E82)</f>
        <v>MR. AARAV SHARMA</v>
      </c>
      <c r="H82" s="26" t="s">
        <v>184</v>
      </c>
      <c r="I82" s="27" t="str">
        <f>PROPER(H82)</f>
        <v>Mr. Aarav Sharma</v>
      </c>
    </row>
    <row r="83" spans="2:9" ht="16" x14ac:dyDescent="0.35">
      <c r="B83" s="26" t="s">
        <v>133</v>
      </c>
      <c r="C83" s="27" t="str">
        <f t="shared" ref="C83:C91" si="7">LOWER(B83)</f>
        <v>mr. rohan iyer</v>
      </c>
      <c r="E83" s="26" t="s">
        <v>133</v>
      </c>
      <c r="F83" s="27" t="str">
        <f t="shared" ref="F83:F91" si="8">UPPER(E83)</f>
        <v>MR. ROHAN IYER</v>
      </c>
      <c r="H83" s="26" t="s">
        <v>185</v>
      </c>
      <c r="I83" s="27" t="str">
        <f t="shared" ref="I83:I91" si="9">PROPER(H83)</f>
        <v>Mr. Rohan Iyer</v>
      </c>
    </row>
    <row r="84" spans="2:9" ht="16" x14ac:dyDescent="0.35">
      <c r="B84" s="26" t="s">
        <v>134</v>
      </c>
      <c r="C84" s="27" t="str">
        <f t="shared" si="7"/>
        <v>mr. aditya mehta</v>
      </c>
      <c r="E84" s="26" t="s">
        <v>134</v>
      </c>
      <c r="F84" s="27" t="str">
        <f t="shared" si="8"/>
        <v>MR. ADITYA MEHTA</v>
      </c>
      <c r="H84" s="26" t="s">
        <v>186</v>
      </c>
      <c r="I84" s="27" t="str">
        <f t="shared" si="9"/>
        <v>Mr. Aditya Mehta</v>
      </c>
    </row>
    <row r="85" spans="2:9" ht="16" x14ac:dyDescent="0.35">
      <c r="B85" s="26" t="s">
        <v>135</v>
      </c>
      <c r="C85" s="27" t="str">
        <f t="shared" si="7"/>
        <v>mr. vikram malhotra</v>
      </c>
      <c r="E85" s="26" t="s">
        <v>135</v>
      </c>
      <c r="F85" s="27" t="str">
        <f t="shared" si="8"/>
        <v>MR. VIKRAM MALHOTRA</v>
      </c>
      <c r="H85" s="26" t="s">
        <v>187</v>
      </c>
      <c r="I85" s="27" t="str">
        <f t="shared" si="9"/>
        <v>Mr. Vikram Malhotra</v>
      </c>
    </row>
    <row r="86" spans="2:9" ht="16" x14ac:dyDescent="0.35">
      <c r="B86" s="26" t="s">
        <v>136</v>
      </c>
      <c r="C86" s="27" t="str">
        <f t="shared" si="7"/>
        <v>mr. rajat bansal</v>
      </c>
      <c r="E86" s="26" t="s">
        <v>136</v>
      </c>
      <c r="F86" s="27" t="str">
        <f t="shared" si="8"/>
        <v>MR. RAJAT BANSAL</v>
      </c>
      <c r="H86" s="26" t="s">
        <v>188</v>
      </c>
      <c r="I86" s="27" t="str">
        <f t="shared" si="9"/>
        <v>Mr. Rajat Bansal</v>
      </c>
    </row>
    <row r="87" spans="2:9" ht="16" x14ac:dyDescent="0.35">
      <c r="B87" s="26" t="s">
        <v>137</v>
      </c>
      <c r="C87" s="27" t="str">
        <f t="shared" si="7"/>
        <v>mr. suresh reddy</v>
      </c>
      <c r="E87" s="26" t="s">
        <v>137</v>
      </c>
      <c r="F87" s="27" t="str">
        <f t="shared" si="8"/>
        <v>MR. SURESH REDDY</v>
      </c>
      <c r="H87" s="26" t="s">
        <v>189</v>
      </c>
      <c r="I87" s="27" t="str">
        <f t="shared" si="9"/>
        <v>Mr. Suresh Reddy</v>
      </c>
    </row>
    <row r="88" spans="2:9" ht="16" x14ac:dyDescent="0.35">
      <c r="B88" s="26" t="s">
        <v>138</v>
      </c>
      <c r="C88" s="27" t="str">
        <f t="shared" si="7"/>
        <v>mr. arjun thakur</v>
      </c>
      <c r="E88" s="26" t="s">
        <v>138</v>
      </c>
      <c r="F88" s="27" t="str">
        <f t="shared" si="8"/>
        <v>MR. ARJUN THAKUR</v>
      </c>
      <c r="H88" s="26" t="s">
        <v>190</v>
      </c>
      <c r="I88" s="27" t="str">
        <f t="shared" si="9"/>
        <v>Mr. Arjun Thakur</v>
      </c>
    </row>
    <row r="89" spans="2:9" ht="16" x14ac:dyDescent="0.35">
      <c r="B89" s="26" t="s">
        <v>139</v>
      </c>
      <c r="C89" s="27" t="str">
        <f t="shared" si="7"/>
        <v>mr. kunal saxena</v>
      </c>
      <c r="E89" s="26" t="s">
        <v>139</v>
      </c>
      <c r="F89" s="27" t="str">
        <f t="shared" si="8"/>
        <v>MR. KUNAL SAXENA</v>
      </c>
      <c r="H89" s="26" t="s">
        <v>191</v>
      </c>
      <c r="I89" s="27" t="str">
        <f t="shared" si="9"/>
        <v>Mr. Kunal Saxena</v>
      </c>
    </row>
    <row r="90" spans="2:9" ht="16" x14ac:dyDescent="0.35">
      <c r="B90" s="26" t="s">
        <v>140</v>
      </c>
      <c r="C90" s="27" t="str">
        <f t="shared" si="7"/>
        <v>mr. siddharth rao</v>
      </c>
      <c r="E90" s="26" t="s">
        <v>140</v>
      </c>
      <c r="F90" s="27" t="str">
        <f t="shared" si="8"/>
        <v>MR. SIDDHARTH RAO</v>
      </c>
      <c r="H90" s="26" t="s">
        <v>192</v>
      </c>
      <c r="I90" s="27" t="str">
        <f t="shared" si="9"/>
        <v>Mr. Siddharth Rao</v>
      </c>
    </row>
    <row r="91" spans="2:9" ht="16.5" thickBot="1" x14ac:dyDescent="0.4">
      <c r="B91" s="28" t="s">
        <v>179</v>
      </c>
      <c r="C91" s="27" t="str">
        <f t="shared" si="7"/>
        <v>mr. manish tripathi</v>
      </c>
      <c r="E91" s="28" t="s">
        <v>179</v>
      </c>
      <c r="F91" s="27" t="str">
        <f t="shared" si="8"/>
        <v>MR. MANISH TRIPATHI</v>
      </c>
      <c r="H91" s="28" t="s">
        <v>193</v>
      </c>
      <c r="I91" s="27" t="str">
        <f t="shared" si="9"/>
        <v>Mr. Manish Tripathi</v>
      </c>
    </row>
    <row r="99" spans="2:25" ht="15" thickBot="1" x14ac:dyDescent="0.4"/>
    <row r="100" spans="2:25" ht="18.5" x14ac:dyDescent="0.45">
      <c r="B100" s="313" t="s">
        <v>194</v>
      </c>
      <c r="C100" s="314"/>
      <c r="D100" s="315"/>
      <c r="F100" s="313" t="s">
        <v>195</v>
      </c>
      <c r="G100" s="314"/>
      <c r="H100" s="315"/>
      <c r="J100" s="313" t="s">
        <v>250</v>
      </c>
      <c r="K100" s="314"/>
      <c r="L100" s="315"/>
      <c r="N100" s="308" t="s">
        <v>232</v>
      </c>
      <c r="O100" s="309"/>
      <c r="P100" s="310"/>
      <c r="R100" s="308" t="s">
        <v>233</v>
      </c>
      <c r="S100" s="309"/>
      <c r="T100" s="310"/>
      <c r="W100" s="313" t="s">
        <v>250</v>
      </c>
      <c r="X100" s="314"/>
      <c r="Y100" s="315"/>
    </row>
    <row r="101" spans="2:25" ht="18.5" x14ac:dyDescent="0.35">
      <c r="B101" s="29" t="s">
        <v>196</v>
      </c>
      <c r="C101" s="37" t="s">
        <v>197</v>
      </c>
      <c r="D101" s="30" t="s">
        <v>198</v>
      </c>
      <c r="F101" s="29" t="s">
        <v>196</v>
      </c>
      <c r="G101" s="37" t="s">
        <v>197</v>
      </c>
      <c r="H101" s="30" t="s">
        <v>198</v>
      </c>
      <c r="J101" s="30" t="s">
        <v>198</v>
      </c>
      <c r="K101" s="29" t="s">
        <v>196</v>
      </c>
      <c r="L101" s="37" t="s">
        <v>197</v>
      </c>
      <c r="N101" s="29" t="s">
        <v>196</v>
      </c>
      <c r="O101" s="37" t="s">
        <v>197</v>
      </c>
      <c r="P101" s="30" t="s">
        <v>198</v>
      </c>
      <c r="R101" s="29" t="s">
        <v>196</v>
      </c>
      <c r="S101" s="37" t="s">
        <v>197</v>
      </c>
      <c r="T101" s="30" t="s">
        <v>198</v>
      </c>
      <c r="U101" s="47" t="s">
        <v>231</v>
      </c>
      <c r="W101" s="30" t="s">
        <v>198</v>
      </c>
      <c r="X101" s="29" t="s">
        <v>252</v>
      </c>
      <c r="Y101" s="37" t="s">
        <v>253</v>
      </c>
    </row>
    <row r="102" spans="2:25" ht="16" x14ac:dyDescent="0.35">
      <c r="B102" s="26" t="s">
        <v>199</v>
      </c>
      <c r="C102" s="5" t="s">
        <v>200</v>
      </c>
      <c r="D102" s="38" t="str">
        <f>_xlfn.TEXTJOIN(",",TRUE,B102,C102)</f>
        <v>Aarav,Sharma</v>
      </c>
      <c r="F102" s="26" t="s">
        <v>201</v>
      </c>
      <c r="G102" s="5" t="s">
        <v>200</v>
      </c>
      <c r="H102" s="38" t="s">
        <v>240</v>
      </c>
      <c r="J102" s="38" t="s">
        <v>7</v>
      </c>
      <c r="K102" s="26" t="str" cm="1">
        <f t="array" ref="K102:L102">_xlfn.TEXTSPLIT(J102," ")</f>
        <v>Aarav</v>
      </c>
      <c r="L102" s="5" t="str">
        <v>Sharma</v>
      </c>
      <c r="N102" s="26" t="s">
        <v>199</v>
      </c>
      <c r="O102" s="5" t="s">
        <v>200</v>
      </c>
      <c r="P102" s="38" t="str">
        <f>CONCATENATE(N102," ",O102)</f>
        <v>Aarav Sharma</v>
      </c>
      <c r="R102" s="26" t="s">
        <v>199</v>
      </c>
      <c r="S102" s="5" t="s">
        <v>200</v>
      </c>
      <c r="T102" s="38" t="str">
        <f>_xlfn.CONCAT(R102,"-",S102)</f>
        <v>Aarav-Sharma</v>
      </c>
      <c r="U102" s="1" t="str">
        <f>R102&amp;" "&amp;S102</f>
        <v>Aarav Sharma</v>
      </c>
      <c r="W102" s="38" t="s">
        <v>7</v>
      </c>
      <c r="X102" s="26" t="str">
        <f>_xlfn.TEXTBEFORE(W102," ")</f>
        <v>Aarav</v>
      </c>
      <c r="Y102" s="5" t="str">
        <f>_xlfn.TEXTAFTER(W102," ")</f>
        <v>Sharma</v>
      </c>
    </row>
    <row r="103" spans="2:25" ht="16" x14ac:dyDescent="0.35">
      <c r="B103" s="26" t="s">
        <v>202</v>
      </c>
      <c r="C103" s="5" t="s">
        <v>203</v>
      </c>
      <c r="D103" s="38" t="str">
        <f t="shared" ref="D103:D111" si="10">_xlfn.TEXTJOIN(",",TRUE,B103,C103)</f>
        <v>Rohan,Iyer</v>
      </c>
      <c r="F103" s="26" t="s">
        <v>202</v>
      </c>
      <c r="G103" s="5" t="s">
        <v>203</v>
      </c>
      <c r="H103" s="38" t="s">
        <v>242</v>
      </c>
      <c r="J103" s="38" t="s">
        <v>204</v>
      </c>
      <c r="K103" s="26" t="str" cm="1">
        <f t="array" ref="K103:L103">_xlfn.TEXTSPLIT(J103," ")</f>
        <v>Rohan</v>
      </c>
      <c r="L103" s="5" t="str">
        <v>Iyer</v>
      </c>
      <c r="N103" s="26" t="s">
        <v>202</v>
      </c>
      <c r="O103" s="5" t="s">
        <v>203</v>
      </c>
      <c r="P103" s="38" t="str">
        <f t="shared" ref="P103:P111" si="11">CONCATENATE(N103," ",O103)</f>
        <v>Rohan Iyer</v>
      </c>
      <c r="R103" s="26" t="s">
        <v>202</v>
      </c>
      <c r="S103" s="5" t="s">
        <v>203</v>
      </c>
      <c r="T103" s="38" t="str">
        <f t="shared" ref="T103:T111" si="12">_xlfn.CONCAT(R103,"-",S103)</f>
        <v>Rohan-Iyer</v>
      </c>
      <c r="U103" s="1" t="str">
        <f t="shared" ref="U103:U111" si="13">R103&amp;" "&amp;S103</f>
        <v>Rohan Iyer</v>
      </c>
      <c r="W103" s="38" t="s">
        <v>204</v>
      </c>
      <c r="X103" s="26" t="str">
        <f t="shared" ref="X103:X111" si="14">_xlfn.TEXTBEFORE(W103," ")</f>
        <v>Rohan</v>
      </c>
      <c r="Y103" s="5" t="str">
        <f t="shared" ref="Y103:Y111" si="15">_xlfn.TEXTAFTER(W103," ")</f>
        <v>Iyer</v>
      </c>
    </row>
    <row r="104" spans="2:25" ht="16" x14ac:dyDescent="0.35">
      <c r="B104" s="26" t="s">
        <v>205</v>
      </c>
      <c r="C104" s="5" t="s">
        <v>206</v>
      </c>
      <c r="D104" s="38" t="str">
        <f t="shared" si="10"/>
        <v>Aditya,Mehta</v>
      </c>
      <c r="F104" s="26" t="s">
        <v>205</v>
      </c>
      <c r="G104" s="5" t="s">
        <v>206</v>
      </c>
      <c r="H104" s="38" t="s">
        <v>243</v>
      </c>
      <c r="J104" s="38" t="s">
        <v>207</v>
      </c>
      <c r="K104" s="26" t="str" cm="1">
        <f t="array" ref="K104:L104">_xlfn.TEXTSPLIT(J104," ")</f>
        <v>Aditya</v>
      </c>
      <c r="L104" s="5" t="str">
        <v>Mehta</v>
      </c>
      <c r="N104" s="26" t="s">
        <v>205</v>
      </c>
      <c r="O104" s="5" t="s">
        <v>206</v>
      </c>
      <c r="P104" s="38" t="str">
        <f t="shared" si="11"/>
        <v>Aditya Mehta</v>
      </c>
      <c r="R104" s="26" t="s">
        <v>205</v>
      </c>
      <c r="S104" s="5" t="s">
        <v>206</v>
      </c>
      <c r="T104" s="38" t="str">
        <f t="shared" si="12"/>
        <v>Aditya-Mehta</v>
      </c>
      <c r="U104" s="1" t="str">
        <f t="shared" si="13"/>
        <v>Aditya Mehta</v>
      </c>
      <c r="W104" s="38" t="s">
        <v>207</v>
      </c>
      <c r="X104" s="26" t="str">
        <f t="shared" si="14"/>
        <v>Aditya</v>
      </c>
      <c r="Y104" s="5" t="str">
        <f t="shared" si="15"/>
        <v>Mehta</v>
      </c>
    </row>
    <row r="105" spans="2:25" ht="16" x14ac:dyDescent="0.35">
      <c r="B105" s="26" t="s">
        <v>208</v>
      </c>
      <c r="C105" s="5" t="s">
        <v>209</v>
      </c>
      <c r="D105" s="38" t="str">
        <f t="shared" si="10"/>
        <v>Vikram,Malhotra</v>
      </c>
      <c r="F105" s="26" t="s">
        <v>208</v>
      </c>
      <c r="G105" s="5" t="s">
        <v>209</v>
      </c>
      <c r="H105" s="38" t="s">
        <v>244</v>
      </c>
      <c r="J105" s="38" t="s">
        <v>210</v>
      </c>
      <c r="K105" s="26" t="str" cm="1">
        <f t="array" ref="K105:L105">_xlfn.TEXTSPLIT(J105," ")</f>
        <v>Vikram</v>
      </c>
      <c r="L105" s="5" t="str">
        <v>Malhotra</v>
      </c>
      <c r="N105" s="26" t="s">
        <v>208</v>
      </c>
      <c r="O105" s="5" t="s">
        <v>209</v>
      </c>
      <c r="P105" s="38" t="str">
        <f t="shared" si="11"/>
        <v>Vikram Malhotra</v>
      </c>
      <c r="R105" s="26" t="s">
        <v>208</v>
      </c>
      <c r="S105" s="5" t="s">
        <v>209</v>
      </c>
      <c r="T105" s="38" t="str">
        <f t="shared" si="12"/>
        <v>Vikram-Malhotra</v>
      </c>
      <c r="U105" s="1" t="str">
        <f t="shared" si="13"/>
        <v>Vikram Malhotra</v>
      </c>
      <c r="W105" s="38" t="s">
        <v>210</v>
      </c>
      <c r="X105" s="26" t="str">
        <f t="shared" si="14"/>
        <v>Vikram</v>
      </c>
      <c r="Y105" s="5" t="str">
        <f t="shared" si="15"/>
        <v>Malhotra</v>
      </c>
    </row>
    <row r="106" spans="2:25" ht="16" x14ac:dyDescent="0.35">
      <c r="B106" s="26" t="s">
        <v>211</v>
      </c>
      <c r="C106" s="5" t="s">
        <v>212</v>
      </c>
      <c r="D106" s="38" t="str">
        <f t="shared" si="10"/>
        <v>Rajat,Bansal</v>
      </c>
      <c r="F106" s="26" t="s">
        <v>211</v>
      </c>
      <c r="G106" s="5" t="s">
        <v>212</v>
      </c>
      <c r="H106" s="38" t="s">
        <v>245</v>
      </c>
      <c r="J106" s="38" t="s">
        <v>213</v>
      </c>
      <c r="K106" s="26" t="str" cm="1">
        <f t="array" ref="K106:L106">_xlfn.TEXTSPLIT(J106," ")</f>
        <v>Rajat</v>
      </c>
      <c r="L106" s="5" t="str">
        <v>Bansal</v>
      </c>
      <c r="N106" s="26" t="s">
        <v>211</v>
      </c>
      <c r="O106" s="5" t="s">
        <v>212</v>
      </c>
      <c r="P106" s="38" t="str">
        <f t="shared" si="11"/>
        <v>Rajat Bansal</v>
      </c>
      <c r="R106" s="26" t="s">
        <v>211</v>
      </c>
      <c r="S106" s="5" t="s">
        <v>212</v>
      </c>
      <c r="T106" s="38" t="str">
        <f t="shared" si="12"/>
        <v>Rajat-Bansal</v>
      </c>
      <c r="U106" s="1" t="str">
        <f t="shared" si="13"/>
        <v>Rajat Bansal</v>
      </c>
      <c r="W106" s="38" t="s">
        <v>213</v>
      </c>
      <c r="X106" s="26" t="str">
        <f t="shared" si="14"/>
        <v>Rajat</v>
      </c>
      <c r="Y106" s="5" t="str">
        <f t="shared" si="15"/>
        <v>Bansal</v>
      </c>
    </row>
    <row r="107" spans="2:25" ht="16" x14ac:dyDescent="0.35">
      <c r="B107" s="26" t="s">
        <v>214</v>
      </c>
      <c r="C107" s="5" t="s">
        <v>215</v>
      </c>
      <c r="D107" s="38" t="str">
        <f t="shared" si="10"/>
        <v>Suresh,Reddy</v>
      </c>
      <c r="F107" s="26" t="s">
        <v>214</v>
      </c>
      <c r="G107" s="5" t="s">
        <v>215</v>
      </c>
      <c r="H107" s="38" t="s">
        <v>246</v>
      </c>
      <c r="J107" s="38" t="s">
        <v>216</v>
      </c>
      <c r="K107" s="26" t="str" cm="1">
        <f t="array" ref="K107:L107">_xlfn.TEXTSPLIT(J107," ")</f>
        <v>Suresh</v>
      </c>
      <c r="L107" s="5" t="str">
        <v>Reddy</v>
      </c>
      <c r="N107" s="26" t="s">
        <v>214</v>
      </c>
      <c r="O107" s="5" t="s">
        <v>215</v>
      </c>
      <c r="P107" s="38" t="str">
        <f t="shared" si="11"/>
        <v>Suresh Reddy</v>
      </c>
      <c r="R107" s="26" t="s">
        <v>214</v>
      </c>
      <c r="S107" s="5" t="s">
        <v>215</v>
      </c>
      <c r="T107" s="38" t="str">
        <f t="shared" si="12"/>
        <v>Suresh-Reddy</v>
      </c>
      <c r="U107" s="1" t="str">
        <f t="shared" si="13"/>
        <v>Suresh Reddy</v>
      </c>
      <c r="W107" s="38" t="s">
        <v>216</v>
      </c>
      <c r="X107" s="26" t="str">
        <f t="shared" si="14"/>
        <v>Suresh</v>
      </c>
      <c r="Y107" s="5" t="str">
        <f t="shared" si="15"/>
        <v>Reddy</v>
      </c>
    </row>
    <row r="108" spans="2:25" ht="16" x14ac:dyDescent="0.35">
      <c r="B108" s="26" t="s">
        <v>217</v>
      </c>
      <c r="C108" s="5" t="s">
        <v>218</v>
      </c>
      <c r="D108" s="38" t="str">
        <f t="shared" si="10"/>
        <v>Arjun,Thakur</v>
      </c>
      <c r="F108" s="26" t="s">
        <v>217</v>
      </c>
      <c r="G108" s="5" t="s">
        <v>218</v>
      </c>
      <c r="H108" s="38" t="s">
        <v>241</v>
      </c>
      <c r="J108" s="38" t="s">
        <v>219</v>
      </c>
      <c r="K108" s="26" t="str" cm="1">
        <f t="array" ref="K108:L108">_xlfn.TEXTSPLIT(J108," ")</f>
        <v>Arjun</v>
      </c>
      <c r="L108" s="5" t="str">
        <v>Thakur</v>
      </c>
      <c r="N108" s="26" t="s">
        <v>217</v>
      </c>
      <c r="O108" s="5" t="s">
        <v>218</v>
      </c>
      <c r="P108" s="38" t="str">
        <f t="shared" si="11"/>
        <v>Arjun Thakur</v>
      </c>
      <c r="R108" s="26" t="s">
        <v>217</v>
      </c>
      <c r="S108" s="5" t="s">
        <v>218</v>
      </c>
      <c r="T108" s="38" t="str">
        <f t="shared" si="12"/>
        <v>Arjun-Thakur</v>
      </c>
      <c r="U108" s="1" t="str">
        <f t="shared" si="13"/>
        <v>Arjun Thakur</v>
      </c>
      <c r="W108" s="38" t="s">
        <v>219</v>
      </c>
      <c r="X108" s="26" t="str">
        <f t="shared" si="14"/>
        <v>Arjun</v>
      </c>
      <c r="Y108" s="5" t="str">
        <f t="shared" si="15"/>
        <v>Thakur</v>
      </c>
    </row>
    <row r="109" spans="2:25" ht="16" x14ac:dyDescent="0.35">
      <c r="B109" s="26" t="s">
        <v>220</v>
      </c>
      <c r="C109" s="5" t="s">
        <v>221</v>
      </c>
      <c r="D109" s="38" t="str">
        <f t="shared" si="10"/>
        <v>Kunal,Saxena</v>
      </c>
      <c r="F109" s="26" t="s">
        <v>220</v>
      </c>
      <c r="G109" s="5" t="s">
        <v>221</v>
      </c>
      <c r="H109" s="38" t="s">
        <v>247</v>
      </c>
      <c r="J109" s="38" t="s">
        <v>222</v>
      </c>
      <c r="K109" s="26" t="str" cm="1">
        <f t="array" ref="K109:L109">_xlfn.TEXTSPLIT(J109," ")</f>
        <v>Kunal</v>
      </c>
      <c r="L109" s="5" t="str">
        <v>Saxena</v>
      </c>
      <c r="N109" s="26" t="s">
        <v>220</v>
      </c>
      <c r="O109" s="5" t="s">
        <v>221</v>
      </c>
      <c r="P109" s="38" t="str">
        <f t="shared" si="11"/>
        <v>Kunal Saxena</v>
      </c>
      <c r="R109" s="26" t="s">
        <v>220</v>
      </c>
      <c r="S109" s="5" t="s">
        <v>221</v>
      </c>
      <c r="T109" s="38" t="str">
        <f t="shared" si="12"/>
        <v>Kunal-Saxena</v>
      </c>
      <c r="U109" s="1" t="str">
        <f t="shared" si="13"/>
        <v>Kunal Saxena</v>
      </c>
      <c r="W109" s="38" t="s">
        <v>222</v>
      </c>
      <c r="X109" s="26" t="str">
        <f t="shared" si="14"/>
        <v>Kunal</v>
      </c>
      <c r="Y109" s="5" t="str">
        <f t="shared" si="15"/>
        <v>Saxena</v>
      </c>
    </row>
    <row r="110" spans="2:25" ht="16" x14ac:dyDescent="0.35">
      <c r="B110" s="26" t="s">
        <v>223</v>
      </c>
      <c r="C110" s="5" t="s">
        <v>224</v>
      </c>
      <c r="D110" s="38" t="str">
        <f t="shared" si="10"/>
        <v>Siddharth,Rao</v>
      </c>
      <c r="F110" s="26" t="s">
        <v>223</v>
      </c>
      <c r="G110" s="5" t="s">
        <v>224</v>
      </c>
      <c r="H110" s="38" t="s">
        <v>246</v>
      </c>
      <c r="J110" s="38" t="s">
        <v>225</v>
      </c>
      <c r="K110" s="26" t="str" cm="1">
        <f t="array" ref="K110:L110">_xlfn.TEXTSPLIT(J110," ")</f>
        <v>Siddharth</v>
      </c>
      <c r="L110" s="5" t="str">
        <v>Rao</v>
      </c>
      <c r="N110" s="26" t="s">
        <v>223</v>
      </c>
      <c r="O110" s="5" t="s">
        <v>224</v>
      </c>
      <c r="P110" s="38" t="str">
        <f t="shared" si="11"/>
        <v>Siddharth Rao</v>
      </c>
      <c r="R110" s="26" t="s">
        <v>223</v>
      </c>
      <c r="S110" s="5" t="s">
        <v>224</v>
      </c>
      <c r="T110" s="38" t="str">
        <f t="shared" si="12"/>
        <v>Siddharth-Rao</v>
      </c>
      <c r="U110" s="1" t="str">
        <f t="shared" si="13"/>
        <v>Siddharth Rao</v>
      </c>
      <c r="W110" s="38" t="s">
        <v>225</v>
      </c>
      <c r="X110" s="26" t="str">
        <f t="shared" si="14"/>
        <v>Siddharth</v>
      </c>
      <c r="Y110" s="5" t="str">
        <f t="shared" si="15"/>
        <v>Rao</v>
      </c>
    </row>
    <row r="111" spans="2:25" ht="16.5" thickBot="1" x14ac:dyDescent="0.4">
      <c r="B111" s="28" t="s">
        <v>226</v>
      </c>
      <c r="C111" s="8" t="s">
        <v>227</v>
      </c>
      <c r="D111" s="38" t="str">
        <f t="shared" si="10"/>
        <v>Manish,Tripathi</v>
      </c>
      <c r="F111" s="28" t="s">
        <v>226</v>
      </c>
      <c r="G111" s="8" t="s">
        <v>227</v>
      </c>
      <c r="H111" s="39" t="s">
        <v>248</v>
      </c>
      <c r="J111" s="39" t="s">
        <v>228</v>
      </c>
      <c r="K111" s="26" t="str" cm="1">
        <f t="array" ref="K111:L111">_xlfn.TEXTSPLIT(J111," ")</f>
        <v>Manish</v>
      </c>
      <c r="L111" s="8" t="str">
        <v>Tripathi</v>
      </c>
      <c r="N111" s="28" t="s">
        <v>226</v>
      </c>
      <c r="O111" s="8" t="s">
        <v>227</v>
      </c>
      <c r="P111" s="38" t="str">
        <f t="shared" si="11"/>
        <v>Manish Tripathi</v>
      </c>
      <c r="R111" s="28" t="s">
        <v>226</v>
      </c>
      <c r="S111" s="8" t="s">
        <v>227</v>
      </c>
      <c r="T111" s="38" t="str">
        <f t="shared" si="12"/>
        <v>Manish-Tripathi</v>
      </c>
      <c r="U111" s="1" t="str">
        <f t="shared" si="13"/>
        <v>Manish Tripathi</v>
      </c>
      <c r="W111" s="39" t="s">
        <v>228</v>
      </c>
      <c r="X111" s="26" t="str">
        <f t="shared" si="14"/>
        <v>Manish</v>
      </c>
      <c r="Y111" s="5" t="str">
        <f t="shared" si="15"/>
        <v>Tripathi</v>
      </c>
    </row>
    <row r="124" spans="2:12" ht="15" thickBot="1" x14ac:dyDescent="0.4"/>
    <row r="125" spans="2:12" ht="19" thickBot="1" x14ac:dyDescent="0.5">
      <c r="B125" s="311" t="s">
        <v>229</v>
      </c>
      <c r="C125" s="312"/>
      <c r="E125" s="311" t="s">
        <v>261</v>
      </c>
      <c r="F125" s="312"/>
      <c r="H125" s="311" t="s">
        <v>235</v>
      </c>
      <c r="I125" s="312"/>
      <c r="K125" s="311" t="s">
        <v>262</v>
      </c>
      <c r="L125" s="312"/>
    </row>
    <row r="126" spans="2:12" ht="18.5" x14ac:dyDescent="0.35">
      <c r="B126" s="24" t="s">
        <v>143</v>
      </c>
      <c r="C126" s="25" t="s">
        <v>230</v>
      </c>
      <c r="E126" s="24" t="s">
        <v>143</v>
      </c>
      <c r="F126" s="25" t="s">
        <v>230</v>
      </c>
      <c r="H126" s="24" t="s">
        <v>143</v>
      </c>
      <c r="I126" s="25" t="s">
        <v>230</v>
      </c>
      <c r="K126" s="24" t="s">
        <v>143</v>
      </c>
      <c r="L126" s="25" t="s">
        <v>230</v>
      </c>
    </row>
    <row r="127" spans="2:12" ht="16" x14ac:dyDescent="0.35">
      <c r="B127" s="31" t="s">
        <v>145</v>
      </c>
      <c r="C127" s="27" t="str">
        <f>SUBSTITUTE(B127,"-","@")</f>
        <v>AXP@5678@MNO</v>
      </c>
      <c r="E127" s="31" t="s">
        <v>254</v>
      </c>
      <c r="F127" s="27">
        <f>FIND("p",E127)</f>
        <v>3</v>
      </c>
      <c r="G127" s="1">
        <f>SEARCH("P",E127)</f>
        <v>3</v>
      </c>
      <c r="H127" s="31" t="s">
        <v>145</v>
      </c>
      <c r="I127" s="27" t="str">
        <f>REPLACE(H127,5,4,2026)</f>
        <v>AXP-2026-MNO</v>
      </c>
      <c r="K127" s="31" t="s">
        <v>145</v>
      </c>
      <c r="L127" s="27">
        <f>SEARCH("o",K127)</f>
        <v>12</v>
      </c>
    </row>
    <row r="128" spans="2:12" ht="16" x14ac:dyDescent="0.35">
      <c r="B128" s="31" t="s">
        <v>889</v>
      </c>
      <c r="C128" s="27" t="str">
        <f t="shared" ref="C128:C136" si="16">SUBSTITUTE(B128,"-","@")</f>
        <v>AXP@5678@M@O</v>
      </c>
      <c r="E128" s="31" t="s">
        <v>255</v>
      </c>
      <c r="F128" s="27">
        <f t="shared" ref="F128:F136" si="17">FIND("p",E128)</f>
        <v>12</v>
      </c>
      <c r="G128" s="1">
        <f t="shared" ref="G128:G136" si="18">SEARCH("P",E128)</f>
        <v>12</v>
      </c>
      <c r="H128" s="31" t="s">
        <v>146</v>
      </c>
      <c r="I128" s="27" t="str">
        <f t="shared" ref="I128:I136" si="19">REPLACE(H128,5,4,2026)</f>
        <v>BTR-2026-KLM</v>
      </c>
      <c r="K128" s="31" t="s">
        <v>146</v>
      </c>
      <c r="L128" s="27" t="e">
        <f t="shared" ref="L128:L136" si="20">SEARCH("o",K128)</f>
        <v>#VALUE!</v>
      </c>
    </row>
    <row r="129" spans="2:12" ht="16" x14ac:dyDescent="0.35">
      <c r="B129" s="31" t="s">
        <v>147</v>
      </c>
      <c r="C129" s="27" t="str">
        <f t="shared" si="16"/>
        <v>CQS@2345@XYZ</v>
      </c>
      <c r="E129" s="31" t="s">
        <v>256</v>
      </c>
      <c r="F129" s="27">
        <f t="shared" si="17"/>
        <v>5</v>
      </c>
      <c r="G129" s="1">
        <f t="shared" si="18"/>
        <v>5</v>
      </c>
      <c r="H129" s="31" t="s">
        <v>147</v>
      </c>
      <c r="I129" s="27" t="str">
        <f t="shared" si="19"/>
        <v>CQS-2026-XYZ</v>
      </c>
      <c r="K129" s="31" t="s">
        <v>259</v>
      </c>
      <c r="L129" s="27">
        <f t="shared" si="20"/>
        <v>13</v>
      </c>
    </row>
    <row r="130" spans="2:12" ht="16" x14ac:dyDescent="0.35">
      <c r="B130" s="31" t="s">
        <v>148</v>
      </c>
      <c r="C130" s="27" t="str">
        <f t="shared" si="16"/>
        <v>DYN@6789@PQR</v>
      </c>
      <c r="E130" s="31" t="s">
        <v>148</v>
      </c>
      <c r="F130" s="27" t="e">
        <f t="shared" si="17"/>
        <v>#VALUE!</v>
      </c>
      <c r="G130" s="1">
        <f t="shared" si="18"/>
        <v>10</v>
      </c>
      <c r="H130" s="31" t="s">
        <v>148</v>
      </c>
      <c r="I130" s="27" t="str">
        <f t="shared" si="19"/>
        <v>DYN-2026-PQR</v>
      </c>
      <c r="K130" s="31" t="s">
        <v>148</v>
      </c>
      <c r="L130" s="27" t="e">
        <f t="shared" si="20"/>
        <v>#VALUE!</v>
      </c>
    </row>
    <row r="131" spans="2:12" ht="16" x14ac:dyDescent="0.35">
      <c r="B131" s="31" t="s">
        <v>149</v>
      </c>
      <c r="C131" s="27" t="str">
        <f t="shared" si="16"/>
        <v>EJM@4532@ABC</v>
      </c>
      <c r="E131" s="31" t="s">
        <v>149</v>
      </c>
      <c r="F131" s="27" t="e">
        <f t="shared" si="17"/>
        <v>#VALUE!</v>
      </c>
      <c r="G131" s="1" t="e">
        <f t="shared" si="18"/>
        <v>#VALUE!</v>
      </c>
      <c r="H131" s="31" t="s">
        <v>149</v>
      </c>
      <c r="I131" s="27" t="str">
        <f t="shared" si="19"/>
        <v>EJM-2026-ABC</v>
      </c>
      <c r="K131" s="31" t="s">
        <v>149</v>
      </c>
      <c r="L131" s="27" t="e">
        <f t="shared" si="20"/>
        <v>#VALUE!</v>
      </c>
    </row>
    <row r="132" spans="2:12" ht="16" x14ac:dyDescent="0.35">
      <c r="B132" s="31" t="s">
        <v>150</v>
      </c>
      <c r="C132" s="27" t="str">
        <f t="shared" si="16"/>
        <v>FVK@9102@DEF</v>
      </c>
      <c r="E132" s="31" t="s">
        <v>257</v>
      </c>
      <c r="F132" s="27">
        <f t="shared" si="17"/>
        <v>5</v>
      </c>
      <c r="G132" s="1">
        <f t="shared" si="18"/>
        <v>5</v>
      </c>
      <c r="H132" s="31" t="s">
        <v>150</v>
      </c>
      <c r="I132" s="27" t="str">
        <f t="shared" si="19"/>
        <v>FVK-2026-DEF</v>
      </c>
      <c r="K132" s="31" t="s">
        <v>260</v>
      </c>
      <c r="L132" s="27">
        <f t="shared" si="20"/>
        <v>10</v>
      </c>
    </row>
    <row r="133" spans="2:12" ht="16" x14ac:dyDescent="0.35">
      <c r="B133" s="31" t="s">
        <v>151</v>
      </c>
      <c r="C133" s="27" t="str">
        <f t="shared" si="16"/>
        <v>GWL@3217@GHI</v>
      </c>
      <c r="E133" s="31" t="s">
        <v>151</v>
      </c>
      <c r="F133" s="27" t="e">
        <f t="shared" si="17"/>
        <v>#VALUE!</v>
      </c>
      <c r="G133" s="1" t="e">
        <f t="shared" si="18"/>
        <v>#VALUE!</v>
      </c>
      <c r="H133" s="31" t="s">
        <v>151</v>
      </c>
      <c r="I133" s="27" t="str">
        <f t="shared" si="19"/>
        <v>GWL-2026-GHI</v>
      </c>
      <c r="K133" s="31" t="s">
        <v>151</v>
      </c>
      <c r="L133" s="27" t="e">
        <f t="shared" si="20"/>
        <v>#VALUE!</v>
      </c>
    </row>
    <row r="134" spans="2:12" ht="16" x14ac:dyDescent="0.35">
      <c r="B134" s="31" t="s">
        <v>152</v>
      </c>
      <c r="C134" s="27" t="str">
        <f t="shared" si="16"/>
        <v>HZS@7654@JKL</v>
      </c>
      <c r="E134" s="31" t="s">
        <v>152</v>
      </c>
      <c r="F134" s="27" t="e">
        <f t="shared" si="17"/>
        <v>#VALUE!</v>
      </c>
      <c r="G134" s="1" t="e">
        <f t="shared" si="18"/>
        <v>#VALUE!</v>
      </c>
      <c r="H134" s="31" t="s">
        <v>152</v>
      </c>
      <c r="I134" s="27" t="str">
        <f t="shared" si="19"/>
        <v>HZS-2026-JKL</v>
      </c>
      <c r="K134" s="31" t="s">
        <v>152</v>
      </c>
      <c r="L134" s="27" t="e">
        <f t="shared" si="20"/>
        <v>#VALUE!</v>
      </c>
    </row>
    <row r="135" spans="2:12" ht="16" x14ac:dyDescent="0.35">
      <c r="B135" s="31" t="s">
        <v>153</v>
      </c>
      <c r="C135" s="27" t="str">
        <f t="shared" si="16"/>
        <v>JQP@1876@STU</v>
      </c>
      <c r="E135" s="31" t="s">
        <v>258</v>
      </c>
      <c r="F135" s="27" t="e">
        <f t="shared" si="17"/>
        <v>#VALUE!</v>
      </c>
      <c r="G135" s="1">
        <f t="shared" si="18"/>
        <v>3</v>
      </c>
      <c r="H135" s="31" t="s">
        <v>153</v>
      </c>
      <c r="I135" s="27" t="str">
        <f t="shared" si="19"/>
        <v>JQP-2026-STU</v>
      </c>
      <c r="K135" s="31" t="s">
        <v>153</v>
      </c>
      <c r="L135" s="27" t="e">
        <f t="shared" si="20"/>
        <v>#VALUE!</v>
      </c>
    </row>
    <row r="136" spans="2:12" ht="16.5" thickBot="1" x14ac:dyDescent="0.4">
      <c r="B136" s="32" t="s">
        <v>154</v>
      </c>
      <c r="C136" s="27" t="str">
        <f t="shared" si="16"/>
        <v>KRM@5923@VWX</v>
      </c>
      <c r="E136" s="32" t="s">
        <v>154</v>
      </c>
      <c r="F136" s="27" t="e">
        <f t="shared" si="17"/>
        <v>#VALUE!</v>
      </c>
      <c r="G136" s="1" t="e">
        <f t="shared" si="18"/>
        <v>#VALUE!</v>
      </c>
      <c r="H136" s="32" t="s">
        <v>154</v>
      </c>
      <c r="I136" s="27" t="str">
        <f t="shared" si="19"/>
        <v>KRM-2026-VWX</v>
      </c>
      <c r="K136" s="32" t="s">
        <v>154</v>
      </c>
      <c r="L136" s="27" t="e">
        <f t="shared" si="20"/>
        <v>#VALUE!</v>
      </c>
    </row>
    <row r="145" spans="2:10" x14ac:dyDescent="0.35">
      <c r="B145" s="72">
        <v>1234563</v>
      </c>
      <c r="C145">
        <f>VALUE(B145)</f>
        <v>1234563</v>
      </c>
    </row>
    <row r="148" spans="2:10" x14ac:dyDescent="0.35">
      <c r="G148" s="57"/>
      <c r="H148" s="57"/>
      <c r="I148" s="57"/>
      <c r="J148" s="57"/>
    </row>
    <row r="149" spans="2:10" x14ac:dyDescent="0.35">
      <c r="H149" s="58"/>
      <c r="I149" s="58"/>
      <c r="J149" s="58"/>
    </row>
    <row r="150" spans="2:10" ht="29" x14ac:dyDescent="0.35">
      <c r="B150" s="73" t="s">
        <v>890</v>
      </c>
      <c r="C150" t="str">
        <f>CLEAN(B150)</f>
        <v>TannuSinghal</v>
      </c>
      <c r="H150" s="58"/>
      <c r="I150" s="58"/>
      <c r="J150" s="58"/>
    </row>
    <row r="151" spans="2:10" x14ac:dyDescent="0.35">
      <c r="H151" s="58"/>
      <c r="I151" s="58"/>
      <c r="J151" s="58"/>
    </row>
    <row r="152" spans="2:10" x14ac:dyDescent="0.35">
      <c r="H152" s="58"/>
      <c r="I152" s="58"/>
      <c r="J152" s="58"/>
    </row>
    <row r="153" spans="2:10" x14ac:dyDescent="0.35">
      <c r="H153" s="58"/>
      <c r="I153" s="58"/>
      <c r="J153" s="58"/>
    </row>
    <row r="154" spans="2:10" x14ac:dyDescent="0.35">
      <c r="H154" s="58"/>
      <c r="I154" s="58"/>
      <c r="J154" s="58"/>
    </row>
    <row r="155" spans="2:10" x14ac:dyDescent="0.35">
      <c r="H155" s="58"/>
      <c r="I155" s="58"/>
      <c r="J155" s="58"/>
    </row>
    <row r="156" spans="2:10" x14ac:dyDescent="0.35">
      <c r="H156" s="58"/>
      <c r="I156" s="58"/>
      <c r="J156" s="58"/>
    </row>
    <row r="157" spans="2:10" x14ac:dyDescent="0.35">
      <c r="H157" s="58"/>
      <c r="I157" s="58"/>
      <c r="J157" s="58"/>
    </row>
  </sheetData>
  <mergeCells count="19">
    <mergeCell ref="B60:C60"/>
    <mergeCell ref="B1:C1"/>
    <mergeCell ref="E1:F1"/>
    <mergeCell ref="H1:I1"/>
    <mergeCell ref="B18:C18"/>
    <mergeCell ref="B39:C39"/>
    <mergeCell ref="B80:C80"/>
    <mergeCell ref="E80:F80"/>
    <mergeCell ref="B100:D100"/>
    <mergeCell ref="F100:H100"/>
    <mergeCell ref="B125:C125"/>
    <mergeCell ref="H80:I80"/>
    <mergeCell ref="W100:Y100"/>
    <mergeCell ref="J100:L100"/>
    <mergeCell ref="N100:P100"/>
    <mergeCell ref="R100:T100"/>
    <mergeCell ref="E125:F125"/>
    <mergeCell ref="H125:I125"/>
    <mergeCell ref="K125:L1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2E42-DF2F-4FEC-BF6D-760067355DB9}">
  <dimension ref="A1:H209"/>
  <sheetViews>
    <sheetView topLeftCell="A170" zoomScale="130" zoomScaleNormal="130" workbookViewId="0">
      <selection activeCell="J43" sqref="J43"/>
    </sheetView>
  </sheetViews>
  <sheetFormatPr defaultRowHeight="14.5" x14ac:dyDescent="0.35"/>
  <cols>
    <col min="1" max="1" width="4.54296875" bestFit="1" customWidth="1"/>
    <col min="2" max="2" width="16.26953125" customWidth="1"/>
    <col min="3" max="3" width="24.81640625" customWidth="1"/>
    <col min="4" max="4" width="23.26953125" bestFit="1" customWidth="1"/>
    <col min="5" max="5" width="19" customWidth="1"/>
    <col min="6" max="6" width="23.54296875" bestFit="1" customWidth="1"/>
  </cols>
  <sheetData>
    <row r="1" spans="1:8" ht="15" thickBot="1" x14ac:dyDescent="0.4">
      <c r="A1" s="318" t="s">
        <v>397</v>
      </c>
      <c r="B1" s="318"/>
      <c r="C1" s="318"/>
      <c r="D1" s="318"/>
      <c r="E1" s="318"/>
      <c r="F1" s="318"/>
      <c r="H1">
        <v>25</v>
      </c>
    </row>
    <row r="2" spans="1:8" x14ac:dyDescent="0.35">
      <c r="A2" s="19" t="s">
        <v>29</v>
      </c>
      <c r="B2" s="20" t="s">
        <v>30</v>
      </c>
      <c r="C2" s="20" t="s">
        <v>31</v>
      </c>
      <c r="D2" s="20" t="s">
        <v>32</v>
      </c>
      <c r="E2" s="20" t="s">
        <v>33</v>
      </c>
      <c r="F2" s="21" t="s">
        <v>34</v>
      </c>
      <c r="H2">
        <v>29</v>
      </c>
    </row>
    <row r="3" spans="1:8" ht="29" x14ac:dyDescent="0.35">
      <c r="A3" s="41">
        <v>1</v>
      </c>
      <c r="B3" s="42" t="s">
        <v>35</v>
      </c>
      <c r="C3" s="42" t="s">
        <v>110</v>
      </c>
      <c r="D3" s="42" t="s">
        <v>36</v>
      </c>
      <c r="E3" s="42" t="s">
        <v>37</v>
      </c>
      <c r="F3" s="43" t="s">
        <v>38</v>
      </c>
      <c r="H3">
        <v>28</v>
      </c>
    </row>
    <row r="4" spans="1:8" ht="29" x14ac:dyDescent="0.35">
      <c r="A4" s="41">
        <v>2</v>
      </c>
      <c r="B4" s="42" t="s">
        <v>39</v>
      </c>
      <c r="C4" s="42" t="s">
        <v>111</v>
      </c>
      <c r="D4" s="42" t="s">
        <v>40</v>
      </c>
      <c r="E4" s="42" t="s">
        <v>41</v>
      </c>
      <c r="F4" s="43" t="s">
        <v>42</v>
      </c>
      <c r="H4">
        <v>20</v>
      </c>
    </row>
    <row r="5" spans="1:8" ht="29" x14ac:dyDescent="0.35">
      <c r="A5" s="41">
        <v>3</v>
      </c>
      <c r="B5" s="42" t="s">
        <v>43</v>
      </c>
      <c r="C5" s="42" t="s">
        <v>112</v>
      </c>
      <c r="D5" s="42" t="s">
        <v>44</v>
      </c>
      <c r="E5" s="42" t="s">
        <v>45</v>
      </c>
      <c r="F5" s="43" t="s">
        <v>46</v>
      </c>
      <c r="H5">
        <v>20</v>
      </c>
    </row>
    <row r="6" spans="1:8" ht="29" x14ac:dyDescent="0.35">
      <c r="A6" s="22">
        <v>4</v>
      </c>
      <c r="B6" s="18" t="s">
        <v>47</v>
      </c>
      <c r="C6" s="18" t="s">
        <v>113</v>
      </c>
      <c r="D6" s="18" t="s">
        <v>48</v>
      </c>
      <c r="E6" s="18" t="s">
        <v>49</v>
      </c>
      <c r="F6" s="23" t="s">
        <v>50</v>
      </c>
      <c r="H6">
        <v>10</v>
      </c>
    </row>
    <row r="7" spans="1:8" x14ac:dyDescent="0.35">
      <c r="A7" s="22">
        <v>5</v>
      </c>
      <c r="B7" s="18" t="s">
        <v>51</v>
      </c>
      <c r="C7" s="18" t="s">
        <v>114</v>
      </c>
      <c r="D7" s="18" t="s">
        <v>52</v>
      </c>
      <c r="E7" s="18" t="s">
        <v>53</v>
      </c>
      <c r="F7" s="23" t="s">
        <v>54</v>
      </c>
      <c r="H7">
        <v>10</v>
      </c>
    </row>
    <row r="8" spans="1:8" x14ac:dyDescent="0.35">
      <c r="A8" s="41">
        <v>6</v>
      </c>
      <c r="B8" s="42" t="s">
        <v>55</v>
      </c>
      <c r="C8" s="42" t="s">
        <v>115</v>
      </c>
      <c r="D8" s="42" t="s">
        <v>56</v>
      </c>
      <c r="E8" s="42" t="s">
        <v>57</v>
      </c>
      <c r="F8" s="43" t="s">
        <v>58</v>
      </c>
    </row>
    <row r="9" spans="1:8" ht="29" x14ac:dyDescent="0.35">
      <c r="A9" s="41">
        <v>7</v>
      </c>
      <c r="B9" s="42" t="s">
        <v>59</v>
      </c>
      <c r="C9" s="42" t="s">
        <v>116</v>
      </c>
      <c r="D9" s="42" t="s">
        <v>60</v>
      </c>
      <c r="E9" s="42" t="s">
        <v>61</v>
      </c>
      <c r="F9" s="43" t="s">
        <v>62</v>
      </c>
    </row>
    <row r="10" spans="1:8" ht="29" x14ac:dyDescent="0.35">
      <c r="A10" s="41">
        <v>8</v>
      </c>
      <c r="B10" s="42" t="s">
        <v>63</v>
      </c>
      <c r="C10" s="42" t="s">
        <v>117</v>
      </c>
      <c r="D10" s="42" t="s">
        <v>64</v>
      </c>
      <c r="E10" s="42" t="s">
        <v>65</v>
      </c>
      <c r="F10" s="43" t="s">
        <v>66</v>
      </c>
    </row>
    <row r="11" spans="1:8" x14ac:dyDescent="0.35">
      <c r="A11" s="44">
        <v>9</v>
      </c>
      <c r="B11" s="45" t="s">
        <v>67</v>
      </c>
      <c r="C11" s="45" t="s">
        <v>118</v>
      </c>
      <c r="D11" s="45" t="s">
        <v>68</v>
      </c>
      <c r="E11" s="45" t="s">
        <v>69</v>
      </c>
      <c r="F11" s="46" t="s">
        <v>70</v>
      </c>
    </row>
    <row r="12" spans="1:8" ht="29" x14ac:dyDescent="0.35">
      <c r="A12" s="44">
        <v>10</v>
      </c>
      <c r="B12" s="45" t="s">
        <v>71</v>
      </c>
      <c r="C12" s="45" t="s">
        <v>119</v>
      </c>
      <c r="D12" s="45" t="s">
        <v>72</v>
      </c>
      <c r="E12" s="45" t="s">
        <v>73</v>
      </c>
      <c r="F12" s="46" t="str">
        <f>CONCATENATE("Hi"," ","All")</f>
        <v>Hi All</v>
      </c>
    </row>
    <row r="13" spans="1:8" ht="29" x14ac:dyDescent="0.35">
      <c r="A13" s="44">
        <v>11</v>
      </c>
      <c r="B13" s="45" t="s">
        <v>74</v>
      </c>
      <c r="C13" s="45" t="s">
        <v>120</v>
      </c>
      <c r="D13" s="45" t="s">
        <v>75</v>
      </c>
      <c r="E13" s="45" t="s">
        <v>76</v>
      </c>
      <c r="F13" s="46" t="str">
        <f>_xlfn.TEXTJOIN(",",TRUE,A2:A4)</f>
        <v>S No,1,2</v>
      </c>
    </row>
    <row r="14" spans="1:8" ht="29" x14ac:dyDescent="0.35">
      <c r="A14" s="51">
        <v>12</v>
      </c>
      <c r="B14" s="52" t="s">
        <v>77</v>
      </c>
      <c r="C14" s="52" t="s">
        <v>121</v>
      </c>
      <c r="D14" s="52" t="s">
        <v>78</v>
      </c>
      <c r="E14" s="52" t="s">
        <v>79</v>
      </c>
      <c r="F14" s="53" t="s">
        <v>80</v>
      </c>
    </row>
    <row r="15" spans="1:8" x14ac:dyDescent="0.35">
      <c r="A15" s="51">
        <v>13</v>
      </c>
      <c r="B15" s="52" t="s">
        <v>81</v>
      </c>
      <c r="C15" s="52" t="s">
        <v>122</v>
      </c>
      <c r="D15" s="52" t="s">
        <v>82</v>
      </c>
      <c r="E15" s="52" t="s">
        <v>83</v>
      </c>
      <c r="F15" s="53" t="s">
        <v>84</v>
      </c>
    </row>
    <row r="16" spans="1:8" ht="29" x14ac:dyDescent="0.35">
      <c r="A16" s="54">
        <v>14</v>
      </c>
      <c r="B16" s="55" t="s">
        <v>85</v>
      </c>
      <c r="C16" s="55" t="s">
        <v>123</v>
      </c>
      <c r="D16" s="55" t="s">
        <v>86</v>
      </c>
      <c r="E16" s="55" t="s">
        <v>87</v>
      </c>
      <c r="F16" s="56" t="str">
        <f>REPLACE("12345",2,2,"AA")</f>
        <v>1AA45</v>
      </c>
    </row>
    <row r="17" spans="1:6" ht="29" x14ac:dyDescent="0.35">
      <c r="A17" s="54">
        <v>15</v>
      </c>
      <c r="B17" s="55" t="s">
        <v>88</v>
      </c>
      <c r="C17" s="55" t="s">
        <v>124</v>
      </c>
      <c r="D17" s="55" t="s">
        <v>89</v>
      </c>
      <c r="E17" s="55" t="s">
        <v>90</v>
      </c>
      <c r="F17" s="56" t="str">
        <f>SUBSTITUTE("Hi all","all","team")</f>
        <v>Hi team</v>
      </c>
    </row>
    <row r="18" spans="1:6" ht="29" x14ac:dyDescent="0.35">
      <c r="A18" s="22">
        <v>16</v>
      </c>
      <c r="B18" s="18" t="s">
        <v>91</v>
      </c>
      <c r="C18" s="18" t="s">
        <v>125</v>
      </c>
      <c r="D18" s="18" t="s">
        <v>92</v>
      </c>
      <c r="E18" s="18" t="s">
        <v>93</v>
      </c>
      <c r="F18" s="23" t="s">
        <v>94</v>
      </c>
    </row>
    <row r="19" spans="1:6" ht="29" x14ac:dyDescent="0.35">
      <c r="A19" s="22">
        <v>17</v>
      </c>
      <c r="B19" s="18" t="s">
        <v>95</v>
      </c>
      <c r="C19" s="18" t="s">
        <v>126</v>
      </c>
      <c r="D19" s="18" t="s">
        <v>96</v>
      </c>
      <c r="E19" s="18" t="s">
        <v>97</v>
      </c>
      <c r="F19" s="23" t="s">
        <v>98</v>
      </c>
    </row>
    <row r="20" spans="1:6" ht="29" x14ac:dyDescent="0.35">
      <c r="A20" s="22">
        <v>18</v>
      </c>
      <c r="B20" s="18" t="s">
        <v>99</v>
      </c>
      <c r="C20" s="18" t="s">
        <v>127</v>
      </c>
      <c r="D20" s="18" t="s">
        <v>100</v>
      </c>
      <c r="E20" s="18" t="s">
        <v>101</v>
      </c>
      <c r="F20" s="23" t="str">
        <f>CLEAN(A2)</f>
        <v>S No</v>
      </c>
    </row>
    <row r="21" spans="1:6" ht="29" x14ac:dyDescent="0.35">
      <c r="A21" s="22">
        <v>19</v>
      </c>
      <c r="B21" s="18" t="s">
        <v>102</v>
      </c>
      <c r="C21" s="18" t="s">
        <v>128</v>
      </c>
      <c r="D21" s="18" t="s">
        <v>103</v>
      </c>
      <c r="E21" s="18" t="s">
        <v>104</v>
      </c>
      <c r="F21" s="23" t="s">
        <v>105</v>
      </c>
    </row>
    <row r="22" spans="1:6" x14ac:dyDescent="0.35">
      <c r="A22" s="48">
        <v>20</v>
      </c>
      <c r="B22" s="49" t="s">
        <v>106</v>
      </c>
      <c r="C22" s="49" t="s">
        <v>129</v>
      </c>
      <c r="D22" s="49" t="s">
        <v>107</v>
      </c>
      <c r="E22" s="49" t="s">
        <v>108</v>
      </c>
      <c r="F22" s="50" t="s">
        <v>109</v>
      </c>
    </row>
    <row r="23" spans="1:6" x14ac:dyDescent="0.35">
      <c r="A23" s="319" t="s">
        <v>251</v>
      </c>
      <c r="B23" s="319"/>
      <c r="C23" s="319"/>
      <c r="D23" s="319"/>
      <c r="E23" s="319"/>
      <c r="F23" s="319"/>
    </row>
    <row r="24" spans="1:6" x14ac:dyDescent="0.35">
      <c r="A24" s="17"/>
    </row>
    <row r="33" spans="1:6" ht="15" thickBot="1" x14ac:dyDescent="0.4">
      <c r="A33" s="318" t="s">
        <v>398</v>
      </c>
      <c r="B33" s="318"/>
      <c r="C33" s="318"/>
      <c r="D33" s="318"/>
      <c r="E33" s="318"/>
      <c r="F33" s="318"/>
    </row>
    <row r="34" spans="1:6" ht="15" thickBot="1" x14ac:dyDescent="0.4">
      <c r="A34" s="59" t="s">
        <v>29</v>
      </c>
      <c r="B34" s="60" t="s">
        <v>30</v>
      </c>
      <c r="C34" s="60" t="s">
        <v>31</v>
      </c>
      <c r="D34" s="60" t="s">
        <v>32</v>
      </c>
      <c r="E34" s="60" t="s">
        <v>33</v>
      </c>
      <c r="F34" s="61" t="s">
        <v>34</v>
      </c>
    </row>
    <row r="35" spans="1:6" ht="31.5" customHeight="1" x14ac:dyDescent="0.35">
      <c r="A35" s="74">
        <v>1</v>
      </c>
      <c r="B35" s="75" t="s">
        <v>263</v>
      </c>
      <c r="C35" s="75" t="s">
        <v>264</v>
      </c>
      <c r="D35" s="75" t="s">
        <v>265</v>
      </c>
      <c r="E35" s="75" t="s">
        <v>266</v>
      </c>
      <c r="F35" s="76" t="s">
        <v>267</v>
      </c>
    </row>
    <row r="36" spans="1:6" ht="31.5" customHeight="1" thickBot="1" x14ac:dyDescent="0.4">
      <c r="A36" s="77">
        <v>2</v>
      </c>
      <c r="B36" s="78" t="s">
        <v>268</v>
      </c>
      <c r="C36" s="78" t="s">
        <v>269</v>
      </c>
      <c r="D36" s="78" t="s">
        <v>270</v>
      </c>
      <c r="E36" s="78" t="s">
        <v>271</v>
      </c>
      <c r="F36" s="79" t="s">
        <v>272</v>
      </c>
    </row>
    <row r="37" spans="1:6" ht="31.5" customHeight="1" x14ac:dyDescent="0.35">
      <c r="A37" s="74">
        <v>3</v>
      </c>
      <c r="B37" s="78" t="s">
        <v>273</v>
      </c>
      <c r="C37" s="78" t="s">
        <v>274</v>
      </c>
      <c r="D37" s="78" t="s">
        <v>275</v>
      </c>
      <c r="E37" s="78" t="s">
        <v>276</v>
      </c>
      <c r="F37" s="79" t="s">
        <v>277</v>
      </c>
    </row>
    <row r="38" spans="1:6" ht="31.5" customHeight="1" thickBot="1" x14ac:dyDescent="0.4">
      <c r="A38" s="77">
        <v>4</v>
      </c>
      <c r="B38" s="78" t="s">
        <v>278</v>
      </c>
      <c r="C38" s="78" t="s">
        <v>279</v>
      </c>
      <c r="D38" s="78" t="s">
        <v>280</v>
      </c>
      <c r="E38" s="78" t="s">
        <v>281</v>
      </c>
      <c r="F38" s="79" t="s">
        <v>282</v>
      </c>
    </row>
    <row r="39" spans="1:6" ht="31.5" customHeight="1" x14ac:dyDescent="0.35">
      <c r="A39" s="74">
        <v>5</v>
      </c>
      <c r="B39" s="78" t="s">
        <v>283</v>
      </c>
      <c r="C39" s="78" t="s">
        <v>284</v>
      </c>
      <c r="D39" s="78" t="s">
        <v>285</v>
      </c>
      <c r="E39" s="78" t="s">
        <v>286</v>
      </c>
      <c r="F39" s="79" t="s">
        <v>287</v>
      </c>
    </row>
    <row r="40" spans="1:6" ht="31.5" customHeight="1" thickBot="1" x14ac:dyDescent="0.4">
      <c r="A40" s="101">
        <v>6</v>
      </c>
      <c r="B40" s="102" t="s">
        <v>288</v>
      </c>
      <c r="C40" s="102" t="s">
        <v>289</v>
      </c>
      <c r="D40" s="102" t="s">
        <v>290</v>
      </c>
      <c r="E40" s="102" t="s">
        <v>291</v>
      </c>
      <c r="F40" s="103">
        <f>COUNTIF(A2:A6,"&gt;10")</f>
        <v>0</v>
      </c>
    </row>
    <row r="41" spans="1:6" ht="31.5" customHeight="1" x14ac:dyDescent="0.35">
      <c r="A41" s="104">
        <v>7</v>
      </c>
      <c r="B41" s="102" t="s">
        <v>292</v>
      </c>
      <c r="C41" s="102" t="s">
        <v>293</v>
      </c>
      <c r="D41" s="102" t="s">
        <v>294</v>
      </c>
      <c r="E41" s="102" t="s">
        <v>295</v>
      </c>
      <c r="F41" s="103">
        <f>COUNTIFS(A2:A6,"&gt;10",B2:B6,"A")</f>
        <v>0</v>
      </c>
    </row>
    <row r="42" spans="1:6" ht="31.5" customHeight="1" thickBot="1" x14ac:dyDescent="0.4">
      <c r="A42" s="101">
        <v>8</v>
      </c>
      <c r="B42" s="102" t="s">
        <v>296</v>
      </c>
      <c r="C42" s="102" t="s">
        <v>297</v>
      </c>
      <c r="D42" s="102" t="s">
        <v>298</v>
      </c>
      <c r="E42" s="102" t="s">
        <v>299</v>
      </c>
      <c r="F42" s="103" t="e">
        <f>AVERAGEIF(A2:A6,"&gt;10")</f>
        <v>#DIV/0!</v>
      </c>
    </row>
    <row r="43" spans="1:6" ht="31.5" customHeight="1" x14ac:dyDescent="0.35">
      <c r="A43" s="104">
        <v>9</v>
      </c>
      <c r="B43" s="102" t="s">
        <v>300</v>
      </c>
      <c r="C43" s="102" t="s">
        <v>301</v>
      </c>
      <c r="D43" s="102" t="s">
        <v>302</v>
      </c>
      <c r="E43" s="102" t="s">
        <v>303</v>
      </c>
      <c r="F43" s="103" t="e">
        <f>AVERAGEIFS(A2:A6,B2:B6,"A")</f>
        <v>#DIV/0!</v>
      </c>
    </row>
    <row r="44" spans="1:6" ht="31.5" customHeight="1" thickBot="1" x14ac:dyDescent="0.4">
      <c r="A44" s="77">
        <v>10</v>
      </c>
      <c r="B44" s="78" t="s">
        <v>304</v>
      </c>
      <c r="C44" s="78" t="s">
        <v>305</v>
      </c>
      <c r="D44" s="78" t="s">
        <v>306</v>
      </c>
      <c r="E44" s="78" t="s">
        <v>307</v>
      </c>
      <c r="F44" s="79" t="s">
        <v>308</v>
      </c>
    </row>
    <row r="45" spans="1:6" ht="31.5" customHeight="1" x14ac:dyDescent="0.35">
      <c r="A45" s="104">
        <v>11</v>
      </c>
      <c r="B45" s="102" t="s">
        <v>310</v>
      </c>
      <c r="C45" s="102" t="s">
        <v>311</v>
      </c>
      <c r="D45" s="102" t="s">
        <v>312</v>
      </c>
      <c r="E45" s="102" t="s">
        <v>313</v>
      </c>
      <c r="F45" s="103">
        <f>SUMIF(A2:A6,"&gt;10",B2:B6)</f>
        <v>0</v>
      </c>
    </row>
    <row r="46" spans="1:6" ht="31.5" customHeight="1" thickBot="1" x14ac:dyDescent="0.4">
      <c r="A46" s="101">
        <v>12</v>
      </c>
      <c r="B46" s="102" t="s">
        <v>314</v>
      </c>
      <c r="C46" s="102" t="s">
        <v>315</v>
      </c>
      <c r="D46" s="102" t="s">
        <v>316</v>
      </c>
      <c r="E46" s="102" t="s">
        <v>317</v>
      </c>
      <c r="F46" s="103">
        <f>SUMIFS(B2:B6,A2:A6,"&gt;10")</f>
        <v>0</v>
      </c>
    </row>
    <row r="47" spans="1:6" ht="31.5" customHeight="1" x14ac:dyDescent="0.35">
      <c r="A47" s="97">
        <v>13</v>
      </c>
      <c r="B47" s="98" t="s">
        <v>318</v>
      </c>
      <c r="C47" s="98" t="s">
        <v>319</v>
      </c>
      <c r="D47" s="98" t="s">
        <v>320</v>
      </c>
      <c r="E47" s="98" t="s">
        <v>321</v>
      </c>
      <c r="F47" s="99">
        <f>LARGE(A2:A6,2)</f>
        <v>3</v>
      </c>
    </row>
    <row r="48" spans="1:6" ht="31.5" customHeight="1" thickBot="1" x14ac:dyDescent="0.4">
      <c r="A48" s="100">
        <v>14</v>
      </c>
      <c r="B48" s="98" t="s">
        <v>322</v>
      </c>
      <c r="C48" s="98" t="s">
        <v>323</v>
      </c>
      <c r="D48" s="98" t="s">
        <v>324</v>
      </c>
      <c r="E48" s="98" t="s">
        <v>325</v>
      </c>
      <c r="F48" s="99">
        <f>SMALL(A2:A6,2)</f>
        <v>2</v>
      </c>
    </row>
    <row r="49" spans="1:6" ht="31.5" customHeight="1" x14ac:dyDescent="0.35">
      <c r="A49" s="74">
        <v>15</v>
      </c>
      <c r="B49" s="78" t="s">
        <v>326</v>
      </c>
      <c r="C49" s="78" t="s">
        <v>327</v>
      </c>
      <c r="D49" s="78" t="s">
        <v>328</v>
      </c>
      <c r="E49" s="78" t="s">
        <v>329</v>
      </c>
      <c r="F49" s="79" t="e">
        <f>RANK(50,A2:A6)</f>
        <v>#N/A</v>
      </c>
    </row>
    <row r="50" spans="1:6" ht="31.5" customHeight="1" thickBot="1" x14ac:dyDescent="0.4">
      <c r="A50" s="101">
        <v>16</v>
      </c>
      <c r="B50" s="102" t="s">
        <v>330</v>
      </c>
      <c r="C50" s="102" t="s">
        <v>331</v>
      </c>
      <c r="D50" s="102" t="s">
        <v>332</v>
      </c>
      <c r="E50" s="102" t="s">
        <v>333</v>
      </c>
      <c r="F50" s="103" t="s">
        <v>334</v>
      </c>
    </row>
    <row r="51" spans="1:6" ht="31.5" customHeight="1" x14ac:dyDescent="0.35">
      <c r="A51" s="104">
        <v>17</v>
      </c>
      <c r="B51" s="102" t="s">
        <v>335</v>
      </c>
      <c r="C51" s="102" t="s">
        <v>336</v>
      </c>
      <c r="D51" s="102" t="s">
        <v>337</v>
      </c>
      <c r="E51" s="102" t="s">
        <v>338</v>
      </c>
      <c r="F51" s="103" t="s">
        <v>339</v>
      </c>
    </row>
    <row r="52" spans="1:6" ht="31.5" customHeight="1" thickBot="1" x14ac:dyDescent="0.4">
      <c r="A52" s="101">
        <v>18</v>
      </c>
      <c r="B52" s="102" t="s">
        <v>340</v>
      </c>
      <c r="C52" s="102" t="s">
        <v>341</v>
      </c>
      <c r="D52" s="102" t="s">
        <v>342</v>
      </c>
      <c r="E52" s="102" t="s">
        <v>343</v>
      </c>
      <c r="F52" s="103" t="s">
        <v>344</v>
      </c>
    </row>
    <row r="53" spans="1:6" ht="31.5" customHeight="1" x14ac:dyDescent="0.35">
      <c r="A53" s="104">
        <v>19</v>
      </c>
      <c r="B53" s="102" t="s">
        <v>345</v>
      </c>
      <c r="C53" s="102" t="s">
        <v>346</v>
      </c>
      <c r="D53" s="102" t="s">
        <v>347</v>
      </c>
      <c r="E53" s="102" t="s">
        <v>348</v>
      </c>
      <c r="F53" s="103" t="s">
        <v>349</v>
      </c>
    </row>
    <row r="54" spans="1:6" ht="31.5" customHeight="1" thickBot="1" x14ac:dyDescent="0.4">
      <c r="A54" s="101">
        <v>20</v>
      </c>
      <c r="B54" s="102" t="s">
        <v>350</v>
      </c>
      <c r="C54" s="102" t="s">
        <v>351</v>
      </c>
      <c r="D54" s="102" t="s">
        <v>352</v>
      </c>
      <c r="E54" s="102" t="s">
        <v>353</v>
      </c>
      <c r="F54" s="103" t="s">
        <v>354</v>
      </c>
    </row>
    <row r="55" spans="1:6" ht="31.5" customHeight="1" x14ac:dyDescent="0.35">
      <c r="A55" s="62">
        <v>21</v>
      </c>
      <c r="B55" s="66" t="s">
        <v>355</v>
      </c>
      <c r="C55" s="66" t="s">
        <v>356</v>
      </c>
      <c r="D55" s="66" t="s">
        <v>357</v>
      </c>
      <c r="E55" s="66" t="s">
        <v>358</v>
      </c>
      <c r="F55" s="67" t="s">
        <v>359</v>
      </c>
    </row>
    <row r="56" spans="1:6" ht="31.5" customHeight="1" thickBot="1" x14ac:dyDescent="0.4">
      <c r="A56" s="65">
        <v>22</v>
      </c>
      <c r="B56" s="66" t="s">
        <v>360</v>
      </c>
      <c r="C56" s="66" t="s">
        <v>361</v>
      </c>
      <c r="D56" s="66" t="s">
        <v>362</v>
      </c>
      <c r="E56" s="66" t="s">
        <v>363</v>
      </c>
      <c r="F56" s="67" t="s">
        <v>364</v>
      </c>
    </row>
    <row r="57" spans="1:6" ht="31.5" customHeight="1" x14ac:dyDescent="0.35">
      <c r="A57" s="80">
        <v>23</v>
      </c>
      <c r="B57" s="81" t="s">
        <v>365</v>
      </c>
      <c r="C57" s="81" t="s">
        <v>366</v>
      </c>
      <c r="D57" s="81" t="s">
        <v>367</v>
      </c>
      <c r="E57" s="81" t="s">
        <v>368</v>
      </c>
      <c r="F57" s="82">
        <f ca="1">RAND()</f>
        <v>0.27730609173326493</v>
      </c>
    </row>
    <row r="58" spans="1:6" ht="31.5" customHeight="1" thickBot="1" x14ac:dyDescent="0.4">
      <c r="A58" s="83">
        <v>24</v>
      </c>
      <c r="B58" s="81" t="s">
        <v>369</v>
      </c>
      <c r="C58" s="81" t="s">
        <v>370</v>
      </c>
      <c r="D58" s="81" t="s">
        <v>371</v>
      </c>
      <c r="E58" s="81" t="s">
        <v>372</v>
      </c>
      <c r="F58" s="82">
        <f ca="1">RANDBETWEEN(1,100)</f>
        <v>52</v>
      </c>
    </row>
    <row r="59" spans="1:6" ht="31.5" customHeight="1" x14ac:dyDescent="0.35">
      <c r="A59" s="80">
        <v>25</v>
      </c>
      <c r="B59" s="81" t="s">
        <v>373</v>
      </c>
      <c r="C59" s="81" t="s">
        <v>374</v>
      </c>
      <c r="D59" s="81" t="s">
        <v>375</v>
      </c>
      <c r="E59" s="81" t="s">
        <v>376</v>
      </c>
      <c r="F59" s="82" t="e" cm="1" vm="1">
        <f t="array" aca="1" ref="F59" ca="1">_xlfn.RANDARRAY(3,2,1,10,TRUE)</f>
        <v>#VALUE!</v>
      </c>
    </row>
    <row r="60" spans="1:6" ht="31.5" customHeight="1" thickBot="1" x14ac:dyDescent="0.4">
      <c r="A60" s="65">
        <v>26</v>
      </c>
      <c r="B60" s="66" t="s">
        <v>377</v>
      </c>
      <c r="C60" s="66" t="s">
        <v>378</v>
      </c>
      <c r="D60" s="66" t="s">
        <v>379</v>
      </c>
      <c r="E60" s="66" t="s">
        <v>380</v>
      </c>
      <c r="F60" s="67" t="s">
        <v>381</v>
      </c>
    </row>
    <row r="61" spans="1:6" ht="31.5" customHeight="1" x14ac:dyDescent="0.35">
      <c r="A61" s="62">
        <v>27</v>
      </c>
      <c r="B61" s="66" t="s">
        <v>382</v>
      </c>
      <c r="C61" s="66" t="s">
        <v>383</v>
      </c>
      <c r="D61" s="66" t="s">
        <v>384</v>
      </c>
      <c r="E61" s="66" t="s">
        <v>385</v>
      </c>
      <c r="F61" s="67" t="s">
        <v>386</v>
      </c>
    </row>
    <row r="62" spans="1:6" ht="31.5" customHeight="1" thickBot="1" x14ac:dyDescent="0.4">
      <c r="A62" s="65">
        <v>28</v>
      </c>
      <c r="B62" s="66" t="s">
        <v>387</v>
      </c>
      <c r="C62" s="66" t="s">
        <v>388</v>
      </c>
      <c r="D62" s="66" t="s">
        <v>389</v>
      </c>
      <c r="E62" s="66" t="s">
        <v>390</v>
      </c>
      <c r="F62" s="67" t="s">
        <v>391</v>
      </c>
    </row>
    <row r="63" spans="1:6" ht="34" customHeight="1" x14ac:dyDescent="0.35">
      <c r="A63" s="106">
        <v>29</v>
      </c>
      <c r="B63" s="107" t="s">
        <v>392</v>
      </c>
      <c r="C63" s="107" t="s">
        <v>393</v>
      </c>
      <c r="D63" s="107" t="s">
        <v>394</v>
      </c>
      <c r="E63" s="107" t="s">
        <v>395</v>
      </c>
      <c r="F63" s="108" t="s">
        <v>396</v>
      </c>
    </row>
    <row r="64" spans="1:6" x14ac:dyDescent="0.35">
      <c r="A64" s="66">
        <v>30</v>
      </c>
      <c r="B64" s="66" t="s">
        <v>899</v>
      </c>
      <c r="C64" s="66" t="s">
        <v>900</v>
      </c>
      <c r="D64" s="84"/>
      <c r="E64" s="84"/>
      <c r="F64" s="84"/>
    </row>
    <row r="68" spans="1:6" ht="15" thickBot="1" x14ac:dyDescent="0.4">
      <c r="A68" s="318" t="s">
        <v>534</v>
      </c>
      <c r="B68" s="318"/>
      <c r="C68" s="318"/>
      <c r="D68" s="318"/>
      <c r="E68" s="318"/>
      <c r="F68" s="318"/>
    </row>
    <row r="69" spans="1:6" ht="15" thickBot="1" x14ac:dyDescent="0.4">
      <c r="A69" s="59" t="s">
        <v>29</v>
      </c>
      <c r="B69" s="60" t="s">
        <v>30</v>
      </c>
      <c r="C69" s="60" t="s">
        <v>31</v>
      </c>
      <c r="D69" s="60" t="s">
        <v>32</v>
      </c>
      <c r="E69" s="60" t="s">
        <v>33</v>
      </c>
      <c r="F69" s="61" t="s">
        <v>34</v>
      </c>
    </row>
    <row r="70" spans="1:6" x14ac:dyDescent="0.35">
      <c r="A70" s="74">
        <v>1</v>
      </c>
      <c r="B70" s="75" t="s">
        <v>399</v>
      </c>
      <c r="C70" s="75" t="s">
        <v>400</v>
      </c>
      <c r="D70" s="75" t="s">
        <v>401</v>
      </c>
      <c r="E70" s="75" t="s">
        <v>402</v>
      </c>
      <c r="F70" s="76" t="s">
        <v>506</v>
      </c>
    </row>
    <row r="71" spans="1:6" ht="15" thickBot="1" x14ac:dyDescent="0.4">
      <c r="A71" s="77">
        <v>2</v>
      </c>
      <c r="B71" s="78" t="s">
        <v>403</v>
      </c>
      <c r="C71" s="78" t="s">
        <v>404</v>
      </c>
      <c r="D71" s="78" t="s">
        <v>405</v>
      </c>
      <c r="E71" s="78" t="s">
        <v>406</v>
      </c>
      <c r="F71" s="79" t="s">
        <v>507</v>
      </c>
    </row>
    <row r="72" spans="1:6" x14ac:dyDescent="0.35">
      <c r="A72" s="147">
        <v>3</v>
      </c>
      <c r="B72" s="148" t="s">
        <v>407</v>
      </c>
      <c r="C72" s="148" t="s">
        <v>408</v>
      </c>
      <c r="D72" s="148" t="s">
        <v>409</v>
      </c>
      <c r="E72" s="148" t="s">
        <v>410</v>
      </c>
      <c r="F72" s="149" t="s">
        <v>508</v>
      </c>
    </row>
    <row r="73" spans="1:6" ht="15" thickBot="1" x14ac:dyDescent="0.4">
      <c r="A73" s="150">
        <v>4</v>
      </c>
      <c r="B73" s="148" t="s">
        <v>411</v>
      </c>
      <c r="C73" s="148" t="s">
        <v>412</v>
      </c>
      <c r="D73" s="148" t="s">
        <v>413</v>
      </c>
      <c r="E73" s="148" t="s">
        <v>414</v>
      </c>
      <c r="F73" s="149" t="s">
        <v>509</v>
      </c>
    </row>
    <row r="74" spans="1:6" x14ac:dyDescent="0.35">
      <c r="A74" s="147">
        <v>5</v>
      </c>
      <c r="B74" s="148" t="s">
        <v>415</v>
      </c>
      <c r="C74" s="148" t="s">
        <v>416</v>
      </c>
      <c r="D74" s="148" t="s">
        <v>417</v>
      </c>
      <c r="E74" s="148" t="s">
        <v>418</v>
      </c>
      <c r="F74" s="149" t="s">
        <v>510</v>
      </c>
    </row>
    <row r="75" spans="1:6" ht="15" thickBot="1" x14ac:dyDescent="0.4">
      <c r="A75" s="150">
        <v>6</v>
      </c>
      <c r="B75" s="148" t="s">
        <v>419</v>
      </c>
      <c r="C75" s="148" t="s">
        <v>420</v>
      </c>
      <c r="D75" s="148" t="s">
        <v>421</v>
      </c>
      <c r="E75" s="148" t="s">
        <v>422</v>
      </c>
      <c r="F75" s="149" t="s">
        <v>511</v>
      </c>
    </row>
    <row r="76" spans="1:6" x14ac:dyDescent="0.35">
      <c r="A76" s="147">
        <v>7</v>
      </c>
      <c r="B76" s="148" t="s">
        <v>423</v>
      </c>
      <c r="C76" s="148" t="s">
        <v>424</v>
      </c>
      <c r="D76" s="148" t="s">
        <v>425</v>
      </c>
      <c r="E76" s="148" t="s">
        <v>426</v>
      </c>
      <c r="F76" s="149" t="s">
        <v>512</v>
      </c>
    </row>
    <row r="77" spans="1:6" ht="15" thickBot="1" x14ac:dyDescent="0.4">
      <c r="A77" s="150">
        <v>8</v>
      </c>
      <c r="B77" s="148" t="s">
        <v>427</v>
      </c>
      <c r="C77" s="148" t="s">
        <v>428</v>
      </c>
      <c r="D77" s="148" t="s">
        <v>429</v>
      </c>
      <c r="E77" s="148" t="s">
        <v>430</v>
      </c>
      <c r="F77" s="149" t="s">
        <v>513</v>
      </c>
    </row>
    <row r="78" spans="1:6" x14ac:dyDescent="0.35">
      <c r="A78" s="147">
        <v>9</v>
      </c>
      <c r="B78" s="148" t="s">
        <v>431</v>
      </c>
      <c r="C78" s="148" t="s">
        <v>432</v>
      </c>
      <c r="D78" s="148" t="s">
        <v>433</v>
      </c>
      <c r="E78" s="148" t="s">
        <v>430</v>
      </c>
      <c r="F78" s="149" t="s">
        <v>514</v>
      </c>
    </row>
    <row r="79" spans="1:6" ht="15" thickBot="1" x14ac:dyDescent="0.4">
      <c r="A79" s="150">
        <v>10</v>
      </c>
      <c r="B79" s="148" t="s">
        <v>434</v>
      </c>
      <c r="C79" s="148" t="s">
        <v>435</v>
      </c>
      <c r="D79" s="148" t="s">
        <v>436</v>
      </c>
      <c r="E79" s="148" t="s">
        <v>430</v>
      </c>
      <c r="F79" s="149" t="s">
        <v>515</v>
      </c>
    </row>
    <row r="80" spans="1:6" x14ac:dyDescent="0.35">
      <c r="A80" s="62">
        <v>11</v>
      </c>
      <c r="B80" s="66" t="s">
        <v>437</v>
      </c>
      <c r="C80" s="66" t="s">
        <v>438</v>
      </c>
      <c r="D80" s="66" t="s">
        <v>439</v>
      </c>
      <c r="E80" s="66" t="s">
        <v>440</v>
      </c>
      <c r="F80" s="67" t="s">
        <v>516</v>
      </c>
    </row>
    <row r="81" spans="1:6" ht="15" thickBot="1" x14ac:dyDescent="0.4">
      <c r="A81" s="65">
        <v>12</v>
      </c>
      <c r="B81" s="66" t="s">
        <v>441</v>
      </c>
      <c r="C81" s="66" t="s">
        <v>442</v>
      </c>
      <c r="D81" s="66" t="s">
        <v>443</v>
      </c>
      <c r="E81" s="66" t="s">
        <v>444</v>
      </c>
      <c r="F81" s="67" t="s">
        <v>517</v>
      </c>
    </row>
    <row r="82" spans="1:6" x14ac:dyDescent="0.35">
      <c r="A82" s="62">
        <v>13</v>
      </c>
      <c r="B82" s="66" t="s">
        <v>445</v>
      </c>
      <c r="C82" s="66" t="s">
        <v>446</v>
      </c>
      <c r="D82" s="66" t="s">
        <v>447</v>
      </c>
      <c r="E82" s="66" t="s">
        <v>448</v>
      </c>
      <c r="F82" s="67" t="s">
        <v>518</v>
      </c>
    </row>
    <row r="83" spans="1:6" ht="15" thickBot="1" x14ac:dyDescent="0.4">
      <c r="A83" s="100">
        <v>14</v>
      </c>
      <c r="B83" s="98" t="s">
        <v>449</v>
      </c>
      <c r="C83" s="98" t="s">
        <v>450</v>
      </c>
      <c r="D83" s="98" t="s">
        <v>451</v>
      </c>
      <c r="E83" s="98" t="s">
        <v>452</v>
      </c>
      <c r="F83" s="99" t="s">
        <v>519</v>
      </c>
    </row>
    <row r="84" spans="1:6" ht="29" x14ac:dyDescent="0.35">
      <c r="A84" s="97">
        <v>15</v>
      </c>
      <c r="B84" s="98" t="s">
        <v>453</v>
      </c>
      <c r="C84" s="98" t="s">
        <v>454</v>
      </c>
      <c r="D84" s="98" t="s">
        <v>455</v>
      </c>
      <c r="E84" s="98" t="s">
        <v>456</v>
      </c>
      <c r="F84" s="99" t="s">
        <v>520</v>
      </c>
    </row>
    <row r="85" spans="1:6" ht="15" thickBot="1" x14ac:dyDescent="0.4">
      <c r="A85" s="65">
        <v>16</v>
      </c>
      <c r="B85" s="66" t="s">
        <v>457</v>
      </c>
      <c r="C85" s="66" t="s">
        <v>458</v>
      </c>
      <c r="D85" s="66" t="s">
        <v>459</v>
      </c>
      <c r="E85" s="66" t="s">
        <v>460</v>
      </c>
      <c r="F85" s="67" t="s">
        <v>521</v>
      </c>
    </row>
    <row r="86" spans="1:6" x14ac:dyDescent="0.35">
      <c r="A86" s="157">
        <v>17</v>
      </c>
      <c r="B86" s="158" t="s">
        <v>461</v>
      </c>
      <c r="C86" s="158" t="s">
        <v>462</v>
      </c>
      <c r="D86" s="158" t="s">
        <v>463</v>
      </c>
      <c r="E86" s="158" t="s">
        <v>464</v>
      </c>
      <c r="F86" s="159" t="s">
        <v>522</v>
      </c>
    </row>
    <row r="87" spans="1:6" ht="15" thickBot="1" x14ac:dyDescent="0.4">
      <c r="A87" s="160">
        <v>18</v>
      </c>
      <c r="B87" s="158" t="s">
        <v>465</v>
      </c>
      <c r="C87" s="158" t="s">
        <v>466</v>
      </c>
      <c r="D87" s="158" t="s">
        <v>467</v>
      </c>
      <c r="E87" s="158" t="s">
        <v>468</v>
      </c>
      <c r="F87" s="159" t="s">
        <v>523</v>
      </c>
    </row>
    <row r="88" spans="1:6" ht="29" x14ac:dyDescent="0.35">
      <c r="A88" s="153">
        <v>19</v>
      </c>
      <c r="B88" s="154" t="s">
        <v>469</v>
      </c>
      <c r="C88" s="154" t="s">
        <v>470</v>
      </c>
      <c r="D88" s="154" t="s">
        <v>471</v>
      </c>
      <c r="E88" s="154" t="s">
        <v>472</v>
      </c>
      <c r="F88" s="155" t="s">
        <v>524</v>
      </c>
    </row>
    <row r="89" spans="1:6" ht="44" thickBot="1" x14ac:dyDescent="0.4">
      <c r="A89" s="156">
        <v>20</v>
      </c>
      <c r="B89" s="154" t="s">
        <v>473</v>
      </c>
      <c r="C89" s="154" t="s">
        <v>474</v>
      </c>
      <c r="D89" s="154" t="s">
        <v>475</v>
      </c>
      <c r="E89" s="154" t="s">
        <v>476</v>
      </c>
      <c r="F89" s="155" t="s">
        <v>525</v>
      </c>
    </row>
    <row r="90" spans="1:6" ht="29" x14ac:dyDescent="0.35">
      <c r="A90" s="97">
        <v>21</v>
      </c>
      <c r="B90" s="98" t="s">
        <v>477</v>
      </c>
      <c r="C90" s="98" t="s">
        <v>478</v>
      </c>
      <c r="D90" s="98" t="s">
        <v>479</v>
      </c>
      <c r="E90" s="98" t="s">
        <v>480</v>
      </c>
      <c r="F90" s="99" t="s">
        <v>526</v>
      </c>
    </row>
    <row r="91" spans="1:6" ht="29.5" thickBot="1" x14ac:dyDescent="0.4">
      <c r="A91" s="100">
        <v>22</v>
      </c>
      <c r="B91" s="98" t="s">
        <v>481</v>
      </c>
      <c r="C91" s="98" t="s">
        <v>482</v>
      </c>
      <c r="D91" s="98" t="s">
        <v>483</v>
      </c>
      <c r="E91" s="98" t="s">
        <v>484</v>
      </c>
      <c r="F91" s="99" t="s">
        <v>527</v>
      </c>
    </row>
    <row r="92" spans="1:6" x14ac:dyDescent="0.35">
      <c r="A92" s="62">
        <v>23</v>
      </c>
      <c r="B92" s="66" t="s">
        <v>485</v>
      </c>
      <c r="C92" s="66" t="s">
        <v>486</v>
      </c>
      <c r="D92" s="66" t="s">
        <v>487</v>
      </c>
      <c r="E92" s="66" t="s">
        <v>488</v>
      </c>
      <c r="F92" s="67" t="s">
        <v>528</v>
      </c>
    </row>
    <row r="93" spans="1:6" ht="29.5" thickBot="1" x14ac:dyDescent="0.4">
      <c r="A93" s="65">
        <v>24</v>
      </c>
      <c r="B93" s="66" t="s">
        <v>95</v>
      </c>
      <c r="C93" s="66" t="s">
        <v>489</v>
      </c>
      <c r="D93" s="66" t="s">
        <v>490</v>
      </c>
      <c r="E93" s="66" t="s">
        <v>491</v>
      </c>
      <c r="F93" s="67" t="s">
        <v>529</v>
      </c>
    </row>
    <row r="94" spans="1:6" x14ac:dyDescent="0.35">
      <c r="A94" s="167">
        <v>25</v>
      </c>
      <c r="B94" s="168" t="s">
        <v>492</v>
      </c>
      <c r="C94" s="168" t="s">
        <v>493</v>
      </c>
      <c r="D94" s="168" t="s">
        <v>494</v>
      </c>
      <c r="E94" s="168" t="s">
        <v>495</v>
      </c>
      <c r="F94" s="169" t="s">
        <v>530</v>
      </c>
    </row>
    <row r="95" spans="1:6" ht="29.5" thickBot="1" x14ac:dyDescent="0.4">
      <c r="A95" s="170">
        <v>26</v>
      </c>
      <c r="B95" s="168" t="s">
        <v>496</v>
      </c>
      <c r="C95" s="168" t="s">
        <v>497</v>
      </c>
      <c r="D95" s="168" t="s">
        <v>498</v>
      </c>
      <c r="E95" s="168" t="s">
        <v>499</v>
      </c>
      <c r="F95" s="169" t="s">
        <v>531</v>
      </c>
    </row>
    <row r="96" spans="1:6" x14ac:dyDescent="0.35">
      <c r="A96" s="163">
        <v>27</v>
      </c>
      <c r="B96" s="164" t="s">
        <v>500</v>
      </c>
      <c r="C96" s="164" t="s">
        <v>500</v>
      </c>
      <c r="D96" s="164" t="s">
        <v>501</v>
      </c>
      <c r="E96" s="164" t="s">
        <v>502</v>
      </c>
      <c r="F96" s="165" t="s">
        <v>532</v>
      </c>
    </row>
    <row r="97" spans="1:6" ht="15" thickBot="1" x14ac:dyDescent="0.4">
      <c r="A97" s="166">
        <v>28</v>
      </c>
      <c r="B97" s="164" t="s">
        <v>503</v>
      </c>
      <c r="C97" s="164" t="s">
        <v>503</v>
      </c>
      <c r="D97" s="164" t="s">
        <v>504</v>
      </c>
      <c r="E97" s="164" t="s">
        <v>505</v>
      </c>
      <c r="F97" s="165" t="s">
        <v>533</v>
      </c>
    </row>
    <row r="98" spans="1:6" ht="15" thickBot="1" x14ac:dyDescent="0.4">
      <c r="A98" s="62"/>
      <c r="B98" s="68"/>
      <c r="C98" s="68"/>
      <c r="D98" s="68"/>
      <c r="E98" s="68"/>
      <c r="F98" s="69"/>
    </row>
    <row r="102" spans="1:6" ht="15" thickBot="1" x14ac:dyDescent="0.4">
      <c r="A102" s="318" t="s">
        <v>614</v>
      </c>
      <c r="B102" s="318"/>
      <c r="C102" s="318"/>
      <c r="D102" s="318"/>
      <c r="E102" s="318"/>
      <c r="F102" s="318"/>
    </row>
    <row r="103" spans="1:6" ht="15" thickBot="1" x14ac:dyDescent="0.4">
      <c r="A103" s="59" t="s">
        <v>29</v>
      </c>
      <c r="B103" s="60" t="s">
        <v>30</v>
      </c>
      <c r="C103" s="60" t="s">
        <v>31</v>
      </c>
      <c r="D103" s="60" t="s">
        <v>32</v>
      </c>
      <c r="E103" s="60" t="s">
        <v>33</v>
      </c>
      <c r="F103" s="61" t="s">
        <v>34</v>
      </c>
    </row>
    <row r="104" spans="1:6" ht="29" x14ac:dyDescent="0.35">
      <c r="A104" s="163">
        <v>1</v>
      </c>
      <c r="B104" s="187" t="s">
        <v>535</v>
      </c>
      <c r="C104" s="187" t="s">
        <v>536</v>
      </c>
      <c r="D104" s="187" t="s">
        <v>537</v>
      </c>
      <c r="E104" s="187" t="s">
        <v>538</v>
      </c>
      <c r="F104" s="188" t="str">
        <f>IF(A1&gt;50,"Pass","Fail")</f>
        <v>Pass</v>
      </c>
    </row>
    <row r="105" spans="1:6" ht="29.5" thickBot="1" x14ac:dyDescent="0.4">
      <c r="A105" s="166">
        <v>2</v>
      </c>
      <c r="B105" s="164" t="s">
        <v>539</v>
      </c>
      <c r="C105" s="164" t="s">
        <v>540</v>
      </c>
      <c r="D105" s="164" t="s">
        <v>541</v>
      </c>
      <c r="E105" s="164" t="s">
        <v>542</v>
      </c>
      <c r="F105" s="165" t="str" cm="1">
        <f t="array" ref="F105">_xlfn.IFS(A1&gt;90,"A",A1&gt;50,"B")</f>
        <v>A</v>
      </c>
    </row>
    <row r="106" spans="1:6" ht="29" x14ac:dyDescent="0.35">
      <c r="A106" s="74">
        <v>3</v>
      </c>
      <c r="B106" s="78" t="s">
        <v>543</v>
      </c>
      <c r="C106" s="78" t="s">
        <v>544</v>
      </c>
      <c r="D106" s="78" t="s">
        <v>545</v>
      </c>
      <c r="E106" s="78" t="s">
        <v>546</v>
      </c>
      <c r="F106" s="79" t="b">
        <f>AND(A1&gt;50,B1&gt;50)</f>
        <v>0</v>
      </c>
    </row>
    <row r="107" spans="1:6" ht="15" thickBot="1" x14ac:dyDescent="0.4">
      <c r="A107" s="77">
        <v>4</v>
      </c>
      <c r="B107" s="78" t="s">
        <v>547</v>
      </c>
      <c r="C107" s="78" t="s">
        <v>548</v>
      </c>
      <c r="D107" s="78" t="s">
        <v>549</v>
      </c>
      <c r="E107" s="78" t="s">
        <v>550</v>
      </c>
      <c r="F107" s="79" t="b">
        <f>OR(A1&gt;50,B1&gt;50)</f>
        <v>1</v>
      </c>
    </row>
    <row r="108" spans="1:6" x14ac:dyDescent="0.35">
      <c r="A108" s="62">
        <v>5</v>
      </c>
      <c r="B108" s="66" t="s">
        <v>551</v>
      </c>
      <c r="C108" s="66" t="s">
        <v>552</v>
      </c>
      <c r="D108" s="66" t="s">
        <v>553</v>
      </c>
      <c r="E108" s="66" t="s">
        <v>554</v>
      </c>
      <c r="F108" s="67" t="b">
        <f>NOT(A1&gt;50)</f>
        <v>0</v>
      </c>
    </row>
    <row r="109" spans="1:6" ht="29.5" thickBot="1" x14ac:dyDescent="0.4">
      <c r="A109" s="166">
        <v>6</v>
      </c>
      <c r="B109" s="164" t="s">
        <v>555</v>
      </c>
      <c r="C109" s="164" t="s">
        <v>556</v>
      </c>
      <c r="D109" s="164" t="s">
        <v>557</v>
      </c>
      <c r="E109" s="164" t="s">
        <v>558</v>
      </c>
      <c r="F109" s="165" t="str">
        <f>IFERROR(A1/B1,"Error")</f>
        <v>Error</v>
      </c>
    </row>
    <row r="110" spans="1:6" ht="29" x14ac:dyDescent="0.35">
      <c r="A110" s="62">
        <v>7</v>
      </c>
      <c r="B110" s="66" t="s">
        <v>559</v>
      </c>
      <c r="C110" s="66" t="s">
        <v>560</v>
      </c>
      <c r="D110" s="66" t="s">
        <v>561</v>
      </c>
      <c r="E110" s="66" t="s">
        <v>562</v>
      </c>
      <c r="F110" s="67" t="s">
        <v>563</v>
      </c>
    </row>
    <row r="111" spans="1:6" ht="29.5" thickBot="1" x14ac:dyDescent="0.4">
      <c r="A111" s="166">
        <v>8</v>
      </c>
      <c r="B111" s="164" t="s">
        <v>564</v>
      </c>
      <c r="C111" s="164" t="s">
        <v>565</v>
      </c>
      <c r="D111" s="164" t="s">
        <v>566</v>
      </c>
      <c r="E111" s="164" t="s">
        <v>567</v>
      </c>
      <c r="F111" s="165" t="e" cm="1">
        <f t="array" ref="F111">_xlfn.SWITCH(A1,1,"One",2,"Two")</f>
        <v>#N/A</v>
      </c>
    </row>
    <row r="112" spans="1:6" x14ac:dyDescent="0.35">
      <c r="A112" s="62">
        <v>9</v>
      </c>
      <c r="B112" s="66" t="b">
        <v>1</v>
      </c>
      <c r="C112" s="66" t="s">
        <v>568</v>
      </c>
      <c r="D112" s="66" t="s">
        <v>569</v>
      </c>
      <c r="E112" s="66" t="s">
        <v>570</v>
      </c>
      <c r="F112" s="67" t="b">
        <f>TRUE()</f>
        <v>1</v>
      </c>
    </row>
    <row r="113" spans="1:6" ht="15" thickBot="1" x14ac:dyDescent="0.4">
      <c r="A113" s="65">
        <v>10</v>
      </c>
      <c r="B113" s="66" t="b">
        <v>0</v>
      </c>
      <c r="C113" s="66" t="s">
        <v>571</v>
      </c>
      <c r="D113" s="66" t="s">
        <v>572</v>
      </c>
      <c r="E113" s="66" t="s">
        <v>570</v>
      </c>
      <c r="F113" s="67" t="b">
        <f>FALSE()</f>
        <v>0</v>
      </c>
    </row>
    <row r="114" spans="1:6" x14ac:dyDescent="0.35">
      <c r="A114" s="189">
        <v>11</v>
      </c>
      <c r="B114" s="190" t="s">
        <v>573</v>
      </c>
      <c r="C114" s="190" t="s">
        <v>574</v>
      </c>
      <c r="D114" s="190" t="s">
        <v>575</v>
      </c>
      <c r="E114" s="190" t="s">
        <v>576</v>
      </c>
      <c r="F114" s="191" t="b">
        <f>ISBLANK(A1)</f>
        <v>0</v>
      </c>
    </row>
    <row r="115" spans="1:6" ht="15" thickBot="1" x14ac:dyDescent="0.4">
      <c r="A115" s="192">
        <v>12</v>
      </c>
      <c r="B115" s="190" t="s">
        <v>577</v>
      </c>
      <c r="C115" s="190" t="s">
        <v>578</v>
      </c>
      <c r="D115" s="190" t="s">
        <v>579</v>
      </c>
      <c r="E115" s="190" t="s">
        <v>580</v>
      </c>
      <c r="F115" s="191" t="b">
        <f>ISNUMBER(A1)</f>
        <v>0</v>
      </c>
    </row>
    <row r="116" spans="1:6" x14ac:dyDescent="0.35">
      <c r="A116" s="189">
        <v>13</v>
      </c>
      <c r="B116" s="190" t="s">
        <v>581</v>
      </c>
      <c r="C116" s="190" t="s">
        <v>582</v>
      </c>
      <c r="D116" s="190" t="s">
        <v>583</v>
      </c>
      <c r="E116" s="190" t="s">
        <v>584</v>
      </c>
      <c r="F116" s="191" t="b">
        <f>ISTEXT(A1)</f>
        <v>1</v>
      </c>
    </row>
    <row r="117" spans="1:6" ht="15" thickBot="1" x14ac:dyDescent="0.4">
      <c r="A117" s="192">
        <v>14</v>
      </c>
      <c r="B117" s="190" t="s">
        <v>585</v>
      </c>
      <c r="C117" s="190" t="s">
        <v>586</v>
      </c>
      <c r="D117" s="190" t="s">
        <v>587</v>
      </c>
      <c r="E117" s="190" t="s">
        <v>588</v>
      </c>
      <c r="F117" s="191" t="b">
        <f>ISERROR(A1)</f>
        <v>0</v>
      </c>
    </row>
    <row r="118" spans="1:6" x14ac:dyDescent="0.35">
      <c r="A118" s="189">
        <v>15</v>
      </c>
      <c r="B118" s="190" t="s">
        <v>589</v>
      </c>
      <c r="C118" s="190" t="s">
        <v>590</v>
      </c>
      <c r="D118" s="190" t="s">
        <v>591</v>
      </c>
      <c r="E118" s="190" t="s">
        <v>592</v>
      </c>
      <c r="F118" s="191" t="b">
        <f>ISNA(A1)</f>
        <v>0</v>
      </c>
    </row>
    <row r="119" spans="1:6" ht="29.5" thickBot="1" x14ac:dyDescent="0.4">
      <c r="A119" s="192">
        <v>16</v>
      </c>
      <c r="B119" s="190" t="s">
        <v>593</v>
      </c>
      <c r="C119" s="190" t="s">
        <v>594</v>
      </c>
      <c r="D119" s="190" t="s">
        <v>595</v>
      </c>
      <c r="E119" s="190" t="s">
        <v>596</v>
      </c>
      <c r="F119" s="191" t="b">
        <f>ISLOGICAL(A1)</f>
        <v>0</v>
      </c>
    </row>
    <row r="120" spans="1:6" x14ac:dyDescent="0.35">
      <c r="A120" s="189">
        <v>17</v>
      </c>
      <c r="B120" s="190" t="s">
        <v>597</v>
      </c>
      <c r="C120" s="190" t="s">
        <v>598</v>
      </c>
      <c r="D120" s="190" t="s">
        <v>599</v>
      </c>
      <c r="E120" s="190" t="s">
        <v>600</v>
      </c>
      <c r="F120" s="191" t="b">
        <f>_xlfn.ISFORMULA(A1)</f>
        <v>0</v>
      </c>
    </row>
    <row r="121" spans="1:6" ht="15" thickBot="1" x14ac:dyDescent="0.4">
      <c r="A121" s="65">
        <v>18</v>
      </c>
      <c r="B121" s="66" t="s">
        <v>601</v>
      </c>
      <c r="C121" s="66" t="s">
        <v>602</v>
      </c>
      <c r="D121" s="66" t="s">
        <v>603</v>
      </c>
      <c r="E121" s="66" t="s">
        <v>604</v>
      </c>
      <c r="F121" s="67" t="b">
        <f>EXACT("Excel","excel")</f>
        <v>0</v>
      </c>
    </row>
    <row r="122" spans="1:6" ht="29" x14ac:dyDescent="0.35">
      <c r="A122" s="62">
        <v>19</v>
      </c>
      <c r="B122" s="66" t="s">
        <v>605</v>
      </c>
      <c r="C122" s="66" t="s">
        <v>606</v>
      </c>
      <c r="D122" s="66" t="s">
        <v>607</v>
      </c>
      <c r="E122" s="66" t="s">
        <v>608</v>
      </c>
      <c r="F122" s="67" t="b">
        <f>_xlfn.XOR(A1&gt;50,B1&gt;50)</f>
        <v>1</v>
      </c>
    </row>
    <row r="123" spans="1:6" ht="29" x14ac:dyDescent="0.35">
      <c r="A123" s="65">
        <v>20</v>
      </c>
      <c r="B123" s="66" t="s">
        <v>609</v>
      </c>
      <c r="C123" s="66" t="s">
        <v>610</v>
      </c>
      <c r="D123" s="66" t="s">
        <v>611</v>
      </c>
      <c r="E123" s="66" t="s">
        <v>612</v>
      </c>
      <c r="F123" s="67" t="s">
        <v>613</v>
      </c>
    </row>
    <row r="130" spans="1:6" ht="15" thickBot="1" x14ac:dyDescent="0.4">
      <c r="A130" s="318" t="s">
        <v>695</v>
      </c>
      <c r="B130" s="318"/>
      <c r="C130" s="318"/>
      <c r="D130" s="318"/>
      <c r="E130" s="318"/>
      <c r="F130" s="318"/>
    </row>
    <row r="131" spans="1:6" ht="15" thickBot="1" x14ac:dyDescent="0.4">
      <c r="A131" s="59" t="s">
        <v>29</v>
      </c>
      <c r="B131" s="60" t="s">
        <v>30</v>
      </c>
      <c r="C131" s="60" t="s">
        <v>31</v>
      </c>
      <c r="D131" s="60" t="s">
        <v>32</v>
      </c>
      <c r="E131" s="60" t="s">
        <v>33</v>
      </c>
      <c r="F131" s="61" t="s">
        <v>34</v>
      </c>
    </row>
    <row r="132" spans="1:6" ht="43.5" x14ac:dyDescent="0.35">
      <c r="A132" s="62">
        <v>1</v>
      </c>
      <c r="B132" s="63" t="s">
        <v>615</v>
      </c>
      <c r="C132" s="63" t="s">
        <v>616</v>
      </c>
      <c r="D132" s="63" t="s">
        <v>617</v>
      </c>
      <c r="E132" s="63" t="s">
        <v>618</v>
      </c>
      <c r="F132" s="64" t="s">
        <v>696</v>
      </c>
    </row>
    <row r="133" spans="1:6" ht="44" thickBot="1" x14ac:dyDescent="0.4">
      <c r="A133" s="65">
        <v>2</v>
      </c>
      <c r="B133" s="66" t="s">
        <v>619</v>
      </c>
      <c r="C133" s="66" t="s">
        <v>620</v>
      </c>
      <c r="D133" s="66" t="s">
        <v>621</v>
      </c>
      <c r="E133" s="66" t="s">
        <v>622</v>
      </c>
      <c r="F133" s="67" t="s">
        <v>697</v>
      </c>
    </row>
    <row r="134" spans="1:6" ht="43.5" x14ac:dyDescent="0.35">
      <c r="A134" s="62">
        <v>3</v>
      </c>
      <c r="B134" s="66" t="s">
        <v>623</v>
      </c>
      <c r="C134" s="66" t="s">
        <v>624</v>
      </c>
      <c r="D134" s="66" t="s">
        <v>625</v>
      </c>
      <c r="E134" s="66" t="s">
        <v>83</v>
      </c>
      <c r="F134" s="67" t="s">
        <v>698</v>
      </c>
    </row>
    <row r="135" spans="1:6" ht="44" thickBot="1" x14ac:dyDescent="0.4">
      <c r="A135" s="65">
        <v>4</v>
      </c>
      <c r="B135" s="66" t="s">
        <v>626</v>
      </c>
      <c r="C135" s="66" t="s">
        <v>627</v>
      </c>
      <c r="D135" s="66" t="s">
        <v>628</v>
      </c>
      <c r="E135" s="66" t="s">
        <v>629</v>
      </c>
      <c r="F135" s="67" t="s">
        <v>699</v>
      </c>
    </row>
    <row r="136" spans="1:6" ht="29" x14ac:dyDescent="0.35">
      <c r="A136" s="62">
        <v>5</v>
      </c>
      <c r="B136" s="66" t="s">
        <v>630</v>
      </c>
      <c r="C136" s="66" t="s">
        <v>631</v>
      </c>
      <c r="D136" s="66" t="s">
        <v>632</v>
      </c>
      <c r="E136" s="66" t="s">
        <v>633</v>
      </c>
      <c r="F136" s="67" t="s">
        <v>700</v>
      </c>
    </row>
    <row r="137" spans="1:6" ht="29.5" thickBot="1" x14ac:dyDescent="0.4">
      <c r="A137" s="65">
        <v>6</v>
      </c>
      <c r="B137" s="66" t="s">
        <v>634</v>
      </c>
      <c r="C137" s="66" t="s">
        <v>635</v>
      </c>
      <c r="D137" s="66" t="s">
        <v>636</v>
      </c>
      <c r="E137" s="66" t="s">
        <v>637</v>
      </c>
      <c r="F137" s="67" t="s">
        <v>701</v>
      </c>
    </row>
    <row r="138" spans="1:6" ht="43.5" x14ac:dyDescent="0.35">
      <c r="A138" s="62">
        <v>7</v>
      </c>
      <c r="B138" s="66" t="s">
        <v>638</v>
      </c>
      <c r="C138" s="66" t="s">
        <v>639</v>
      </c>
      <c r="D138" s="66" t="s">
        <v>640</v>
      </c>
      <c r="E138" s="66" t="s">
        <v>641</v>
      </c>
      <c r="F138" s="67" t="s">
        <v>702</v>
      </c>
    </row>
    <row r="139" spans="1:6" ht="29.5" thickBot="1" x14ac:dyDescent="0.4">
      <c r="A139" s="65">
        <v>8</v>
      </c>
      <c r="B139" s="66" t="s">
        <v>642</v>
      </c>
      <c r="C139" s="66" t="s">
        <v>643</v>
      </c>
      <c r="D139" s="66" t="s">
        <v>644</v>
      </c>
      <c r="E139" s="66" t="s">
        <v>645</v>
      </c>
      <c r="F139" s="67" t="s">
        <v>703</v>
      </c>
    </row>
    <row r="140" spans="1:6" ht="29" x14ac:dyDescent="0.35">
      <c r="A140" s="62">
        <v>9</v>
      </c>
      <c r="B140" s="66" t="s">
        <v>646</v>
      </c>
      <c r="C140" s="66" t="s">
        <v>647</v>
      </c>
      <c r="D140" s="66" t="s">
        <v>648</v>
      </c>
      <c r="E140" s="66" t="s">
        <v>649</v>
      </c>
      <c r="F140" s="67" t="s">
        <v>704</v>
      </c>
    </row>
    <row r="141" spans="1:6" ht="29.5" thickBot="1" x14ac:dyDescent="0.4">
      <c r="A141" s="65">
        <v>10</v>
      </c>
      <c r="B141" s="66" t="s">
        <v>650</v>
      </c>
      <c r="C141" s="66" t="s">
        <v>651</v>
      </c>
      <c r="D141" s="66" t="s">
        <v>652</v>
      </c>
      <c r="E141" s="66" t="s">
        <v>653</v>
      </c>
      <c r="F141" s="67" t="s">
        <v>705</v>
      </c>
    </row>
    <row r="142" spans="1:6" ht="29" x14ac:dyDescent="0.35">
      <c r="A142" s="62">
        <v>11</v>
      </c>
      <c r="B142" s="66" t="s">
        <v>654</v>
      </c>
      <c r="C142" s="66" t="s">
        <v>655</v>
      </c>
      <c r="D142" s="66" t="s">
        <v>656</v>
      </c>
      <c r="E142" s="66" t="s">
        <v>657</v>
      </c>
      <c r="F142" s="67" t="s">
        <v>706</v>
      </c>
    </row>
    <row r="143" spans="1:6" ht="15" thickBot="1" x14ac:dyDescent="0.4">
      <c r="A143" s="65" t="s">
        <v>658</v>
      </c>
      <c r="B143" s="66" t="s">
        <v>659</v>
      </c>
      <c r="C143" s="66" t="s">
        <v>660</v>
      </c>
      <c r="D143" s="66" t="s">
        <v>661</v>
      </c>
      <c r="E143" s="66" t="s">
        <v>662</v>
      </c>
      <c r="F143" s="67" t="s">
        <v>707</v>
      </c>
    </row>
    <row r="144" spans="1:6" x14ac:dyDescent="0.35">
      <c r="A144" s="62" t="s">
        <v>309</v>
      </c>
      <c r="B144" s="66" t="s">
        <v>663</v>
      </c>
      <c r="C144" s="66" t="s">
        <v>664</v>
      </c>
      <c r="D144" s="66" t="s">
        <v>665</v>
      </c>
      <c r="E144" s="66" t="s">
        <v>662</v>
      </c>
      <c r="F144" s="67" t="s">
        <v>708</v>
      </c>
    </row>
    <row r="145" spans="1:6" ht="15" thickBot="1" x14ac:dyDescent="0.4">
      <c r="A145" s="65" t="s">
        <v>666</v>
      </c>
      <c r="B145" s="66" t="s">
        <v>667</v>
      </c>
      <c r="C145" s="66" t="s">
        <v>668</v>
      </c>
      <c r="D145" s="66" t="s">
        <v>669</v>
      </c>
      <c r="E145" s="66" t="s">
        <v>670</v>
      </c>
      <c r="F145" s="67" t="s">
        <v>709</v>
      </c>
    </row>
    <row r="146" spans="1:6" x14ac:dyDescent="0.35">
      <c r="A146" s="62">
        <v>15</v>
      </c>
      <c r="B146" s="66" t="s">
        <v>671</v>
      </c>
      <c r="C146" s="66" t="s">
        <v>672</v>
      </c>
      <c r="D146" s="66" t="s">
        <v>673</v>
      </c>
      <c r="E146" s="66" t="s">
        <v>670</v>
      </c>
      <c r="F146" s="67" t="s">
        <v>710</v>
      </c>
    </row>
    <row r="147" spans="1:6" ht="29.5" thickBot="1" x14ac:dyDescent="0.4">
      <c r="A147" s="65">
        <v>16</v>
      </c>
      <c r="B147" s="66" t="s">
        <v>674</v>
      </c>
      <c r="C147" s="66" t="s">
        <v>675</v>
      </c>
      <c r="D147" s="66" t="s">
        <v>676</v>
      </c>
      <c r="E147" s="66" t="s">
        <v>677</v>
      </c>
      <c r="F147" s="67" t="s">
        <v>711</v>
      </c>
    </row>
    <row r="148" spans="1:6" x14ac:dyDescent="0.35">
      <c r="A148" s="62" t="s">
        <v>678</v>
      </c>
      <c r="B148" s="66" t="s">
        <v>679</v>
      </c>
      <c r="C148" s="66" t="s">
        <v>680</v>
      </c>
      <c r="D148" s="66" t="s">
        <v>681</v>
      </c>
      <c r="E148" s="66" t="s">
        <v>682</v>
      </c>
      <c r="F148" s="67" t="s">
        <v>712</v>
      </c>
    </row>
    <row r="149" spans="1:6" ht="29.5" thickBot="1" x14ac:dyDescent="0.4">
      <c r="A149" s="65">
        <v>18</v>
      </c>
      <c r="B149" s="66" t="s">
        <v>683</v>
      </c>
      <c r="C149" s="66" t="s">
        <v>684</v>
      </c>
      <c r="D149" s="66" t="s">
        <v>685</v>
      </c>
      <c r="E149" s="66" t="s">
        <v>686</v>
      </c>
      <c r="F149" s="67" t="s">
        <v>713</v>
      </c>
    </row>
    <row r="150" spans="1:6" x14ac:dyDescent="0.35">
      <c r="A150" s="62">
        <v>19</v>
      </c>
      <c r="B150" s="66" t="s">
        <v>687</v>
      </c>
      <c r="C150" s="66" t="s">
        <v>688</v>
      </c>
      <c r="D150" s="66" t="s">
        <v>689</v>
      </c>
      <c r="E150" s="66" t="s">
        <v>690</v>
      </c>
      <c r="F150" s="67" t="s">
        <v>714</v>
      </c>
    </row>
    <row r="151" spans="1:6" x14ac:dyDescent="0.35">
      <c r="A151" s="65">
        <v>20</v>
      </c>
      <c r="B151" s="66" t="s">
        <v>691</v>
      </c>
      <c r="C151" s="66" t="s">
        <v>692</v>
      </c>
      <c r="D151" s="66" t="s">
        <v>693</v>
      </c>
      <c r="E151" s="66" t="s">
        <v>694</v>
      </c>
      <c r="F151" s="67" t="s">
        <v>715</v>
      </c>
    </row>
    <row r="155" spans="1:6" ht="15" thickBot="1" x14ac:dyDescent="0.4">
      <c r="A155" s="318" t="s">
        <v>757</v>
      </c>
      <c r="B155" s="318"/>
      <c r="C155" s="318"/>
      <c r="D155" s="318"/>
      <c r="E155" s="318"/>
      <c r="F155" s="318"/>
    </row>
    <row r="156" spans="1:6" ht="15" thickBot="1" x14ac:dyDescent="0.4">
      <c r="A156" s="59" t="s">
        <v>29</v>
      </c>
      <c r="B156" s="60" t="s">
        <v>30</v>
      </c>
      <c r="C156" s="60" t="s">
        <v>31</v>
      </c>
      <c r="D156" s="60" t="s">
        <v>32</v>
      </c>
      <c r="E156" s="60" t="s">
        <v>33</v>
      </c>
      <c r="F156" s="61" t="s">
        <v>34</v>
      </c>
    </row>
    <row r="157" spans="1:6" ht="29" x14ac:dyDescent="0.35">
      <c r="A157" s="62">
        <v>1</v>
      </c>
      <c r="B157" s="63" t="s">
        <v>716</v>
      </c>
      <c r="C157" s="63" t="s">
        <v>717</v>
      </c>
      <c r="D157" s="63" t="s">
        <v>718</v>
      </c>
      <c r="E157" s="63" t="s">
        <v>719</v>
      </c>
      <c r="F157" s="64" t="str">
        <f>IF(A1&gt;90,"A",IF(A1&gt;50,"B","C"))</f>
        <v>A</v>
      </c>
    </row>
    <row r="158" spans="1:6" ht="29.5" thickBot="1" x14ac:dyDescent="0.4">
      <c r="A158" s="65">
        <v>2</v>
      </c>
      <c r="B158" s="66" t="s">
        <v>720</v>
      </c>
      <c r="C158" s="66" t="s">
        <v>721</v>
      </c>
      <c r="D158" s="66" t="s">
        <v>722</v>
      </c>
      <c r="E158" s="66" t="s">
        <v>723</v>
      </c>
      <c r="F158" s="67" t="s">
        <v>724</v>
      </c>
    </row>
    <row r="159" spans="1:6" ht="29" x14ac:dyDescent="0.35">
      <c r="A159" s="62">
        <v>3</v>
      </c>
      <c r="B159" s="66" t="s">
        <v>725</v>
      </c>
      <c r="C159" s="66" t="s">
        <v>726</v>
      </c>
      <c r="D159" s="66" t="s">
        <v>727</v>
      </c>
      <c r="E159" s="66" t="s">
        <v>728</v>
      </c>
      <c r="F159" s="67" t="str">
        <f>IF(AND(A1&gt;50,B1&gt;50),"Pass","Fail")</f>
        <v>Fail</v>
      </c>
    </row>
    <row r="160" spans="1:6" ht="29.5" thickBot="1" x14ac:dyDescent="0.4">
      <c r="A160" s="65">
        <v>4</v>
      </c>
      <c r="B160" s="66" t="s">
        <v>729</v>
      </c>
      <c r="C160" s="66" t="s">
        <v>730</v>
      </c>
      <c r="D160" s="66" t="s">
        <v>731</v>
      </c>
      <c r="E160" s="66" t="s">
        <v>732</v>
      </c>
      <c r="F160" s="67" t="str">
        <f>IF(OR(A1&gt;50,B1&gt;50),"Pass","Fail")</f>
        <v>Pass</v>
      </c>
    </row>
    <row r="161" spans="1:6" x14ac:dyDescent="0.35">
      <c r="A161" s="62">
        <v>5</v>
      </c>
      <c r="B161" s="66" t="s">
        <v>733</v>
      </c>
      <c r="C161" s="66" t="s">
        <v>734</v>
      </c>
      <c r="D161" s="66" t="s">
        <v>735</v>
      </c>
      <c r="E161" s="66" t="s">
        <v>736</v>
      </c>
      <c r="F161" s="67" t="str">
        <f>IF(NOT(A1&gt;50),"Fail","Pass")</f>
        <v>Pass</v>
      </c>
    </row>
    <row r="162" spans="1:6" ht="29.5" thickBot="1" x14ac:dyDescent="0.4">
      <c r="A162" s="65">
        <v>6</v>
      </c>
      <c r="B162" s="66" t="s">
        <v>737</v>
      </c>
      <c r="C162" s="66" t="s">
        <v>738</v>
      </c>
      <c r="D162" s="66" t="s">
        <v>558</v>
      </c>
      <c r="E162" s="66" t="s">
        <v>739</v>
      </c>
      <c r="F162" s="67" t="str">
        <f>IF(ISERROR(A1/B1),"Error",A1/B1)</f>
        <v>Error</v>
      </c>
    </row>
    <row r="163" spans="1:6" x14ac:dyDescent="0.35">
      <c r="A163" s="62">
        <v>7</v>
      </c>
      <c r="B163" s="66" t="s">
        <v>740</v>
      </c>
      <c r="C163" s="66" t="s">
        <v>741</v>
      </c>
      <c r="D163" s="66" t="s">
        <v>742</v>
      </c>
      <c r="E163" s="66" t="s">
        <v>576</v>
      </c>
      <c r="F163" s="67" t="str">
        <f>IF(ISBLANK(A1),"Empty","Filled")</f>
        <v>Filled</v>
      </c>
    </row>
    <row r="164" spans="1:6" ht="15" thickBot="1" x14ac:dyDescent="0.4">
      <c r="A164" s="65">
        <v>8</v>
      </c>
      <c r="B164" s="66" t="s">
        <v>743</v>
      </c>
      <c r="C164" s="66" t="s">
        <v>744</v>
      </c>
      <c r="D164" s="66" t="s">
        <v>745</v>
      </c>
      <c r="E164" s="66" t="s">
        <v>746</v>
      </c>
      <c r="F164" s="67" t="str">
        <f>IF(ISNUMBER(A1),"Yes","No")</f>
        <v>No</v>
      </c>
    </row>
    <row r="165" spans="1:6" x14ac:dyDescent="0.35">
      <c r="A165" s="62">
        <v>9</v>
      </c>
      <c r="B165" s="66" t="s">
        <v>747</v>
      </c>
      <c r="C165" s="66" t="s">
        <v>748</v>
      </c>
      <c r="D165" s="66" t="s">
        <v>749</v>
      </c>
      <c r="E165" s="66" t="s">
        <v>750</v>
      </c>
      <c r="F165" s="67" t="s">
        <v>751</v>
      </c>
    </row>
    <row r="166" spans="1:6" ht="29" x14ac:dyDescent="0.35">
      <c r="A166" s="65">
        <v>10</v>
      </c>
      <c r="B166" s="66" t="s">
        <v>752</v>
      </c>
      <c r="C166" s="66" t="s">
        <v>753</v>
      </c>
      <c r="D166" s="66" t="s">
        <v>754</v>
      </c>
      <c r="E166" s="66" t="s">
        <v>755</v>
      </c>
      <c r="F166" s="67" t="s">
        <v>756</v>
      </c>
    </row>
    <row r="171" spans="1:6" ht="15" thickBot="1" x14ac:dyDescent="0.4">
      <c r="A171" s="318" t="s">
        <v>803</v>
      </c>
      <c r="B171" s="318"/>
      <c r="C171" s="318"/>
      <c r="D171" s="318"/>
      <c r="E171" s="318"/>
      <c r="F171" s="318"/>
    </row>
    <row r="172" spans="1:6" ht="15" thickBot="1" x14ac:dyDescent="0.4">
      <c r="A172" s="59" t="s">
        <v>29</v>
      </c>
      <c r="B172" s="60" t="s">
        <v>30</v>
      </c>
      <c r="C172" s="60" t="s">
        <v>31</v>
      </c>
      <c r="D172" s="60" t="s">
        <v>32</v>
      </c>
      <c r="E172" s="60" t="s">
        <v>33</v>
      </c>
      <c r="F172" s="61" t="s">
        <v>34</v>
      </c>
    </row>
    <row r="173" spans="1:6" ht="29" x14ac:dyDescent="0.35">
      <c r="A173" s="62">
        <v>1</v>
      </c>
      <c r="B173" s="63" t="s">
        <v>758</v>
      </c>
      <c r="C173" s="63" t="s">
        <v>759</v>
      </c>
      <c r="D173" s="63" t="s">
        <v>760</v>
      </c>
      <c r="E173" s="63" t="s">
        <v>761</v>
      </c>
      <c r="F173" s="64" t="s">
        <v>762</v>
      </c>
    </row>
    <row r="174" spans="1:6" ht="29.5" thickBot="1" x14ac:dyDescent="0.4">
      <c r="A174" s="65">
        <v>2</v>
      </c>
      <c r="B174" s="66" t="s">
        <v>763</v>
      </c>
      <c r="C174" s="66" t="s">
        <v>764</v>
      </c>
      <c r="D174" s="66" t="s">
        <v>765</v>
      </c>
      <c r="E174" s="66" t="s">
        <v>766</v>
      </c>
      <c r="F174" s="67" t="s">
        <v>767</v>
      </c>
    </row>
    <row r="175" spans="1:6" ht="29" x14ac:dyDescent="0.35">
      <c r="A175" s="62">
        <v>3</v>
      </c>
      <c r="B175" s="66" t="s">
        <v>768</v>
      </c>
      <c r="C175" s="66" t="s">
        <v>769</v>
      </c>
      <c r="D175" s="66" t="s">
        <v>770</v>
      </c>
      <c r="E175" s="66" t="s">
        <v>771</v>
      </c>
      <c r="F175" s="67" t="s">
        <v>576</v>
      </c>
    </row>
    <row r="176" spans="1:6" ht="29.5" thickBot="1" x14ac:dyDescent="0.4">
      <c r="A176" s="65">
        <v>4</v>
      </c>
      <c r="B176" s="66" t="s">
        <v>638</v>
      </c>
      <c r="C176" s="66" t="s">
        <v>772</v>
      </c>
      <c r="D176" s="66" t="s">
        <v>641</v>
      </c>
      <c r="E176" s="66" t="s">
        <v>773</v>
      </c>
      <c r="F176" s="67">
        <f>INDEX(B1:B10,MATCH(A1,A1:A10,0))</f>
        <v>0</v>
      </c>
    </row>
    <row r="177" spans="1:6" ht="29" x14ac:dyDescent="0.35">
      <c r="A177" s="62">
        <v>5</v>
      </c>
      <c r="B177" s="66" t="s">
        <v>774</v>
      </c>
      <c r="C177" s="66" t="s">
        <v>775</v>
      </c>
      <c r="D177" s="66" t="s">
        <v>776</v>
      </c>
      <c r="E177" s="66" t="s">
        <v>777</v>
      </c>
      <c r="F177" s="67" t="s">
        <v>778</v>
      </c>
    </row>
    <row r="178" spans="1:6" ht="29.5" thickBot="1" x14ac:dyDescent="0.4">
      <c r="A178" s="65">
        <v>6</v>
      </c>
      <c r="B178" s="66" t="s">
        <v>779</v>
      </c>
      <c r="C178" s="66" t="s">
        <v>780</v>
      </c>
      <c r="D178" s="66" t="s">
        <v>781</v>
      </c>
      <c r="E178" s="66" t="s">
        <v>782</v>
      </c>
      <c r="F178" s="67" t="s">
        <v>783</v>
      </c>
    </row>
    <row r="179" spans="1:6" ht="29" x14ac:dyDescent="0.35">
      <c r="A179" s="62">
        <v>7</v>
      </c>
      <c r="B179" s="66" t="s">
        <v>784</v>
      </c>
      <c r="C179" s="66" t="s">
        <v>785</v>
      </c>
      <c r="D179" s="66" t="s">
        <v>786</v>
      </c>
      <c r="E179" s="66" t="s">
        <v>787</v>
      </c>
      <c r="F179" s="67" t="s">
        <v>788</v>
      </c>
    </row>
    <row r="180" spans="1:6" ht="29.5" thickBot="1" x14ac:dyDescent="0.4">
      <c r="A180" s="65">
        <v>8</v>
      </c>
      <c r="B180" s="66" t="s">
        <v>789</v>
      </c>
      <c r="C180" s="66" t="s">
        <v>790</v>
      </c>
      <c r="D180" s="66" t="s">
        <v>791</v>
      </c>
      <c r="E180" s="66" t="s">
        <v>792</v>
      </c>
      <c r="F180" s="67" t="s">
        <v>793</v>
      </c>
    </row>
    <row r="181" spans="1:6" ht="29" x14ac:dyDescent="0.35">
      <c r="A181" s="62">
        <v>9</v>
      </c>
      <c r="B181" s="66" t="s">
        <v>794</v>
      </c>
      <c r="C181" s="66" t="s">
        <v>795</v>
      </c>
      <c r="D181" s="66" t="s">
        <v>796</v>
      </c>
      <c r="E181" s="66" t="s">
        <v>797</v>
      </c>
      <c r="F181" s="67" t="s">
        <v>798</v>
      </c>
    </row>
    <row r="182" spans="1:6" ht="29" x14ac:dyDescent="0.35">
      <c r="A182" s="65">
        <v>10</v>
      </c>
      <c r="B182" s="66" t="s">
        <v>799</v>
      </c>
      <c r="C182" s="66" t="s">
        <v>800</v>
      </c>
      <c r="D182" s="66" t="s">
        <v>801</v>
      </c>
      <c r="E182" s="66" t="s">
        <v>802</v>
      </c>
      <c r="F182" s="67" t="s">
        <v>782</v>
      </c>
    </row>
    <row r="183" spans="1:6" x14ac:dyDescent="0.35">
      <c r="A183" s="71"/>
      <c r="B183" s="71"/>
      <c r="C183" s="71"/>
      <c r="D183" s="71"/>
      <c r="E183" s="71"/>
      <c r="F183" s="71"/>
    </row>
    <row r="184" spans="1:6" x14ac:dyDescent="0.35">
      <c r="A184" s="71"/>
      <c r="B184" s="71"/>
      <c r="C184" s="71"/>
      <c r="D184" s="71"/>
      <c r="E184" s="71"/>
      <c r="F184" s="71"/>
    </row>
    <row r="185" spans="1:6" x14ac:dyDescent="0.35">
      <c r="A185" s="71"/>
      <c r="B185" s="71"/>
      <c r="C185" s="71"/>
      <c r="D185" s="71"/>
      <c r="E185" s="71"/>
      <c r="F185" s="71"/>
    </row>
    <row r="186" spans="1:6" x14ac:dyDescent="0.35">
      <c r="A186" s="71"/>
      <c r="B186" s="71"/>
      <c r="C186" s="71"/>
      <c r="D186" s="71"/>
      <c r="E186" s="71"/>
      <c r="F186" s="71"/>
    </row>
    <row r="188" spans="1:6" ht="15" thickBot="1" x14ac:dyDescent="0.4">
      <c r="A188" s="318" t="s">
        <v>888</v>
      </c>
      <c r="B188" s="318"/>
      <c r="C188" s="318"/>
      <c r="D188" s="318"/>
      <c r="E188" s="318"/>
      <c r="F188" s="318"/>
    </row>
    <row r="189" spans="1:6" ht="15" thickBot="1" x14ac:dyDescent="0.4">
      <c r="A189" s="59" t="s">
        <v>29</v>
      </c>
      <c r="B189" s="60" t="s">
        <v>30</v>
      </c>
      <c r="C189" s="60" t="s">
        <v>31</v>
      </c>
      <c r="D189" s="60" t="s">
        <v>32</v>
      </c>
      <c r="E189" s="60" t="s">
        <v>33</v>
      </c>
      <c r="F189" s="61" t="s">
        <v>34</v>
      </c>
    </row>
    <row r="190" spans="1:6" ht="29" x14ac:dyDescent="0.35">
      <c r="A190" s="62">
        <v>1</v>
      </c>
      <c r="B190" s="63" t="s">
        <v>804</v>
      </c>
      <c r="C190" s="63" t="s">
        <v>871</v>
      </c>
      <c r="D190" s="63" t="s">
        <v>805</v>
      </c>
      <c r="E190" s="63" t="s">
        <v>806</v>
      </c>
      <c r="F190" s="64" t="s">
        <v>871</v>
      </c>
    </row>
    <row r="191" spans="1:6" ht="15" thickBot="1" x14ac:dyDescent="0.4">
      <c r="A191" s="65">
        <v>2</v>
      </c>
      <c r="B191" s="66" t="s">
        <v>807</v>
      </c>
      <c r="C191" s="66" t="s">
        <v>808</v>
      </c>
      <c r="D191" s="66" t="s">
        <v>809</v>
      </c>
      <c r="E191" s="66" t="s">
        <v>810</v>
      </c>
      <c r="F191" s="67" t="s">
        <v>872</v>
      </c>
    </row>
    <row r="192" spans="1:6" ht="43.5" x14ac:dyDescent="0.35">
      <c r="A192" s="62">
        <v>3</v>
      </c>
      <c r="B192" s="66" t="s">
        <v>811</v>
      </c>
      <c r="C192" s="66" t="s">
        <v>812</v>
      </c>
      <c r="D192" s="66" t="s">
        <v>813</v>
      </c>
      <c r="E192" s="66" t="s">
        <v>814</v>
      </c>
      <c r="F192" s="67" t="s">
        <v>873</v>
      </c>
    </row>
    <row r="193" spans="1:6" ht="15" thickBot="1" x14ac:dyDescent="0.4">
      <c r="A193" s="65">
        <v>4</v>
      </c>
      <c r="B193" s="66" t="s">
        <v>679</v>
      </c>
      <c r="C193" s="66" t="s">
        <v>680</v>
      </c>
      <c r="D193" s="66" t="s">
        <v>815</v>
      </c>
      <c r="E193" s="66" t="s">
        <v>682</v>
      </c>
      <c r="F193" s="67" t="s">
        <v>712</v>
      </c>
    </row>
    <row r="194" spans="1:6" ht="29" x14ac:dyDescent="0.35">
      <c r="A194" s="62">
        <v>5</v>
      </c>
      <c r="B194" s="66" t="s">
        <v>683</v>
      </c>
      <c r="C194" s="66" t="s">
        <v>816</v>
      </c>
      <c r="D194" s="66" t="s">
        <v>817</v>
      </c>
      <c r="E194" s="66" t="s">
        <v>818</v>
      </c>
      <c r="F194" s="67" t="s">
        <v>713</v>
      </c>
    </row>
    <row r="195" spans="1:6" ht="15" thickBot="1" x14ac:dyDescent="0.4">
      <c r="A195" s="65">
        <v>6</v>
      </c>
      <c r="B195" s="66" t="s">
        <v>691</v>
      </c>
      <c r="C195" s="66" t="s">
        <v>692</v>
      </c>
      <c r="D195" s="66" t="s">
        <v>693</v>
      </c>
      <c r="E195" s="66" t="s">
        <v>694</v>
      </c>
      <c r="F195" s="67" t="s">
        <v>715</v>
      </c>
    </row>
    <row r="196" spans="1:6" x14ac:dyDescent="0.35">
      <c r="A196" s="62">
        <v>7</v>
      </c>
      <c r="B196" s="66" t="s">
        <v>687</v>
      </c>
      <c r="C196" s="66" t="s">
        <v>819</v>
      </c>
      <c r="D196" s="66" t="s">
        <v>689</v>
      </c>
      <c r="E196" s="66" t="s">
        <v>820</v>
      </c>
      <c r="F196" s="67" t="s">
        <v>874</v>
      </c>
    </row>
    <row r="197" spans="1:6" ht="15" thickBot="1" x14ac:dyDescent="0.4">
      <c r="A197" s="65">
        <v>8</v>
      </c>
      <c r="B197" s="66" t="s">
        <v>821</v>
      </c>
      <c r="C197" s="66" t="s">
        <v>822</v>
      </c>
      <c r="D197" s="66" t="s">
        <v>823</v>
      </c>
      <c r="E197" s="66" t="s">
        <v>824</v>
      </c>
      <c r="F197" s="67" t="s">
        <v>875</v>
      </c>
    </row>
    <row r="198" spans="1:6" ht="29" x14ac:dyDescent="0.35">
      <c r="A198" s="62">
        <v>9</v>
      </c>
      <c r="B198" s="66" t="s">
        <v>825</v>
      </c>
      <c r="C198" s="66" t="s">
        <v>826</v>
      </c>
      <c r="D198" s="66" t="s">
        <v>827</v>
      </c>
      <c r="E198" s="66" t="s">
        <v>828</v>
      </c>
      <c r="F198" s="67" t="s">
        <v>876</v>
      </c>
    </row>
    <row r="199" spans="1:6" ht="44" thickBot="1" x14ac:dyDescent="0.4">
      <c r="A199" s="65">
        <v>10</v>
      </c>
      <c r="B199" s="66" t="s">
        <v>373</v>
      </c>
      <c r="C199" s="66" t="s">
        <v>374</v>
      </c>
      <c r="D199" s="66" t="s">
        <v>829</v>
      </c>
      <c r="E199" s="66" t="s">
        <v>830</v>
      </c>
      <c r="F199" s="67" t="s">
        <v>877</v>
      </c>
    </row>
    <row r="200" spans="1:6" x14ac:dyDescent="0.35">
      <c r="A200" s="62">
        <v>11</v>
      </c>
      <c r="B200" s="63" t="s">
        <v>831</v>
      </c>
      <c r="C200" s="63" t="s">
        <v>832</v>
      </c>
      <c r="D200" s="63" t="s">
        <v>833</v>
      </c>
      <c r="E200" s="63" t="s">
        <v>834</v>
      </c>
      <c r="F200" s="64" t="s">
        <v>878</v>
      </c>
    </row>
    <row r="201" spans="1:6" ht="44" thickBot="1" x14ac:dyDescent="0.4">
      <c r="A201" s="65">
        <v>12</v>
      </c>
      <c r="B201" s="66" t="s">
        <v>835</v>
      </c>
      <c r="C201" s="66" t="s">
        <v>836</v>
      </c>
      <c r="D201" s="66" t="s">
        <v>837</v>
      </c>
      <c r="E201" s="66" t="s">
        <v>838</v>
      </c>
      <c r="F201" s="67" t="s">
        <v>879</v>
      </c>
    </row>
    <row r="202" spans="1:6" ht="29" x14ac:dyDescent="0.35">
      <c r="A202" s="62">
        <v>13</v>
      </c>
      <c r="B202" s="66" t="s">
        <v>839</v>
      </c>
      <c r="C202" s="66" t="s">
        <v>840</v>
      </c>
      <c r="D202" s="66" t="s">
        <v>841</v>
      </c>
      <c r="E202" s="66" t="s">
        <v>842</v>
      </c>
      <c r="F202" s="67" t="s">
        <v>880</v>
      </c>
    </row>
    <row r="203" spans="1:6" ht="15" thickBot="1" x14ac:dyDescent="0.4">
      <c r="A203" s="65">
        <v>14</v>
      </c>
      <c r="B203" s="66" t="s">
        <v>843</v>
      </c>
      <c r="C203" s="66" t="s">
        <v>844</v>
      </c>
      <c r="D203" s="66" t="s">
        <v>845</v>
      </c>
      <c r="E203" s="66" t="s">
        <v>846</v>
      </c>
      <c r="F203" s="67" t="s">
        <v>881</v>
      </c>
    </row>
    <row r="204" spans="1:6" ht="29" x14ac:dyDescent="0.35">
      <c r="A204" s="62">
        <v>15</v>
      </c>
      <c r="B204" s="66" t="s">
        <v>847</v>
      </c>
      <c r="C204" s="66" t="s">
        <v>848</v>
      </c>
      <c r="D204" s="66" t="s">
        <v>849</v>
      </c>
      <c r="E204" s="66" t="s">
        <v>850</v>
      </c>
      <c r="F204" s="67" t="s">
        <v>882</v>
      </c>
    </row>
    <row r="205" spans="1:6" ht="44" thickBot="1" x14ac:dyDescent="0.4">
      <c r="A205" s="65">
        <v>16</v>
      </c>
      <c r="B205" s="66" t="s">
        <v>851</v>
      </c>
      <c r="C205" s="66" t="s">
        <v>852</v>
      </c>
      <c r="D205" s="66" t="s">
        <v>853</v>
      </c>
      <c r="E205" s="66" t="s">
        <v>854</v>
      </c>
      <c r="F205" s="67" t="s">
        <v>883</v>
      </c>
    </row>
    <row r="206" spans="1:6" ht="29" x14ac:dyDescent="0.35">
      <c r="A206" s="62">
        <v>17</v>
      </c>
      <c r="B206" s="66" t="s">
        <v>855</v>
      </c>
      <c r="C206" s="66" t="s">
        <v>856</v>
      </c>
      <c r="D206" s="66" t="s">
        <v>857</v>
      </c>
      <c r="E206" s="66" t="s">
        <v>858</v>
      </c>
      <c r="F206" s="67" t="s">
        <v>884</v>
      </c>
    </row>
    <row r="207" spans="1:6" ht="29.5" thickBot="1" x14ac:dyDescent="0.4">
      <c r="A207" s="65">
        <v>18</v>
      </c>
      <c r="B207" s="66" t="s">
        <v>859</v>
      </c>
      <c r="C207" s="66" t="s">
        <v>860</v>
      </c>
      <c r="D207" s="66" t="s">
        <v>861</v>
      </c>
      <c r="E207" s="66" t="s">
        <v>862</v>
      </c>
      <c r="F207" s="67" t="s">
        <v>885</v>
      </c>
    </row>
    <row r="208" spans="1:6" ht="43.5" x14ac:dyDescent="0.35">
      <c r="A208" s="62">
        <v>19</v>
      </c>
      <c r="B208" s="66" t="s">
        <v>863</v>
      </c>
      <c r="C208" s="66" t="s">
        <v>864</v>
      </c>
      <c r="D208" s="66" t="s">
        <v>865</v>
      </c>
      <c r="E208" s="66" t="s">
        <v>866</v>
      </c>
      <c r="F208" s="67" t="s">
        <v>886</v>
      </c>
    </row>
    <row r="209" spans="1:6" x14ac:dyDescent="0.35">
      <c r="A209" s="65">
        <v>20</v>
      </c>
      <c r="B209" s="66" t="s">
        <v>867</v>
      </c>
      <c r="C209" s="66" t="s">
        <v>868</v>
      </c>
      <c r="D209" s="66" t="s">
        <v>869</v>
      </c>
      <c r="E209" s="66" t="s">
        <v>870</v>
      </c>
      <c r="F209" s="67" t="s">
        <v>887</v>
      </c>
    </row>
  </sheetData>
  <mergeCells count="9">
    <mergeCell ref="A1:F1"/>
    <mergeCell ref="A33:F33"/>
    <mergeCell ref="A68:F68"/>
    <mergeCell ref="A171:F171"/>
    <mergeCell ref="A188:F188"/>
    <mergeCell ref="A102:F102"/>
    <mergeCell ref="A130:F130"/>
    <mergeCell ref="A155:F155"/>
    <mergeCell ref="A23:F23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9D9A-95A7-4413-8D27-5C2A44DC1EE7}">
  <sheetPr>
    <tabColor rgb="FF7030A0"/>
  </sheetPr>
  <dimension ref="A1:N96"/>
  <sheetViews>
    <sheetView topLeftCell="B56" zoomScale="145" zoomScaleNormal="145" workbookViewId="0">
      <selection activeCell="B58" sqref="B58:N78"/>
    </sheetView>
  </sheetViews>
  <sheetFormatPr defaultRowHeight="14.5" x14ac:dyDescent="0.35"/>
  <cols>
    <col min="1" max="1" width="14.7265625" customWidth="1"/>
    <col min="2" max="2" width="17.81640625" bestFit="1" customWidth="1"/>
    <col min="3" max="3" width="12.54296875" customWidth="1"/>
    <col min="4" max="4" width="14.26953125" customWidth="1"/>
    <col min="5" max="5" width="13.1796875" customWidth="1"/>
    <col min="6" max="7" width="10.54296875" customWidth="1"/>
    <col min="8" max="8" width="16.6328125" customWidth="1"/>
    <col min="9" max="9" width="8.54296875" customWidth="1"/>
    <col min="12" max="12" width="13.453125" customWidth="1"/>
  </cols>
  <sheetData>
    <row r="1" spans="1:10" x14ac:dyDescent="0.35">
      <c r="A1" s="171" t="s">
        <v>0</v>
      </c>
      <c r="B1" s="172" t="s">
        <v>932</v>
      </c>
      <c r="C1" s="172" t="s">
        <v>2</v>
      </c>
      <c r="D1" s="172" t="s">
        <v>3</v>
      </c>
      <c r="E1" s="172" t="s">
        <v>933</v>
      </c>
      <c r="F1" s="172" t="s">
        <v>5</v>
      </c>
      <c r="G1" s="172" t="s">
        <v>6</v>
      </c>
      <c r="H1" s="172" t="s">
        <v>23</v>
      </c>
      <c r="I1" s="173" t="s">
        <v>934</v>
      </c>
    </row>
    <row r="2" spans="1:10" x14ac:dyDescent="0.35">
      <c r="A2" s="4">
        <v>1</v>
      </c>
      <c r="B2" s="5" t="s">
        <v>935</v>
      </c>
      <c r="C2" s="5">
        <v>40</v>
      </c>
      <c r="D2" s="5">
        <v>38</v>
      </c>
      <c r="E2" s="5">
        <v>34</v>
      </c>
      <c r="F2" s="5">
        <v>77</v>
      </c>
      <c r="G2" s="140">
        <f>SUM(C2:F2)</f>
        <v>189</v>
      </c>
      <c r="H2" s="174">
        <f>G2/400</f>
        <v>0.47249999999999998</v>
      </c>
      <c r="I2" s="180" t="str">
        <f>IF(H2&gt;=50%,"Pass","Fail")</f>
        <v>Fail</v>
      </c>
      <c r="J2" t="str">
        <f>IF(H2&lt;50%,"Fail","Pass")</f>
        <v>Fail</v>
      </c>
    </row>
    <row r="3" spans="1:10" x14ac:dyDescent="0.35">
      <c r="A3" s="4">
        <v>2</v>
      </c>
      <c r="B3" s="5" t="s">
        <v>936</v>
      </c>
      <c r="C3" s="5">
        <v>35</v>
      </c>
      <c r="D3" s="5">
        <v>72</v>
      </c>
      <c r="E3" s="5">
        <v>76</v>
      </c>
      <c r="F3" s="5">
        <v>68</v>
      </c>
      <c r="G3" s="140">
        <f t="shared" ref="G3:G21" si="0">SUM(C3:F3)</f>
        <v>251</v>
      </c>
      <c r="H3" s="174">
        <f t="shared" ref="H3:H21" si="1">G3/400</f>
        <v>0.62749999999999995</v>
      </c>
      <c r="I3" s="180" t="str">
        <f t="shared" ref="I3:I21" si="2">IF(H3&gt;=50%,"Pass","Fail")</f>
        <v>Pass</v>
      </c>
      <c r="J3" t="str">
        <f t="shared" ref="J3:J21" si="3">IF(H3&lt;50%,"Fail","Pass")</f>
        <v>Pass</v>
      </c>
    </row>
    <row r="4" spans="1:10" x14ac:dyDescent="0.35">
      <c r="A4" s="4">
        <v>3</v>
      </c>
      <c r="B4" s="5" t="s">
        <v>937</v>
      </c>
      <c r="C4" s="5">
        <v>85</v>
      </c>
      <c r="D4" s="5">
        <v>87</v>
      </c>
      <c r="E4" s="5">
        <v>58</v>
      </c>
      <c r="F4" s="5">
        <v>62</v>
      </c>
      <c r="G4" s="140">
        <f t="shared" si="0"/>
        <v>292</v>
      </c>
      <c r="H4" s="174">
        <f t="shared" si="1"/>
        <v>0.73</v>
      </c>
      <c r="I4" s="180" t="str">
        <f t="shared" si="2"/>
        <v>Pass</v>
      </c>
      <c r="J4" t="str">
        <f t="shared" si="3"/>
        <v>Pass</v>
      </c>
    </row>
    <row r="5" spans="1:10" x14ac:dyDescent="0.35">
      <c r="A5" s="4">
        <v>4</v>
      </c>
      <c r="B5" s="5" t="s">
        <v>938</v>
      </c>
      <c r="C5" s="5">
        <v>61</v>
      </c>
      <c r="D5" s="5">
        <v>52</v>
      </c>
      <c r="E5" s="5">
        <v>77</v>
      </c>
      <c r="F5" s="5">
        <v>67</v>
      </c>
      <c r="G5" s="140">
        <f t="shared" si="0"/>
        <v>257</v>
      </c>
      <c r="H5" s="174">
        <f t="shared" si="1"/>
        <v>0.64249999999999996</v>
      </c>
      <c r="I5" s="180" t="str">
        <f t="shared" si="2"/>
        <v>Pass</v>
      </c>
      <c r="J5" t="str">
        <f t="shared" si="3"/>
        <v>Pass</v>
      </c>
    </row>
    <row r="6" spans="1:10" x14ac:dyDescent="0.35">
      <c r="A6" s="4">
        <v>5</v>
      </c>
      <c r="B6" s="5" t="s">
        <v>939</v>
      </c>
      <c r="C6" s="5">
        <v>26</v>
      </c>
      <c r="D6" s="5">
        <v>91</v>
      </c>
      <c r="E6" s="5">
        <v>75</v>
      </c>
      <c r="F6" s="5">
        <v>38</v>
      </c>
      <c r="G6" s="140">
        <f t="shared" si="0"/>
        <v>230</v>
      </c>
      <c r="H6" s="174">
        <f t="shared" si="1"/>
        <v>0.57499999999999996</v>
      </c>
      <c r="I6" s="180" t="str">
        <f t="shared" si="2"/>
        <v>Pass</v>
      </c>
      <c r="J6" t="str">
        <f t="shared" si="3"/>
        <v>Pass</v>
      </c>
    </row>
    <row r="7" spans="1:10" x14ac:dyDescent="0.35">
      <c r="A7" s="4">
        <v>6</v>
      </c>
      <c r="B7" s="5" t="s">
        <v>940</v>
      </c>
      <c r="C7" s="5">
        <v>49</v>
      </c>
      <c r="D7" s="5">
        <v>55</v>
      </c>
      <c r="E7" s="5">
        <v>63</v>
      </c>
      <c r="F7" s="5">
        <v>73</v>
      </c>
      <c r="G7" s="140">
        <f t="shared" si="0"/>
        <v>240</v>
      </c>
      <c r="H7" s="174">
        <f t="shared" si="1"/>
        <v>0.6</v>
      </c>
      <c r="I7" s="180" t="str">
        <f t="shared" si="2"/>
        <v>Pass</v>
      </c>
      <c r="J7" t="str">
        <f t="shared" si="3"/>
        <v>Pass</v>
      </c>
    </row>
    <row r="8" spans="1:10" x14ac:dyDescent="0.35">
      <c r="A8" s="4">
        <v>7</v>
      </c>
      <c r="B8" s="5" t="s">
        <v>941</v>
      </c>
      <c r="C8" s="5">
        <v>44</v>
      </c>
      <c r="D8" s="5">
        <v>56</v>
      </c>
      <c r="E8" s="5">
        <v>92</v>
      </c>
      <c r="F8" s="5">
        <v>77</v>
      </c>
      <c r="G8" s="140">
        <f t="shared" si="0"/>
        <v>269</v>
      </c>
      <c r="H8" s="174">
        <f t="shared" si="1"/>
        <v>0.67249999999999999</v>
      </c>
      <c r="I8" s="180" t="str">
        <f t="shared" si="2"/>
        <v>Pass</v>
      </c>
      <c r="J8" t="str">
        <f t="shared" si="3"/>
        <v>Pass</v>
      </c>
    </row>
    <row r="9" spans="1:10" x14ac:dyDescent="0.35">
      <c r="A9" s="4">
        <v>8</v>
      </c>
      <c r="B9" s="5" t="s">
        <v>942</v>
      </c>
      <c r="C9" s="5">
        <v>95</v>
      </c>
      <c r="D9" s="5">
        <v>80</v>
      </c>
      <c r="E9" s="5">
        <v>62</v>
      </c>
      <c r="F9" s="5">
        <v>85</v>
      </c>
      <c r="G9" s="140">
        <f t="shared" si="0"/>
        <v>322</v>
      </c>
      <c r="H9" s="174">
        <f t="shared" si="1"/>
        <v>0.80500000000000005</v>
      </c>
      <c r="I9" s="180" t="str">
        <f t="shared" si="2"/>
        <v>Pass</v>
      </c>
      <c r="J9" t="str">
        <f t="shared" si="3"/>
        <v>Pass</v>
      </c>
    </row>
    <row r="10" spans="1:10" x14ac:dyDescent="0.35">
      <c r="A10" s="4">
        <v>9</v>
      </c>
      <c r="B10" s="5" t="s">
        <v>943</v>
      </c>
      <c r="C10" s="5">
        <v>64</v>
      </c>
      <c r="D10" s="5">
        <v>59</v>
      </c>
      <c r="E10" s="5">
        <v>85</v>
      </c>
      <c r="F10" s="5">
        <v>58</v>
      </c>
      <c r="G10" s="140">
        <f t="shared" si="0"/>
        <v>266</v>
      </c>
      <c r="H10" s="174">
        <f t="shared" si="1"/>
        <v>0.66500000000000004</v>
      </c>
      <c r="I10" s="180" t="str">
        <f t="shared" si="2"/>
        <v>Pass</v>
      </c>
      <c r="J10" t="str">
        <f t="shared" si="3"/>
        <v>Pass</v>
      </c>
    </row>
    <row r="11" spans="1:10" x14ac:dyDescent="0.35">
      <c r="A11" s="4">
        <v>10</v>
      </c>
      <c r="B11" s="5" t="s">
        <v>944</v>
      </c>
      <c r="C11" s="5">
        <v>32</v>
      </c>
      <c r="D11" s="5">
        <v>42</v>
      </c>
      <c r="E11" s="5">
        <v>30</v>
      </c>
      <c r="F11" s="5">
        <v>63</v>
      </c>
      <c r="G11" s="140">
        <f t="shared" si="0"/>
        <v>167</v>
      </c>
      <c r="H11" s="174">
        <f t="shared" si="1"/>
        <v>0.41749999999999998</v>
      </c>
      <c r="I11" s="180" t="str">
        <f t="shared" si="2"/>
        <v>Fail</v>
      </c>
      <c r="J11" t="str">
        <f t="shared" si="3"/>
        <v>Fail</v>
      </c>
    </row>
    <row r="12" spans="1:10" x14ac:dyDescent="0.35">
      <c r="A12" s="4">
        <v>11</v>
      </c>
      <c r="B12" s="5" t="s">
        <v>945</v>
      </c>
      <c r="C12" s="5">
        <v>32</v>
      </c>
      <c r="D12" s="5">
        <v>68</v>
      </c>
      <c r="E12" s="5">
        <v>48</v>
      </c>
      <c r="F12" s="5">
        <v>95</v>
      </c>
      <c r="G12" s="140">
        <f t="shared" si="0"/>
        <v>243</v>
      </c>
      <c r="H12" s="174">
        <f t="shared" si="1"/>
        <v>0.60750000000000004</v>
      </c>
      <c r="I12" s="180" t="str">
        <f t="shared" si="2"/>
        <v>Pass</v>
      </c>
      <c r="J12" t="str">
        <f t="shared" si="3"/>
        <v>Pass</v>
      </c>
    </row>
    <row r="13" spans="1:10" x14ac:dyDescent="0.35">
      <c r="A13" s="4">
        <v>12</v>
      </c>
      <c r="B13" s="5" t="s">
        <v>946</v>
      </c>
      <c r="C13" s="5">
        <v>98</v>
      </c>
      <c r="D13" s="5">
        <v>53</v>
      </c>
      <c r="E13" s="5">
        <v>52</v>
      </c>
      <c r="F13" s="5">
        <v>57</v>
      </c>
      <c r="G13" s="140">
        <f t="shared" si="0"/>
        <v>260</v>
      </c>
      <c r="H13" s="174">
        <f t="shared" si="1"/>
        <v>0.65</v>
      </c>
      <c r="I13" s="180" t="str">
        <f t="shared" si="2"/>
        <v>Pass</v>
      </c>
      <c r="J13" t="str">
        <f t="shared" si="3"/>
        <v>Pass</v>
      </c>
    </row>
    <row r="14" spans="1:10" x14ac:dyDescent="0.35">
      <c r="A14" s="4">
        <v>13</v>
      </c>
      <c r="B14" s="5" t="s">
        <v>947</v>
      </c>
      <c r="C14" s="5">
        <v>61</v>
      </c>
      <c r="D14" s="5">
        <v>83</v>
      </c>
      <c r="E14" s="5">
        <v>39</v>
      </c>
      <c r="F14" s="5">
        <v>80</v>
      </c>
      <c r="G14" s="140">
        <f t="shared" si="0"/>
        <v>263</v>
      </c>
      <c r="H14" s="174">
        <f t="shared" si="1"/>
        <v>0.65749999999999997</v>
      </c>
      <c r="I14" s="180" t="str">
        <f t="shared" si="2"/>
        <v>Pass</v>
      </c>
      <c r="J14" t="str">
        <f t="shared" si="3"/>
        <v>Pass</v>
      </c>
    </row>
    <row r="15" spans="1:10" x14ac:dyDescent="0.35">
      <c r="A15" s="4">
        <v>14</v>
      </c>
      <c r="B15" s="5" t="s">
        <v>948</v>
      </c>
      <c r="C15" s="5">
        <v>58</v>
      </c>
      <c r="D15" s="5">
        <v>87</v>
      </c>
      <c r="E15" s="5">
        <v>72</v>
      </c>
      <c r="F15" s="5">
        <v>46</v>
      </c>
      <c r="G15" s="140">
        <f t="shared" si="0"/>
        <v>263</v>
      </c>
      <c r="H15" s="174">
        <f t="shared" si="1"/>
        <v>0.65749999999999997</v>
      </c>
      <c r="I15" s="180" t="str">
        <f t="shared" si="2"/>
        <v>Pass</v>
      </c>
      <c r="J15" t="str">
        <f t="shared" si="3"/>
        <v>Pass</v>
      </c>
    </row>
    <row r="16" spans="1:10" x14ac:dyDescent="0.35">
      <c r="A16" s="4">
        <v>15</v>
      </c>
      <c r="B16" s="5" t="s">
        <v>225</v>
      </c>
      <c r="C16" s="5">
        <v>71</v>
      </c>
      <c r="D16" s="5">
        <v>64</v>
      </c>
      <c r="E16" s="5">
        <v>25</v>
      </c>
      <c r="F16" s="5">
        <v>66</v>
      </c>
      <c r="G16" s="140">
        <f t="shared" si="0"/>
        <v>226</v>
      </c>
      <c r="H16" s="174">
        <f t="shared" si="1"/>
        <v>0.56499999999999995</v>
      </c>
      <c r="I16" s="180" t="str">
        <f t="shared" si="2"/>
        <v>Pass</v>
      </c>
      <c r="J16" t="str">
        <f t="shared" si="3"/>
        <v>Pass</v>
      </c>
    </row>
    <row r="17" spans="1:10" x14ac:dyDescent="0.35">
      <c r="A17" s="4">
        <v>16</v>
      </c>
      <c r="B17" s="5" t="s">
        <v>949</v>
      </c>
      <c r="C17" s="5">
        <v>80</v>
      </c>
      <c r="D17" s="5">
        <v>31</v>
      </c>
      <c r="E17" s="5">
        <v>96</v>
      </c>
      <c r="F17" s="5">
        <v>94</v>
      </c>
      <c r="G17" s="140">
        <f t="shared" si="0"/>
        <v>301</v>
      </c>
      <c r="H17" s="174">
        <f t="shared" si="1"/>
        <v>0.75249999999999995</v>
      </c>
      <c r="I17" s="180" t="str">
        <f t="shared" si="2"/>
        <v>Pass</v>
      </c>
      <c r="J17" t="str">
        <f t="shared" si="3"/>
        <v>Pass</v>
      </c>
    </row>
    <row r="18" spans="1:10" x14ac:dyDescent="0.35">
      <c r="A18" s="4">
        <v>17</v>
      </c>
      <c r="B18" s="5" t="s">
        <v>950</v>
      </c>
      <c r="C18" s="5">
        <v>72</v>
      </c>
      <c r="D18" s="5">
        <v>94</v>
      </c>
      <c r="E18" s="5">
        <v>49</v>
      </c>
      <c r="F18" s="5">
        <v>58</v>
      </c>
      <c r="G18" s="140">
        <f t="shared" si="0"/>
        <v>273</v>
      </c>
      <c r="H18" s="174">
        <f t="shared" si="1"/>
        <v>0.6825</v>
      </c>
      <c r="I18" s="180" t="str">
        <f t="shared" si="2"/>
        <v>Pass</v>
      </c>
      <c r="J18" t="str">
        <f t="shared" si="3"/>
        <v>Pass</v>
      </c>
    </row>
    <row r="19" spans="1:10" x14ac:dyDescent="0.35">
      <c r="A19" s="4">
        <v>18</v>
      </c>
      <c r="B19" s="5" t="s">
        <v>951</v>
      </c>
      <c r="C19" s="5">
        <v>67</v>
      </c>
      <c r="D19" s="5">
        <v>54</v>
      </c>
      <c r="E19" s="5">
        <v>84</v>
      </c>
      <c r="F19" s="5">
        <v>73</v>
      </c>
      <c r="G19" s="140">
        <f t="shared" si="0"/>
        <v>278</v>
      </c>
      <c r="H19" s="174">
        <f t="shared" si="1"/>
        <v>0.69499999999999995</v>
      </c>
      <c r="I19" s="180" t="str">
        <f t="shared" si="2"/>
        <v>Pass</v>
      </c>
      <c r="J19" t="str">
        <f t="shared" si="3"/>
        <v>Pass</v>
      </c>
    </row>
    <row r="20" spans="1:10" x14ac:dyDescent="0.35">
      <c r="A20" s="4">
        <v>19</v>
      </c>
      <c r="B20" s="5" t="s">
        <v>952</v>
      </c>
      <c r="C20" s="5">
        <v>30</v>
      </c>
      <c r="D20" s="5">
        <v>69</v>
      </c>
      <c r="E20" s="5">
        <v>78</v>
      </c>
      <c r="F20" s="5">
        <v>59</v>
      </c>
      <c r="G20" s="140">
        <f t="shared" si="0"/>
        <v>236</v>
      </c>
      <c r="H20" s="174">
        <f t="shared" si="1"/>
        <v>0.59</v>
      </c>
      <c r="I20" s="180" t="str">
        <f t="shared" si="2"/>
        <v>Pass</v>
      </c>
      <c r="J20" t="str">
        <f t="shared" si="3"/>
        <v>Pass</v>
      </c>
    </row>
    <row r="21" spans="1:10" ht="15" thickBot="1" x14ac:dyDescent="0.4">
      <c r="A21" s="7">
        <v>20</v>
      </c>
      <c r="B21" s="8" t="s">
        <v>953</v>
      </c>
      <c r="C21" s="8">
        <v>26</v>
      </c>
      <c r="D21" s="8">
        <v>38</v>
      </c>
      <c r="E21" s="8">
        <v>33</v>
      </c>
      <c r="F21" s="8">
        <v>42</v>
      </c>
      <c r="G21" s="140">
        <f t="shared" si="0"/>
        <v>139</v>
      </c>
      <c r="H21" s="174">
        <f t="shared" si="1"/>
        <v>0.34749999999999998</v>
      </c>
      <c r="I21" s="180" t="str">
        <f t="shared" si="2"/>
        <v>Fail</v>
      </c>
      <c r="J21" t="str">
        <f t="shared" si="3"/>
        <v>Fail</v>
      </c>
    </row>
    <row r="22" spans="1:10" x14ac:dyDescent="0.35">
      <c r="A22" s="1"/>
      <c r="B22" s="1"/>
      <c r="C22" s="1"/>
      <c r="D22" s="1"/>
      <c r="E22" s="1"/>
      <c r="F22" s="1"/>
      <c r="G22" s="175"/>
      <c r="H22" s="176"/>
      <c r="I22" s="181"/>
    </row>
    <row r="23" spans="1:10" x14ac:dyDescent="0.35">
      <c r="A23" s="1"/>
      <c r="B23" s="1"/>
      <c r="C23" s="1"/>
      <c r="D23" s="1"/>
      <c r="E23" s="1"/>
      <c r="F23" s="1"/>
      <c r="G23" s="175"/>
      <c r="H23" s="176"/>
      <c r="I23" s="181"/>
    </row>
    <row r="24" spans="1:10" x14ac:dyDescent="0.35">
      <c r="A24" s="1"/>
      <c r="B24" s="1"/>
      <c r="C24" s="1"/>
      <c r="D24" s="1"/>
      <c r="E24" s="1"/>
      <c r="F24" s="1"/>
      <c r="G24" s="175"/>
      <c r="H24" s="176"/>
      <c r="I24" s="181"/>
    </row>
    <row r="25" spans="1:10" x14ac:dyDescent="0.35">
      <c r="A25" s="1"/>
      <c r="B25" s="1"/>
      <c r="C25" s="1"/>
      <c r="D25" s="1"/>
      <c r="E25" s="1"/>
      <c r="F25" s="1"/>
      <c r="G25" s="175"/>
      <c r="H25" s="176"/>
      <c r="I25" s="181"/>
    </row>
    <row r="26" spans="1:10" x14ac:dyDescent="0.35">
      <c r="A26" s="1"/>
      <c r="B26" s="1"/>
      <c r="C26" s="1"/>
      <c r="D26" s="1"/>
      <c r="E26" s="1"/>
      <c r="F26" s="1"/>
      <c r="G26" s="175"/>
      <c r="H26" s="176"/>
      <c r="I26" s="181"/>
    </row>
    <row r="27" spans="1:10" x14ac:dyDescent="0.35">
      <c r="A27" s="1"/>
      <c r="B27" s="1"/>
      <c r="C27" s="1"/>
      <c r="D27" s="1"/>
      <c r="E27" s="1"/>
      <c r="F27" s="1"/>
      <c r="G27" s="175"/>
      <c r="H27" s="176"/>
      <c r="I27" s="181"/>
    </row>
    <row r="30" spans="1:10" ht="15" thickBot="1" x14ac:dyDescent="0.4"/>
    <row r="31" spans="1:10" x14ac:dyDescent="0.35">
      <c r="A31" s="177" t="s">
        <v>0</v>
      </c>
      <c r="B31" s="178" t="s">
        <v>954</v>
      </c>
      <c r="C31" s="178" t="s">
        <v>955</v>
      </c>
      <c r="D31" s="178" t="s">
        <v>956</v>
      </c>
      <c r="E31" s="178" t="s">
        <v>962</v>
      </c>
      <c r="F31" s="178" t="s">
        <v>957</v>
      </c>
      <c r="G31" s="179" t="s">
        <v>958</v>
      </c>
      <c r="H31" s="178" t="s">
        <v>963</v>
      </c>
    </row>
    <row r="32" spans="1:10" x14ac:dyDescent="0.35">
      <c r="A32" s="4">
        <v>1</v>
      </c>
      <c r="B32" s="5" t="s">
        <v>935</v>
      </c>
      <c r="C32" s="5">
        <v>82269</v>
      </c>
      <c r="D32" s="5">
        <v>2</v>
      </c>
      <c r="E32" s="5" t="str">
        <f>IF(AND(C32&gt;=50000,D32&gt;=3),"Bonus Eligibile","No Bonus")</f>
        <v>No Bonus</v>
      </c>
      <c r="F32" s="5" t="b">
        <f>AND(C32&gt;=50000,D32&gt;=3)</f>
        <v>0</v>
      </c>
      <c r="G32" s="95" t="b">
        <f>OR(C32&gt;=50000,D32&gt;=3)</f>
        <v>1</v>
      </c>
      <c r="H32" s="5" t="str">
        <f>IF(OR(C32&gt;=50000,D32&gt;=3),"Bonus Eligible", " No Bonus")</f>
        <v>Bonus Eligible</v>
      </c>
    </row>
    <row r="33" spans="1:8" x14ac:dyDescent="0.35">
      <c r="A33" s="4">
        <v>2</v>
      </c>
      <c r="B33" s="5" t="s">
        <v>936</v>
      </c>
      <c r="C33" s="5">
        <v>85056</v>
      </c>
      <c r="D33" s="5">
        <v>2</v>
      </c>
      <c r="E33" s="5" t="str">
        <f t="shared" ref="E33:E51" si="4">IF(AND(C33&gt;=50000,D33&gt;=3),"Bonus Eligibile","No Bonus")</f>
        <v>No Bonus</v>
      </c>
      <c r="F33" s="5" t="b">
        <f t="shared" ref="F33:F51" si="5">AND(C33&gt;=50000,D33&gt;=3)</f>
        <v>0</v>
      </c>
      <c r="G33" s="95" t="b">
        <f t="shared" ref="G33:G51" si="6">OR(C33&gt;=50000,D33&gt;=3)</f>
        <v>1</v>
      </c>
      <c r="H33" s="5" t="str">
        <f t="shared" ref="H33:H51" si="7">IF(OR(C33&gt;=50000,D33&gt;=3),"Bonus Eligible", " No Bonus")</f>
        <v>Bonus Eligible</v>
      </c>
    </row>
    <row r="34" spans="1:8" x14ac:dyDescent="0.35">
      <c r="A34" s="4">
        <v>3</v>
      </c>
      <c r="B34" s="5" t="s">
        <v>937</v>
      </c>
      <c r="C34" s="5">
        <v>65900</v>
      </c>
      <c r="D34" s="5">
        <v>3</v>
      </c>
      <c r="E34" s="5" t="str">
        <f t="shared" si="4"/>
        <v>Bonus Eligibile</v>
      </c>
      <c r="F34" s="5" t="b">
        <f t="shared" si="5"/>
        <v>1</v>
      </c>
      <c r="G34" s="95" t="b">
        <f t="shared" si="6"/>
        <v>1</v>
      </c>
      <c r="H34" s="5" t="str">
        <f t="shared" si="7"/>
        <v>Bonus Eligible</v>
      </c>
    </row>
    <row r="35" spans="1:8" x14ac:dyDescent="0.35">
      <c r="A35" s="4">
        <v>4</v>
      </c>
      <c r="B35" s="5" t="s">
        <v>938</v>
      </c>
      <c r="C35" s="5">
        <v>49825</v>
      </c>
      <c r="D35" s="5">
        <v>1</v>
      </c>
      <c r="E35" s="5" t="str">
        <f t="shared" si="4"/>
        <v>No Bonus</v>
      </c>
      <c r="F35" s="5" t="b">
        <f t="shared" si="5"/>
        <v>0</v>
      </c>
      <c r="G35" s="95" t="b">
        <f t="shared" si="6"/>
        <v>0</v>
      </c>
      <c r="H35" s="5" t="str">
        <f t="shared" si="7"/>
        <v xml:space="preserve"> No Bonus</v>
      </c>
    </row>
    <row r="36" spans="1:8" x14ac:dyDescent="0.35">
      <c r="A36" s="4">
        <v>5</v>
      </c>
      <c r="B36" s="5" t="s">
        <v>939</v>
      </c>
      <c r="C36" s="5">
        <v>77583</v>
      </c>
      <c r="D36" s="5">
        <v>1</v>
      </c>
      <c r="E36" s="5" t="str">
        <f t="shared" si="4"/>
        <v>No Bonus</v>
      </c>
      <c r="F36" s="5" t="b">
        <f t="shared" si="5"/>
        <v>0</v>
      </c>
      <c r="G36" s="95" t="b">
        <f t="shared" si="6"/>
        <v>1</v>
      </c>
      <c r="H36" s="5" t="str">
        <f t="shared" si="7"/>
        <v>Bonus Eligible</v>
      </c>
    </row>
    <row r="37" spans="1:8" x14ac:dyDescent="0.35">
      <c r="A37" s="4">
        <v>6</v>
      </c>
      <c r="B37" s="5" t="s">
        <v>940</v>
      </c>
      <c r="C37" s="5">
        <v>62039</v>
      </c>
      <c r="D37" s="5">
        <v>3</v>
      </c>
      <c r="E37" s="5" t="str">
        <f t="shared" si="4"/>
        <v>Bonus Eligibile</v>
      </c>
      <c r="F37" s="5" t="b">
        <f t="shared" si="5"/>
        <v>1</v>
      </c>
      <c r="G37" s="95" t="b">
        <f t="shared" si="6"/>
        <v>1</v>
      </c>
      <c r="H37" s="5" t="str">
        <f t="shared" si="7"/>
        <v>Bonus Eligible</v>
      </c>
    </row>
    <row r="38" spans="1:8" x14ac:dyDescent="0.35">
      <c r="A38" s="4">
        <v>7</v>
      </c>
      <c r="B38" s="5" t="s">
        <v>941</v>
      </c>
      <c r="C38" s="5">
        <v>49241</v>
      </c>
      <c r="D38" s="5">
        <v>4</v>
      </c>
      <c r="E38" s="5" t="str">
        <f t="shared" si="4"/>
        <v>No Bonus</v>
      </c>
      <c r="F38" s="5" t="b">
        <f t="shared" si="5"/>
        <v>0</v>
      </c>
      <c r="G38" s="95" t="b">
        <f t="shared" si="6"/>
        <v>1</v>
      </c>
      <c r="H38" s="5" t="str">
        <f t="shared" si="7"/>
        <v>Bonus Eligible</v>
      </c>
    </row>
    <row r="39" spans="1:8" x14ac:dyDescent="0.35">
      <c r="A39" s="4">
        <v>8</v>
      </c>
      <c r="B39" s="5" t="s">
        <v>942</v>
      </c>
      <c r="C39" s="5">
        <v>48046</v>
      </c>
      <c r="D39" s="5">
        <v>2</v>
      </c>
      <c r="E39" s="5" t="str">
        <f t="shared" si="4"/>
        <v>No Bonus</v>
      </c>
      <c r="F39" s="5" t="b">
        <f t="shared" si="5"/>
        <v>0</v>
      </c>
      <c r="G39" s="95" t="b">
        <f t="shared" si="6"/>
        <v>0</v>
      </c>
      <c r="H39" s="5" t="str">
        <f t="shared" si="7"/>
        <v xml:space="preserve"> No Bonus</v>
      </c>
    </row>
    <row r="40" spans="1:8" x14ac:dyDescent="0.35">
      <c r="A40" s="4">
        <v>9</v>
      </c>
      <c r="B40" s="5" t="s">
        <v>943</v>
      </c>
      <c r="C40" s="5">
        <v>13201</v>
      </c>
      <c r="D40" s="5">
        <v>4</v>
      </c>
      <c r="E40" s="5" t="str">
        <f t="shared" si="4"/>
        <v>No Bonus</v>
      </c>
      <c r="F40" s="5" t="b">
        <f t="shared" si="5"/>
        <v>0</v>
      </c>
      <c r="G40" s="95" t="b">
        <f t="shared" si="6"/>
        <v>1</v>
      </c>
      <c r="H40" s="5" t="str">
        <f t="shared" si="7"/>
        <v>Bonus Eligible</v>
      </c>
    </row>
    <row r="41" spans="1:8" x14ac:dyDescent="0.35">
      <c r="A41" s="4">
        <v>10</v>
      </c>
      <c r="B41" s="5" t="s">
        <v>944</v>
      </c>
      <c r="C41" s="5">
        <v>63474</v>
      </c>
      <c r="D41" s="5">
        <v>5</v>
      </c>
      <c r="E41" s="5" t="str">
        <f t="shared" si="4"/>
        <v>Bonus Eligibile</v>
      </c>
      <c r="F41" s="5" t="b">
        <f t="shared" si="5"/>
        <v>1</v>
      </c>
      <c r="G41" s="95" t="b">
        <f t="shared" si="6"/>
        <v>1</v>
      </c>
      <c r="H41" s="5" t="str">
        <f t="shared" si="7"/>
        <v>Bonus Eligible</v>
      </c>
    </row>
    <row r="42" spans="1:8" x14ac:dyDescent="0.35">
      <c r="A42" s="4">
        <v>11</v>
      </c>
      <c r="B42" s="5" t="s">
        <v>945</v>
      </c>
      <c r="C42" s="5">
        <v>67520</v>
      </c>
      <c r="D42" s="5">
        <v>1</v>
      </c>
      <c r="E42" s="5" t="str">
        <f t="shared" si="4"/>
        <v>No Bonus</v>
      </c>
      <c r="F42" s="5" t="b">
        <f t="shared" si="5"/>
        <v>0</v>
      </c>
      <c r="G42" s="95" t="b">
        <f t="shared" si="6"/>
        <v>1</v>
      </c>
      <c r="H42" s="5" t="str">
        <f t="shared" si="7"/>
        <v>Bonus Eligible</v>
      </c>
    </row>
    <row r="43" spans="1:8" x14ac:dyDescent="0.35">
      <c r="A43" s="4">
        <v>12</v>
      </c>
      <c r="B43" s="5" t="s">
        <v>946</v>
      </c>
      <c r="C43" s="5">
        <v>38646</v>
      </c>
      <c r="D43" s="5">
        <v>5</v>
      </c>
      <c r="E43" s="5" t="str">
        <f t="shared" si="4"/>
        <v>No Bonus</v>
      </c>
      <c r="F43" s="5" t="b">
        <f t="shared" si="5"/>
        <v>0</v>
      </c>
      <c r="G43" s="95" t="b">
        <f t="shared" si="6"/>
        <v>1</v>
      </c>
      <c r="H43" s="5" t="str">
        <f t="shared" si="7"/>
        <v>Bonus Eligible</v>
      </c>
    </row>
    <row r="44" spans="1:8" x14ac:dyDescent="0.35">
      <c r="A44" s="4">
        <v>13</v>
      </c>
      <c r="B44" s="5" t="s">
        <v>947</v>
      </c>
      <c r="C44" s="5">
        <v>37846</v>
      </c>
      <c r="D44" s="5">
        <v>4</v>
      </c>
      <c r="E44" s="5" t="str">
        <f t="shared" si="4"/>
        <v>No Bonus</v>
      </c>
      <c r="F44" s="5" t="b">
        <f t="shared" si="5"/>
        <v>0</v>
      </c>
      <c r="G44" s="95" t="b">
        <f t="shared" si="6"/>
        <v>1</v>
      </c>
      <c r="H44" s="5" t="str">
        <f t="shared" si="7"/>
        <v>Bonus Eligible</v>
      </c>
    </row>
    <row r="45" spans="1:8" x14ac:dyDescent="0.35">
      <c r="A45" s="4">
        <v>14</v>
      </c>
      <c r="B45" s="5" t="s">
        <v>948</v>
      </c>
      <c r="C45" s="5">
        <v>10430</v>
      </c>
      <c r="D45" s="5">
        <v>3</v>
      </c>
      <c r="E45" s="5" t="str">
        <f t="shared" si="4"/>
        <v>No Bonus</v>
      </c>
      <c r="F45" s="5" t="b">
        <f t="shared" si="5"/>
        <v>0</v>
      </c>
      <c r="G45" s="95" t="b">
        <f t="shared" si="6"/>
        <v>1</v>
      </c>
      <c r="H45" s="5" t="str">
        <f t="shared" si="7"/>
        <v>Bonus Eligible</v>
      </c>
    </row>
    <row r="46" spans="1:8" x14ac:dyDescent="0.35">
      <c r="A46" s="4">
        <v>15</v>
      </c>
      <c r="B46" s="5" t="s">
        <v>225</v>
      </c>
      <c r="C46" s="5">
        <v>72308</v>
      </c>
      <c r="D46" s="5">
        <v>4</v>
      </c>
      <c r="E46" s="5" t="str">
        <f t="shared" si="4"/>
        <v>Bonus Eligibile</v>
      </c>
      <c r="F46" s="5" t="b">
        <f t="shared" si="5"/>
        <v>1</v>
      </c>
      <c r="G46" s="95" t="b">
        <f t="shared" si="6"/>
        <v>1</v>
      </c>
      <c r="H46" s="5" t="str">
        <f t="shared" si="7"/>
        <v>Bonus Eligible</v>
      </c>
    </row>
    <row r="47" spans="1:8" x14ac:dyDescent="0.35">
      <c r="A47" s="4">
        <v>16</v>
      </c>
      <c r="B47" s="5" t="s">
        <v>949</v>
      </c>
      <c r="C47" s="5">
        <v>80332</v>
      </c>
      <c r="D47" s="5">
        <v>4</v>
      </c>
      <c r="E47" s="5" t="str">
        <f t="shared" si="4"/>
        <v>Bonus Eligibile</v>
      </c>
      <c r="F47" s="5" t="b">
        <f t="shared" si="5"/>
        <v>1</v>
      </c>
      <c r="G47" s="95" t="b">
        <f t="shared" si="6"/>
        <v>1</v>
      </c>
      <c r="H47" s="5" t="str">
        <f t="shared" si="7"/>
        <v>Bonus Eligible</v>
      </c>
    </row>
    <row r="48" spans="1:8" x14ac:dyDescent="0.35">
      <c r="A48" s="4">
        <v>17</v>
      </c>
      <c r="B48" s="5" t="s">
        <v>950</v>
      </c>
      <c r="C48" s="5">
        <v>17129</v>
      </c>
      <c r="D48" s="5">
        <v>1</v>
      </c>
      <c r="E48" s="5" t="str">
        <f t="shared" si="4"/>
        <v>No Bonus</v>
      </c>
      <c r="F48" s="5" t="b">
        <f t="shared" si="5"/>
        <v>0</v>
      </c>
      <c r="G48" s="95" t="b">
        <f t="shared" si="6"/>
        <v>0</v>
      </c>
      <c r="H48" s="5" t="str">
        <f t="shared" si="7"/>
        <v xml:space="preserve"> No Bonus</v>
      </c>
    </row>
    <row r="49" spans="1:14" x14ac:dyDescent="0.35">
      <c r="A49" s="4">
        <v>18</v>
      </c>
      <c r="B49" s="5" t="s">
        <v>951</v>
      </c>
      <c r="C49" s="5">
        <v>79043</v>
      </c>
      <c r="D49" s="5">
        <v>4</v>
      </c>
      <c r="E49" s="5" t="str">
        <f t="shared" si="4"/>
        <v>Bonus Eligibile</v>
      </c>
      <c r="F49" s="5" t="b">
        <f t="shared" si="5"/>
        <v>1</v>
      </c>
      <c r="G49" s="95" t="b">
        <f t="shared" si="6"/>
        <v>1</v>
      </c>
      <c r="H49" s="5" t="str">
        <f t="shared" si="7"/>
        <v>Bonus Eligible</v>
      </c>
    </row>
    <row r="50" spans="1:14" x14ac:dyDescent="0.35">
      <c r="A50" s="4">
        <v>19</v>
      </c>
      <c r="B50" s="5" t="s">
        <v>952</v>
      </c>
      <c r="C50" s="5">
        <v>47439</v>
      </c>
      <c r="D50" s="5">
        <v>4</v>
      </c>
      <c r="E50" s="5" t="str">
        <f t="shared" si="4"/>
        <v>No Bonus</v>
      </c>
      <c r="F50" s="5" t="b">
        <f t="shared" si="5"/>
        <v>0</v>
      </c>
      <c r="G50" s="95" t="b">
        <f t="shared" si="6"/>
        <v>1</v>
      </c>
      <c r="H50" s="5" t="str">
        <f t="shared" si="7"/>
        <v>Bonus Eligible</v>
      </c>
    </row>
    <row r="51" spans="1:14" ht="15" thickBot="1" x14ac:dyDescent="0.4">
      <c r="A51" s="7">
        <v>20</v>
      </c>
      <c r="B51" s="8" t="s">
        <v>953</v>
      </c>
      <c r="C51" s="8">
        <v>81922</v>
      </c>
      <c r="D51" s="8">
        <v>5</v>
      </c>
      <c r="E51" s="5" t="str">
        <f t="shared" si="4"/>
        <v>Bonus Eligibile</v>
      </c>
      <c r="F51" s="5" t="b">
        <f t="shared" si="5"/>
        <v>1</v>
      </c>
      <c r="G51" s="95" t="b">
        <f t="shared" si="6"/>
        <v>1</v>
      </c>
      <c r="H51" s="5" t="str">
        <f t="shared" si="7"/>
        <v>Bonus Eligible</v>
      </c>
    </row>
    <row r="52" spans="1:14" x14ac:dyDescent="0.35">
      <c r="A52" s="1"/>
      <c r="B52" s="1"/>
      <c r="C52" s="1"/>
      <c r="D52" s="1"/>
      <c r="E52" s="1"/>
      <c r="F52" s="1"/>
      <c r="G52" s="1"/>
    </row>
    <row r="53" spans="1:14" x14ac:dyDescent="0.35">
      <c r="A53" s="1"/>
      <c r="B53" s="1"/>
      <c r="C53" s="1"/>
      <c r="D53" s="1"/>
      <c r="E53" s="1"/>
      <c r="F53" s="1"/>
      <c r="G53" s="1"/>
    </row>
    <row r="57" spans="1:14" ht="15" thickBot="1" x14ac:dyDescent="0.4"/>
    <row r="58" spans="1:14" ht="15" thickBot="1" x14ac:dyDescent="0.4">
      <c r="A58" s="171" t="s">
        <v>0</v>
      </c>
      <c r="B58" s="172" t="s">
        <v>932</v>
      </c>
      <c r="C58" s="172" t="s">
        <v>2</v>
      </c>
      <c r="D58" s="172" t="s">
        <v>3</v>
      </c>
      <c r="E58" s="172" t="s">
        <v>933</v>
      </c>
      <c r="F58" s="172" t="s">
        <v>5</v>
      </c>
      <c r="G58" s="172" t="s">
        <v>6</v>
      </c>
      <c r="H58" s="172" t="s">
        <v>23</v>
      </c>
      <c r="I58" s="184" t="s">
        <v>964</v>
      </c>
      <c r="J58" s="186" t="s">
        <v>972</v>
      </c>
    </row>
    <row r="59" spans="1:14" x14ac:dyDescent="0.35">
      <c r="A59" s="4">
        <v>1</v>
      </c>
      <c r="B59" s="5" t="s">
        <v>935</v>
      </c>
      <c r="C59" s="5">
        <v>100</v>
      </c>
      <c r="D59" s="5">
        <v>100</v>
      </c>
      <c r="E59" s="5">
        <v>90</v>
      </c>
      <c r="F59" s="5">
        <v>90</v>
      </c>
      <c r="G59" s="140">
        <f>SUM(C59:F59)</f>
        <v>380</v>
      </c>
      <c r="H59" s="174">
        <f>G59/400</f>
        <v>0.95</v>
      </c>
      <c r="I59" s="185" t="str" cm="1">
        <f t="array" ref="I59">_xlfn.IFS(H59&lt;30%,"D",H59&lt;50%,"C",H59&lt;75%,"B",H59&lt;90%,"A",H59&gt;90%,"A+")</f>
        <v>A+</v>
      </c>
      <c r="J59" s="90" cm="1">
        <f t="array" ref="J59">_xlfn.SWITCH(I59,"A+",10000,"A",5000,"B",2000,1000)</f>
        <v>10000</v>
      </c>
      <c r="L59" s="182" t="s">
        <v>965</v>
      </c>
      <c r="M59" s="183" t="s">
        <v>966</v>
      </c>
      <c r="N59">
        <v>1000</v>
      </c>
    </row>
    <row r="60" spans="1:14" x14ac:dyDescent="0.35">
      <c r="A60" s="4">
        <v>2</v>
      </c>
      <c r="B60" s="5" t="s">
        <v>936</v>
      </c>
      <c r="C60" s="5">
        <v>95</v>
      </c>
      <c r="D60" s="5">
        <v>85</v>
      </c>
      <c r="E60" s="5">
        <v>96</v>
      </c>
      <c r="F60" s="5">
        <v>95</v>
      </c>
      <c r="G60" s="140">
        <f t="shared" ref="G60:G78" si="8">SUM(C60:F60)</f>
        <v>371</v>
      </c>
      <c r="H60" s="174">
        <f t="shared" ref="H60:H78" si="9">G60/400</f>
        <v>0.92749999999999999</v>
      </c>
      <c r="I60" s="185" t="str" cm="1">
        <f t="array" ref="I60">_xlfn.IFS(H60&lt;30%,"D",H60&lt;50%,"C",H60&lt;75%,"B",H60&lt;90%,"A",H60&gt;90%,"A+")</f>
        <v>A+</v>
      </c>
      <c r="J60" s="90" cm="1">
        <f t="array" ref="J60">_xlfn.SWITCH(I60,"A+",10000,"A",5000,"B",2000,1000)</f>
        <v>10000</v>
      </c>
      <c r="L60" s="85" t="s">
        <v>967</v>
      </c>
      <c r="M60" s="86" t="s">
        <v>961</v>
      </c>
      <c r="N60">
        <v>1000</v>
      </c>
    </row>
    <row r="61" spans="1:14" x14ac:dyDescent="0.35">
      <c r="A61" s="4">
        <v>3</v>
      </c>
      <c r="B61" s="5" t="s">
        <v>937</v>
      </c>
      <c r="C61" s="5">
        <v>85</v>
      </c>
      <c r="D61" s="5">
        <v>87</v>
      </c>
      <c r="E61" s="5">
        <v>58</v>
      </c>
      <c r="F61" s="5">
        <v>62</v>
      </c>
      <c r="G61" s="140">
        <f t="shared" si="8"/>
        <v>292</v>
      </c>
      <c r="H61" s="174">
        <f t="shared" si="9"/>
        <v>0.73</v>
      </c>
      <c r="I61" s="185" t="str" cm="1">
        <f t="array" ref="I61">_xlfn.IFS(H61&lt;30%,"D",H61&lt;50%,"C",H61&lt;75%,"B",H61&lt;90%,"A",H61&gt;90%,"A+")</f>
        <v>B</v>
      </c>
      <c r="J61" s="90" cm="1">
        <f t="array" ref="J61">_xlfn.SWITCH(I61,"A+",10000,"A",5000,"B",2000,1000)</f>
        <v>2000</v>
      </c>
      <c r="L61" s="85" t="s">
        <v>968</v>
      </c>
      <c r="M61" s="86" t="s">
        <v>960</v>
      </c>
      <c r="N61">
        <v>2000</v>
      </c>
    </row>
    <row r="62" spans="1:14" x14ac:dyDescent="0.35">
      <c r="A62" s="4">
        <v>4</v>
      </c>
      <c r="B62" s="5" t="s">
        <v>938</v>
      </c>
      <c r="C62" s="5">
        <v>61</v>
      </c>
      <c r="D62" s="5">
        <v>52</v>
      </c>
      <c r="E62" s="5">
        <v>77</v>
      </c>
      <c r="F62" s="5">
        <v>67</v>
      </c>
      <c r="G62" s="140">
        <f t="shared" si="8"/>
        <v>257</v>
      </c>
      <c r="H62" s="174">
        <f t="shared" si="9"/>
        <v>0.64249999999999996</v>
      </c>
      <c r="I62" s="185" t="str" cm="1">
        <f t="array" ref="I62">_xlfn.IFS(H62&lt;30%,"D",H62&lt;50%,"C",H62&lt;75%,"B",H62&lt;90%,"A",H62&gt;90%,"A+")</f>
        <v>B</v>
      </c>
      <c r="J62" s="90" cm="1">
        <f t="array" ref="J62">_xlfn.SWITCH(I62,"A+",10000,"A",5000,"B",2000,1000)</f>
        <v>2000</v>
      </c>
      <c r="L62" s="85" t="s">
        <v>969</v>
      </c>
      <c r="M62" s="86" t="s">
        <v>959</v>
      </c>
      <c r="N62">
        <v>5000</v>
      </c>
    </row>
    <row r="63" spans="1:14" ht="15" thickBot="1" x14ac:dyDescent="0.4">
      <c r="A63" s="4">
        <v>5</v>
      </c>
      <c r="B63" s="5" t="s">
        <v>939</v>
      </c>
      <c r="C63" s="5">
        <v>26</v>
      </c>
      <c r="D63" s="5">
        <v>91</v>
      </c>
      <c r="E63" s="5">
        <v>75</v>
      </c>
      <c r="F63" s="5">
        <v>38</v>
      </c>
      <c r="G63" s="140">
        <f t="shared" si="8"/>
        <v>230</v>
      </c>
      <c r="H63" s="174">
        <f t="shared" si="9"/>
        <v>0.57499999999999996</v>
      </c>
      <c r="I63" s="185" t="str" cm="1">
        <f t="array" ref="I63">_xlfn.IFS(H63&lt;30%,"D",H63&lt;50%,"C",H63&lt;75%,"B",H63&lt;90%,"A",H63&gt;90%,"A+")</f>
        <v>B</v>
      </c>
      <c r="J63" s="90" cm="1">
        <f t="array" ref="J63">_xlfn.SWITCH(I63,"A+",10000,"A",5000,"B",2000,1000)</f>
        <v>2000</v>
      </c>
      <c r="L63" s="87" t="s">
        <v>970</v>
      </c>
      <c r="M63" s="89" t="s">
        <v>971</v>
      </c>
      <c r="N63">
        <v>10000</v>
      </c>
    </row>
    <row r="64" spans="1:14" x14ac:dyDescent="0.35">
      <c r="A64" s="4">
        <v>6</v>
      </c>
      <c r="B64" s="5" t="s">
        <v>940</v>
      </c>
      <c r="C64" s="5">
        <v>49</v>
      </c>
      <c r="D64" s="5">
        <v>55</v>
      </c>
      <c r="E64" s="5">
        <v>63</v>
      </c>
      <c r="F64" s="5">
        <v>73</v>
      </c>
      <c r="G64" s="140">
        <f t="shared" si="8"/>
        <v>240</v>
      </c>
      <c r="H64" s="174">
        <f t="shared" si="9"/>
        <v>0.6</v>
      </c>
      <c r="I64" s="185" t="str" cm="1">
        <f t="array" ref="I64">_xlfn.IFS(H64&lt;30%,"D",H64&lt;50%,"C",H64&lt;75%,"B",H64&lt;90%,"A",H64&gt;90%,"A+")</f>
        <v>B</v>
      </c>
      <c r="J64" s="90" cm="1">
        <f t="array" ref="J64">_xlfn.SWITCH(I64,"A+",10000,"A",5000,"B",2000,1000)</f>
        <v>2000</v>
      </c>
    </row>
    <row r="65" spans="1:10" x14ac:dyDescent="0.35">
      <c r="A65" s="4">
        <v>7</v>
      </c>
      <c r="B65" s="5" t="s">
        <v>941</v>
      </c>
      <c r="C65" s="5">
        <v>44</v>
      </c>
      <c r="D65" s="5">
        <v>56</v>
      </c>
      <c r="E65" s="5">
        <v>92</v>
      </c>
      <c r="F65" s="5">
        <v>77</v>
      </c>
      <c r="G65" s="140">
        <f t="shared" si="8"/>
        <v>269</v>
      </c>
      <c r="H65" s="174">
        <f t="shared" si="9"/>
        <v>0.67249999999999999</v>
      </c>
      <c r="I65" s="185" t="str" cm="1">
        <f t="array" ref="I65">_xlfn.IFS(H65&lt;30%,"D",H65&lt;50%,"C",H65&lt;75%,"B",H65&lt;90%,"A",H65&gt;90%,"A+")</f>
        <v>B</v>
      </c>
      <c r="J65" s="90" cm="1">
        <f t="array" ref="J65">_xlfn.SWITCH(I65,"A+",10000,"A",5000,"B",2000,1000)</f>
        <v>2000</v>
      </c>
    </row>
    <row r="66" spans="1:10" x14ac:dyDescent="0.35">
      <c r="A66" s="4">
        <v>8</v>
      </c>
      <c r="B66" s="5" t="s">
        <v>942</v>
      </c>
      <c r="C66" s="5">
        <v>95</v>
      </c>
      <c r="D66" s="5">
        <v>80</v>
      </c>
      <c r="E66" s="5">
        <v>62</v>
      </c>
      <c r="F66" s="5">
        <v>85</v>
      </c>
      <c r="G66" s="140">
        <f t="shared" si="8"/>
        <v>322</v>
      </c>
      <c r="H66" s="174">
        <f t="shared" si="9"/>
        <v>0.80500000000000005</v>
      </c>
      <c r="I66" s="185" t="str" cm="1">
        <f t="array" ref="I66">_xlfn.IFS(H66&lt;30%,"D",H66&lt;50%,"C",H66&lt;75%,"B",H66&lt;90%,"A",H66&gt;90%,"A+")</f>
        <v>A</v>
      </c>
      <c r="J66" s="90" cm="1">
        <f t="array" ref="J66">_xlfn.SWITCH(I66,"A+",10000,"A",5000,"B",2000,1000)</f>
        <v>5000</v>
      </c>
    </row>
    <row r="67" spans="1:10" x14ac:dyDescent="0.35">
      <c r="A67" s="4">
        <v>9</v>
      </c>
      <c r="B67" s="5" t="s">
        <v>943</v>
      </c>
      <c r="C67" s="5">
        <v>64</v>
      </c>
      <c r="D67" s="5">
        <v>59</v>
      </c>
      <c r="E67" s="5">
        <v>85</v>
      </c>
      <c r="F67" s="5">
        <v>58</v>
      </c>
      <c r="G67" s="140">
        <f t="shared" si="8"/>
        <v>266</v>
      </c>
      <c r="H67" s="174">
        <f t="shared" si="9"/>
        <v>0.66500000000000004</v>
      </c>
      <c r="I67" s="185" t="str" cm="1">
        <f t="array" ref="I67">_xlfn.IFS(H67&lt;30%,"D",H67&lt;50%,"C",H67&lt;75%,"B",H67&lt;90%,"A",H67&gt;90%,"A+")</f>
        <v>B</v>
      </c>
      <c r="J67" s="90" cm="1">
        <f t="array" ref="J67">_xlfn.SWITCH(I67,"A+",10000,"A",5000,"B",2000,1000)</f>
        <v>2000</v>
      </c>
    </row>
    <row r="68" spans="1:10" x14ac:dyDescent="0.35">
      <c r="A68" s="4">
        <v>10</v>
      </c>
      <c r="B68" s="5" t="s">
        <v>944</v>
      </c>
      <c r="C68" s="5">
        <v>32</v>
      </c>
      <c r="D68" s="5">
        <v>42</v>
      </c>
      <c r="E68" s="5">
        <v>30</v>
      </c>
      <c r="F68" s="5">
        <v>63</v>
      </c>
      <c r="G68" s="140">
        <f t="shared" si="8"/>
        <v>167</v>
      </c>
      <c r="H68" s="174">
        <f t="shared" si="9"/>
        <v>0.41749999999999998</v>
      </c>
      <c r="I68" s="185" t="str" cm="1">
        <f t="array" ref="I68">_xlfn.IFS(H68&lt;30%,"D",H68&lt;50%,"C",H68&lt;75%,"B",H68&lt;90%,"A",H68&gt;90%,"A+")</f>
        <v>C</v>
      </c>
      <c r="J68" s="90" cm="1">
        <f t="array" ref="J68">_xlfn.SWITCH(I68,"A+",10000,"A",5000,"B",2000,1000)</f>
        <v>1000</v>
      </c>
    </row>
    <row r="69" spans="1:10" x14ac:dyDescent="0.35">
      <c r="A69" s="4">
        <v>11</v>
      </c>
      <c r="B69" s="5" t="s">
        <v>945</v>
      </c>
      <c r="C69" s="5">
        <v>32</v>
      </c>
      <c r="D69" s="5">
        <v>68</v>
      </c>
      <c r="E69" s="5">
        <v>48</v>
      </c>
      <c r="F69" s="5">
        <v>95</v>
      </c>
      <c r="G69" s="140">
        <f t="shared" si="8"/>
        <v>243</v>
      </c>
      <c r="H69" s="174">
        <f t="shared" si="9"/>
        <v>0.60750000000000004</v>
      </c>
      <c r="I69" s="185" t="str" cm="1">
        <f t="array" ref="I69">_xlfn.IFS(H69&lt;30%,"D",H69&lt;50%,"C",H69&lt;75%,"B",H69&lt;90%,"A",H69&gt;90%,"A+")</f>
        <v>B</v>
      </c>
      <c r="J69" s="90" cm="1">
        <f t="array" ref="J69">_xlfn.SWITCH(I69,"A+",10000,"A",5000,"B",2000,1000)</f>
        <v>2000</v>
      </c>
    </row>
    <row r="70" spans="1:10" x14ac:dyDescent="0.35">
      <c r="A70" s="4">
        <v>12</v>
      </c>
      <c r="B70" s="5" t="s">
        <v>946</v>
      </c>
      <c r="C70" s="5">
        <v>98</v>
      </c>
      <c r="D70" s="5">
        <v>98</v>
      </c>
      <c r="E70" s="5">
        <v>100</v>
      </c>
      <c r="F70" s="5">
        <v>100</v>
      </c>
      <c r="G70" s="140">
        <f t="shared" si="8"/>
        <v>396</v>
      </c>
      <c r="H70" s="174">
        <f t="shared" si="9"/>
        <v>0.99</v>
      </c>
      <c r="I70" s="185" t="str" cm="1">
        <f t="array" ref="I70">_xlfn.IFS(H70&lt;30%,"D",H70&lt;50%,"C",H70&lt;75%,"B",H70&lt;90%,"A",H70&gt;90%,"A+")</f>
        <v>A+</v>
      </c>
      <c r="J70" s="90" cm="1">
        <f t="array" ref="J70">_xlfn.SWITCH(I70,"A+",10000,"A",5000,"B",2000,1000)</f>
        <v>10000</v>
      </c>
    </row>
    <row r="71" spans="1:10" x14ac:dyDescent="0.35">
      <c r="A71" s="4">
        <v>13</v>
      </c>
      <c r="B71" s="5" t="s">
        <v>947</v>
      </c>
      <c r="C71" s="5">
        <v>61</v>
      </c>
      <c r="D71" s="5">
        <v>83</v>
      </c>
      <c r="E71" s="5">
        <v>39</v>
      </c>
      <c r="F71" s="5">
        <v>80</v>
      </c>
      <c r="G71" s="140">
        <f t="shared" si="8"/>
        <v>263</v>
      </c>
      <c r="H71" s="174">
        <f t="shared" si="9"/>
        <v>0.65749999999999997</v>
      </c>
      <c r="I71" s="185" t="str" cm="1">
        <f t="array" ref="I71">_xlfn.IFS(H71&lt;30%,"D",H71&lt;50%,"C",H71&lt;75%,"B",H71&lt;90%,"A",H71&gt;90%,"A+")</f>
        <v>B</v>
      </c>
      <c r="J71" s="90" cm="1">
        <f t="array" ref="J71">_xlfn.SWITCH(I71,"A+",10000,"A",5000,"B",2000,1000)</f>
        <v>2000</v>
      </c>
    </row>
    <row r="72" spans="1:10" x14ac:dyDescent="0.35">
      <c r="A72" s="4">
        <v>14</v>
      </c>
      <c r="B72" s="5" t="s">
        <v>948</v>
      </c>
      <c r="C72" s="5">
        <v>58</v>
      </c>
      <c r="D72" s="5">
        <v>87</v>
      </c>
      <c r="E72" s="5">
        <v>72</v>
      </c>
      <c r="F72" s="5">
        <v>46</v>
      </c>
      <c r="G72" s="140">
        <f t="shared" si="8"/>
        <v>263</v>
      </c>
      <c r="H72" s="174">
        <f t="shared" si="9"/>
        <v>0.65749999999999997</v>
      </c>
      <c r="I72" s="185" t="str" cm="1">
        <f t="array" ref="I72">_xlfn.IFS(H72&lt;30%,"D",H72&lt;50%,"C",H72&lt;75%,"B",H72&lt;90%,"A",H72&gt;90%,"A+")</f>
        <v>B</v>
      </c>
      <c r="J72" s="90" cm="1">
        <f t="array" ref="J72">_xlfn.SWITCH(I72,"A+",10000,"A",5000,"B",2000,1000)</f>
        <v>2000</v>
      </c>
    </row>
    <row r="73" spans="1:10" x14ac:dyDescent="0.35">
      <c r="A73" s="4">
        <v>15</v>
      </c>
      <c r="B73" s="5" t="s">
        <v>225</v>
      </c>
      <c r="C73" s="5">
        <v>71</v>
      </c>
      <c r="D73" s="5">
        <v>64</v>
      </c>
      <c r="E73" s="5">
        <v>25</v>
      </c>
      <c r="F73" s="5">
        <v>66</v>
      </c>
      <c r="G73" s="140">
        <f t="shared" si="8"/>
        <v>226</v>
      </c>
      <c r="H73" s="174">
        <f t="shared" si="9"/>
        <v>0.56499999999999995</v>
      </c>
      <c r="I73" s="185" t="str" cm="1">
        <f t="array" ref="I73">_xlfn.IFS(H73&lt;30%,"D",H73&lt;50%,"C",H73&lt;75%,"B",H73&lt;90%,"A",H73&gt;90%,"A+")</f>
        <v>B</v>
      </c>
      <c r="J73" s="90" cm="1">
        <f t="array" ref="J73">_xlfn.SWITCH(I73,"A+",10000,"A",5000,"B",2000,1000)</f>
        <v>2000</v>
      </c>
    </row>
    <row r="74" spans="1:10" x14ac:dyDescent="0.35">
      <c r="A74" s="4">
        <v>16</v>
      </c>
      <c r="B74" s="5" t="s">
        <v>949</v>
      </c>
      <c r="C74" s="5">
        <v>80</v>
      </c>
      <c r="D74" s="5">
        <v>31</v>
      </c>
      <c r="E74" s="5">
        <v>96</v>
      </c>
      <c r="F74" s="5">
        <v>94</v>
      </c>
      <c r="G74" s="140">
        <f t="shared" si="8"/>
        <v>301</v>
      </c>
      <c r="H74" s="174">
        <f t="shared" si="9"/>
        <v>0.75249999999999995</v>
      </c>
      <c r="I74" s="185" t="str" cm="1">
        <f t="array" ref="I74">_xlfn.IFS(H74&lt;30%,"D",H74&lt;50%,"C",H74&lt;75%,"B",H74&lt;90%,"A",H74&gt;90%,"A+")</f>
        <v>A</v>
      </c>
      <c r="J74" s="90" cm="1">
        <f t="array" ref="J74">_xlfn.SWITCH(I74,"A+",10000,"A",5000,"B",2000,1000)</f>
        <v>5000</v>
      </c>
    </row>
    <row r="75" spans="1:10" x14ac:dyDescent="0.35">
      <c r="A75" s="4">
        <v>17</v>
      </c>
      <c r="B75" s="5" t="s">
        <v>950</v>
      </c>
      <c r="C75" s="5">
        <v>72</v>
      </c>
      <c r="D75" s="5">
        <v>10</v>
      </c>
      <c r="E75" s="5">
        <v>10</v>
      </c>
      <c r="F75" s="5">
        <v>10</v>
      </c>
      <c r="G75" s="140">
        <f t="shared" si="8"/>
        <v>102</v>
      </c>
      <c r="H75" s="174">
        <f t="shared" si="9"/>
        <v>0.255</v>
      </c>
      <c r="I75" s="185" t="str" cm="1">
        <f t="array" ref="I75">_xlfn.IFS(H75&lt;30%,"D",H75&lt;50%,"C",H75&lt;75%,"B",H75&lt;90%,"A",H75&gt;90%,"A+")</f>
        <v>D</v>
      </c>
      <c r="J75" s="90" cm="1">
        <f t="array" ref="J75">_xlfn.SWITCH(I75,"A+",10000,"A",5000,"B",2000,1000)</f>
        <v>1000</v>
      </c>
    </row>
    <row r="76" spans="1:10" x14ac:dyDescent="0.35">
      <c r="A76" s="4">
        <v>18</v>
      </c>
      <c r="B76" s="5" t="s">
        <v>951</v>
      </c>
      <c r="C76" s="5">
        <v>67</v>
      </c>
      <c r="D76" s="5">
        <v>54</v>
      </c>
      <c r="E76" s="5">
        <v>84</v>
      </c>
      <c r="F76" s="5">
        <v>73</v>
      </c>
      <c r="G76" s="140">
        <f t="shared" si="8"/>
        <v>278</v>
      </c>
      <c r="H76" s="174">
        <f t="shared" si="9"/>
        <v>0.69499999999999995</v>
      </c>
      <c r="I76" s="185" t="str" cm="1">
        <f t="array" ref="I76">_xlfn.IFS(H76&lt;30%,"D",H76&lt;50%,"C",H76&lt;75%,"B",H76&lt;90%,"A",H76&gt;90%,"A+")</f>
        <v>B</v>
      </c>
      <c r="J76" s="90" cm="1">
        <f t="array" ref="J76">_xlfn.SWITCH(I76,"A+",10000,"A",5000,"B",2000,1000)</f>
        <v>2000</v>
      </c>
    </row>
    <row r="77" spans="1:10" x14ac:dyDescent="0.35">
      <c r="A77" s="4">
        <v>19</v>
      </c>
      <c r="B77" s="5" t="s">
        <v>952</v>
      </c>
      <c r="C77" s="5">
        <v>30</v>
      </c>
      <c r="D77" s="5">
        <v>69</v>
      </c>
      <c r="E77" s="5">
        <v>78</v>
      </c>
      <c r="F77" s="5">
        <v>59</v>
      </c>
      <c r="G77" s="140">
        <f t="shared" si="8"/>
        <v>236</v>
      </c>
      <c r="H77" s="174">
        <f t="shared" si="9"/>
        <v>0.59</v>
      </c>
      <c r="I77" s="185" t="str" cm="1">
        <f t="array" ref="I77">_xlfn.IFS(H77&lt;30%,"D",H77&lt;50%,"C",H77&lt;75%,"B",H77&lt;90%,"A",H77&gt;90%,"A+")</f>
        <v>B</v>
      </c>
      <c r="J77" s="90" cm="1">
        <f t="array" ref="J77">_xlfn.SWITCH(I77,"A+",10000,"A",5000,"B",2000,1000)</f>
        <v>2000</v>
      </c>
    </row>
    <row r="78" spans="1:10" ht="15" thickBot="1" x14ac:dyDescent="0.4">
      <c r="A78" s="7">
        <v>20</v>
      </c>
      <c r="B78" s="8" t="s">
        <v>953</v>
      </c>
      <c r="C78" s="8">
        <v>26</v>
      </c>
      <c r="D78" s="8">
        <v>38</v>
      </c>
      <c r="E78" s="8">
        <v>33</v>
      </c>
      <c r="F78" s="8">
        <v>42</v>
      </c>
      <c r="G78" s="140">
        <f t="shared" si="8"/>
        <v>139</v>
      </c>
      <c r="H78" s="174">
        <f t="shared" si="9"/>
        <v>0.34749999999999998</v>
      </c>
      <c r="I78" s="185" t="str" cm="1">
        <f t="array" ref="I78">_xlfn.IFS(H78&lt;30%,"D",H78&lt;50%,"C",H78&lt;75%,"B",H78&lt;90%,"A",H78&gt;90%,"A+")</f>
        <v>C</v>
      </c>
      <c r="J78" s="90" cm="1">
        <f t="array" ref="J78">_xlfn.SWITCH(I78,"A+",10000,"A",5000,"B",2000,1000)</f>
        <v>1000</v>
      </c>
    </row>
    <row r="90" spans="5:7" x14ac:dyDescent="0.35">
      <c r="E90">
        <v>50</v>
      </c>
      <c r="F90">
        <v>0</v>
      </c>
      <c r="G90" t="str">
        <f>IFERROR(E90/F90,"Value is Wrong")</f>
        <v>Value is Wrong</v>
      </c>
    </row>
    <row r="96" spans="5:7" x14ac:dyDescent="0.35">
      <c r="E96">
        <v>6846</v>
      </c>
      <c r="F96" t="b">
        <f>ISEVEN(E96)</f>
        <v>1</v>
      </c>
      <c r="G96" t="b">
        <f>ISTEXT(E96)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075C-B911-4CFF-B3C0-D28E44756FE0}">
  <sheetPr>
    <tabColor theme="3" tint="0.499984740745262"/>
  </sheetPr>
  <dimension ref="A1:K94"/>
  <sheetViews>
    <sheetView topLeftCell="A6" zoomScale="205" zoomScaleNormal="205" workbookViewId="0">
      <selection activeCell="C85" sqref="C85:E94"/>
    </sheetView>
  </sheetViews>
  <sheetFormatPr defaultRowHeight="14.5" x14ac:dyDescent="0.35"/>
  <cols>
    <col min="1" max="1" width="11.36328125" customWidth="1"/>
    <col min="2" max="2" width="15.26953125" customWidth="1"/>
    <col min="3" max="3" width="12" customWidth="1"/>
    <col min="5" max="5" width="12.6328125" customWidth="1"/>
    <col min="6" max="6" width="19.36328125" customWidth="1"/>
    <col min="7" max="7" width="20.08984375" customWidth="1"/>
    <col min="8" max="8" width="19.36328125" customWidth="1"/>
    <col min="9" max="9" width="24.6328125" bestFit="1" customWidth="1"/>
  </cols>
  <sheetData>
    <row r="1" spans="2:11" ht="15" thickBot="1" x14ac:dyDescent="0.4"/>
    <row r="2" spans="2:11" ht="15" thickBot="1" x14ac:dyDescent="0.4">
      <c r="B2" s="109" t="s">
        <v>903</v>
      </c>
      <c r="C2" s="320"/>
      <c r="D2" s="321"/>
      <c r="E2" s="322"/>
      <c r="F2" s="34">
        <v>45728</v>
      </c>
      <c r="G2" s="109" t="s">
        <v>904</v>
      </c>
      <c r="H2" s="323"/>
      <c r="I2" s="324"/>
      <c r="J2" s="325"/>
      <c r="K2" s="110">
        <v>0.4909722222222222</v>
      </c>
    </row>
    <row r="4" spans="2:11" ht="15" thickBot="1" x14ac:dyDescent="0.4"/>
    <row r="5" spans="2:11" x14ac:dyDescent="0.35">
      <c r="B5" s="111" t="s">
        <v>905</v>
      </c>
      <c r="C5" s="145" t="s">
        <v>168</v>
      </c>
      <c r="D5" s="145" t="s">
        <v>906</v>
      </c>
      <c r="E5" s="145" t="s">
        <v>907</v>
      </c>
      <c r="F5" s="145" t="s">
        <v>908</v>
      </c>
      <c r="G5" s="146" t="s">
        <v>905</v>
      </c>
    </row>
    <row r="6" spans="2:11" x14ac:dyDescent="0.35">
      <c r="B6" s="113">
        <v>41043</v>
      </c>
      <c r="C6" s="139"/>
      <c r="D6" s="140"/>
      <c r="E6" s="140"/>
      <c r="F6" s="140"/>
      <c r="G6" s="141"/>
    </row>
    <row r="7" spans="2:11" x14ac:dyDescent="0.35">
      <c r="B7" s="113">
        <v>36126</v>
      </c>
      <c r="C7" s="139"/>
      <c r="D7" s="140"/>
      <c r="E7" s="140"/>
      <c r="F7" s="140"/>
      <c r="G7" s="141"/>
    </row>
    <row r="8" spans="2:11" x14ac:dyDescent="0.35">
      <c r="B8" s="113">
        <v>45147</v>
      </c>
      <c r="C8" s="139"/>
      <c r="D8" s="140"/>
      <c r="E8" s="140"/>
      <c r="F8" s="140"/>
      <c r="G8" s="141"/>
    </row>
    <row r="9" spans="2:11" x14ac:dyDescent="0.35">
      <c r="B9" s="113">
        <v>38383</v>
      </c>
      <c r="C9" s="139"/>
      <c r="D9" s="140"/>
      <c r="E9" s="140"/>
      <c r="F9" s="140"/>
      <c r="G9" s="141"/>
    </row>
    <row r="10" spans="2:11" x14ac:dyDescent="0.35">
      <c r="B10" s="113">
        <v>42938</v>
      </c>
      <c r="C10" s="139"/>
      <c r="D10" s="140"/>
      <c r="E10" s="140"/>
      <c r="F10" s="140"/>
      <c r="G10" s="141"/>
    </row>
    <row r="11" spans="2:11" x14ac:dyDescent="0.35">
      <c r="B11" s="113">
        <v>34247</v>
      </c>
      <c r="C11" s="139"/>
      <c r="D11" s="140"/>
      <c r="E11" s="140"/>
      <c r="F11" s="140"/>
      <c r="G11" s="141"/>
    </row>
    <row r="12" spans="2:11" x14ac:dyDescent="0.35">
      <c r="B12" s="113">
        <v>40255</v>
      </c>
      <c r="C12" s="139"/>
      <c r="D12" s="140"/>
      <c r="E12" s="140"/>
      <c r="F12" s="140"/>
      <c r="G12" s="141"/>
    </row>
    <row r="13" spans="2:11" x14ac:dyDescent="0.35">
      <c r="B13" s="113">
        <v>44536</v>
      </c>
      <c r="C13" s="139"/>
      <c r="D13" s="140"/>
      <c r="E13" s="140"/>
      <c r="F13" s="140"/>
      <c r="G13" s="141"/>
    </row>
    <row r="14" spans="2:11" x14ac:dyDescent="0.35">
      <c r="B14" s="113">
        <v>36645</v>
      </c>
      <c r="C14" s="139"/>
      <c r="D14" s="140"/>
      <c r="E14" s="140"/>
      <c r="F14" s="140"/>
      <c r="G14" s="141"/>
    </row>
    <row r="15" spans="2:11" ht="15" thickBot="1" x14ac:dyDescent="0.4">
      <c r="B15" s="114">
        <v>42258</v>
      </c>
      <c r="C15" s="142"/>
      <c r="D15" s="143"/>
      <c r="E15" s="143"/>
      <c r="F15" s="143"/>
      <c r="G15" s="144"/>
    </row>
    <row r="23" spans="1:9" ht="15" thickBot="1" x14ac:dyDescent="0.4"/>
    <row r="24" spans="1:9" x14ac:dyDescent="0.35">
      <c r="A24" s="115" t="s">
        <v>909</v>
      </c>
      <c r="B24" s="115" t="s">
        <v>910</v>
      </c>
      <c r="C24" s="116" t="s">
        <v>911</v>
      </c>
      <c r="D24" s="117" t="s">
        <v>170</v>
      </c>
      <c r="E24" s="118" t="s">
        <v>912</v>
      </c>
      <c r="F24" s="112" t="s">
        <v>913</v>
      </c>
      <c r="G24" s="112" t="s">
        <v>914</v>
      </c>
      <c r="H24" s="94" t="s">
        <v>915</v>
      </c>
      <c r="I24" s="94" t="s">
        <v>916</v>
      </c>
    </row>
    <row r="25" spans="1:9" x14ac:dyDescent="0.35">
      <c r="A25" s="119">
        <v>45385</v>
      </c>
      <c r="B25" s="120">
        <v>45604</v>
      </c>
      <c r="C25" s="121">
        <v>45646</v>
      </c>
      <c r="D25" s="5"/>
      <c r="E25" s="5"/>
      <c r="F25" s="5"/>
      <c r="G25" s="122"/>
      <c r="H25" s="95"/>
      <c r="I25" s="95"/>
    </row>
    <row r="26" spans="1:9" x14ac:dyDescent="0.35">
      <c r="A26" s="119">
        <v>45428</v>
      </c>
      <c r="B26" s="120">
        <v>45342</v>
      </c>
      <c r="C26" s="121">
        <v>45562</v>
      </c>
      <c r="D26" s="5"/>
      <c r="E26" s="5"/>
      <c r="F26" s="5"/>
      <c r="G26" s="122"/>
      <c r="H26" s="95"/>
      <c r="I26" s="95"/>
    </row>
    <row r="27" spans="1:9" x14ac:dyDescent="0.35">
      <c r="A27" s="119">
        <v>45509</v>
      </c>
      <c r="B27" s="120">
        <v>45680</v>
      </c>
      <c r="C27" s="121">
        <v>45723</v>
      </c>
      <c r="D27" s="5"/>
      <c r="E27" s="5"/>
      <c r="F27" s="5"/>
      <c r="G27" s="122"/>
      <c r="H27" s="95"/>
      <c r="I27" s="95"/>
    </row>
    <row r="28" spans="1:9" x14ac:dyDescent="0.35">
      <c r="A28" s="119">
        <v>45529</v>
      </c>
      <c r="B28" s="120">
        <v>45292</v>
      </c>
      <c r="C28" s="121">
        <v>45433</v>
      </c>
      <c r="D28" s="5"/>
      <c r="E28" s="5"/>
      <c r="F28" s="5"/>
      <c r="G28" s="122"/>
      <c r="H28" s="95"/>
      <c r="I28" s="95"/>
    </row>
    <row r="29" spans="1:9" x14ac:dyDescent="0.35">
      <c r="A29" s="119">
        <v>45535</v>
      </c>
      <c r="B29" s="120">
        <v>45441</v>
      </c>
      <c r="C29" s="121">
        <v>45595</v>
      </c>
      <c r="D29" s="5"/>
      <c r="E29" s="5"/>
      <c r="F29" s="5"/>
      <c r="G29" s="122"/>
      <c r="H29" s="95"/>
      <c r="I29" s="95"/>
    </row>
    <row r="30" spans="1:9" x14ac:dyDescent="0.35">
      <c r="A30" s="119">
        <v>45553</v>
      </c>
      <c r="B30" s="120">
        <v>45632</v>
      </c>
      <c r="C30" s="121">
        <v>45701</v>
      </c>
      <c r="D30" s="5"/>
      <c r="E30" s="5"/>
      <c r="F30" s="5"/>
      <c r="G30" s="122"/>
      <c r="H30" s="95"/>
      <c r="I30" s="95"/>
    </row>
    <row r="31" spans="1:9" x14ac:dyDescent="0.35">
      <c r="A31" s="119">
        <v>45590</v>
      </c>
      <c r="B31" s="120">
        <v>45526</v>
      </c>
      <c r="C31" s="121">
        <v>45724</v>
      </c>
      <c r="D31" s="5"/>
      <c r="E31" s="5"/>
      <c r="F31" s="5"/>
      <c r="G31" s="122"/>
      <c r="H31" s="95"/>
      <c r="I31" s="95"/>
    </row>
    <row r="32" spans="1:9" x14ac:dyDescent="0.35">
      <c r="A32" s="119">
        <v>45652</v>
      </c>
      <c r="B32" s="120">
        <v>45668</v>
      </c>
      <c r="C32" s="121">
        <v>45705</v>
      </c>
      <c r="D32" s="5"/>
      <c r="E32" s="5"/>
      <c r="F32" s="5"/>
      <c r="G32" s="122"/>
      <c r="H32" s="95"/>
      <c r="I32" s="95"/>
    </row>
    <row r="33" spans="1:9" x14ac:dyDescent="0.35">
      <c r="A33" s="119">
        <v>45693</v>
      </c>
      <c r="B33" s="120">
        <v>45509</v>
      </c>
      <c r="C33" s="121">
        <v>45763</v>
      </c>
      <c r="D33" s="5"/>
      <c r="E33" s="5"/>
      <c r="F33" s="5"/>
      <c r="G33" s="122"/>
      <c r="H33" s="95"/>
      <c r="I33" s="95"/>
    </row>
    <row r="34" spans="1:9" ht="15" thickBot="1" x14ac:dyDescent="0.4">
      <c r="A34" s="123">
        <v>45693</v>
      </c>
      <c r="B34" s="124">
        <v>45602</v>
      </c>
      <c r="C34" s="125">
        <v>45662</v>
      </c>
      <c r="D34" s="5"/>
      <c r="E34" s="5"/>
      <c r="F34" s="5"/>
      <c r="G34" s="122"/>
      <c r="H34" s="95"/>
      <c r="I34" s="95"/>
    </row>
    <row r="44" spans="1:9" ht="15" thickBot="1" x14ac:dyDescent="0.4"/>
    <row r="45" spans="1:9" x14ac:dyDescent="0.35">
      <c r="B45" s="115" t="s">
        <v>910</v>
      </c>
      <c r="C45" s="116" t="s">
        <v>917</v>
      </c>
      <c r="D45" s="116" t="s">
        <v>170</v>
      </c>
      <c r="E45" s="116" t="s">
        <v>918</v>
      </c>
      <c r="F45" s="116" t="s">
        <v>919</v>
      </c>
    </row>
    <row r="46" spans="1:9" x14ac:dyDescent="0.35">
      <c r="B46" s="120">
        <v>45604</v>
      </c>
      <c r="C46" s="126">
        <v>2</v>
      </c>
      <c r="D46" s="126">
        <v>60</v>
      </c>
      <c r="E46" s="127"/>
      <c r="F46" s="127"/>
    </row>
    <row r="47" spans="1:9" x14ac:dyDescent="0.35">
      <c r="B47" s="120">
        <v>45342</v>
      </c>
      <c r="C47" s="126">
        <v>3</v>
      </c>
      <c r="D47" s="126">
        <v>90</v>
      </c>
      <c r="E47" s="127"/>
      <c r="F47" s="127"/>
    </row>
    <row r="48" spans="1:9" x14ac:dyDescent="0.35">
      <c r="B48" s="120">
        <v>45680</v>
      </c>
      <c r="C48" s="126">
        <v>3</v>
      </c>
      <c r="D48" s="126">
        <v>65</v>
      </c>
      <c r="E48" s="127"/>
      <c r="F48" s="127"/>
    </row>
    <row r="49" spans="2:8" x14ac:dyDescent="0.35">
      <c r="B49" s="120">
        <v>45292</v>
      </c>
      <c r="C49" s="126">
        <v>4</v>
      </c>
      <c r="D49" s="126">
        <v>52</v>
      </c>
      <c r="E49" s="127"/>
      <c r="F49" s="127"/>
    </row>
    <row r="50" spans="2:8" x14ac:dyDescent="0.35">
      <c r="B50" s="120">
        <v>45441</v>
      </c>
      <c r="C50" s="126">
        <v>6</v>
      </c>
      <c r="D50" s="126">
        <v>62</v>
      </c>
      <c r="E50" s="127"/>
      <c r="F50" s="127"/>
    </row>
    <row r="51" spans="2:8" x14ac:dyDescent="0.35">
      <c r="B51" s="120">
        <v>45632</v>
      </c>
      <c r="C51" s="126">
        <v>5</v>
      </c>
      <c r="D51" s="126">
        <v>32</v>
      </c>
      <c r="E51" s="127"/>
      <c r="F51" s="127"/>
    </row>
    <row r="52" spans="2:8" x14ac:dyDescent="0.35">
      <c r="B52" s="120">
        <v>45526</v>
      </c>
      <c r="C52" s="126">
        <v>2</v>
      </c>
      <c r="D52" s="126">
        <v>60</v>
      </c>
      <c r="E52" s="127"/>
      <c r="F52" s="127"/>
    </row>
    <row r="53" spans="2:8" x14ac:dyDescent="0.35">
      <c r="B53" s="120">
        <v>45668</v>
      </c>
      <c r="C53" s="126">
        <v>3</v>
      </c>
      <c r="D53" s="126">
        <v>90</v>
      </c>
      <c r="E53" s="127"/>
      <c r="F53" s="127"/>
    </row>
    <row r="54" spans="2:8" x14ac:dyDescent="0.35">
      <c r="B54" s="120">
        <v>45509</v>
      </c>
      <c r="C54" s="126">
        <v>1</v>
      </c>
      <c r="D54" s="126">
        <v>30</v>
      </c>
      <c r="E54" s="127"/>
      <c r="F54" s="127"/>
    </row>
    <row r="55" spans="2:8" ht="15" thickBot="1" x14ac:dyDescent="0.4">
      <c r="B55" s="124">
        <v>45602</v>
      </c>
      <c r="C55" s="128">
        <v>2</v>
      </c>
      <c r="D55" s="129">
        <v>62</v>
      </c>
      <c r="E55" s="127"/>
      <c r="F55" s="127"/>
    </row>
    <row r="62" spans="2:8" ht="15" thickBot="1" x14ac:dyDescent="0.4"/>
    <row r="63" spans="2:8" x14ac:dyDescent="0.35">
      <c r="B63" s="115" t="s">
        <v>910</v>
      </c>
      <c r="C63" s="115" t="s">
        <v>909</v>
      </c>
      <c r="D63" s="116" t="s">
        <v>170</v>
      </c>
      <c r="E63" s="116" t="s">
        <v>920</v>
      </c>
      <c r="F63" s="116" t="s">
        <v>921</v>
      </c>
      <c r="G63" s="130" t="s">
        <v>922</v>
      </c>
      <c r="H63" s="130" t="s">
        <v>923</v>
      </c>
    </row>
    <row r="64" spans="2:8" x14ac:dyDescent="0.35">
      <c r="B64" s="120">
        <v>45604</v>
      </c>
      <c r="C64" s="119">
        <v>45385</v>
      </c>
      <c r="D64" s="131">
        <v>50</v>
      </c>
      <c r="E64" s="132"/>
      <c r="F64" s="132"/>
      <c r="G64" s="133"/>
      <c r="H64" s="133"/>
    </row>
    <row r="65" spans="2:8" x14ac:dyDescent="0.35">
      <c r="B65" s="120">
        <v>45342</v>
      </c>
      <c r="C65" s="119">
        <v>45428</v>
      </c>
      <c r="D65" s="131">
        <v>60</v>
      </c>
      <c r="E65" s="132"/>
      <c r="F65" s="132"/>
      <c r="G65" s="133"/>
      <c r="H65" s="133"/>
    </row>
    <row r="66" spans="2:8" x14ac:dyDescent="0.35">
      <c r="B66" s="120">
        <v>45680</v>
      </c>
      <c r="C66" s="119">
        <v>45509</v>
      </c>
      <c r="D66" s="131">
        <v>20</v>
      </c>
      <c r="E66" s="132"/>
      <c r="F66" s="132"/>
      <c r="G66" s="133"/>
      <c r="H66" s="133"/>
    </row>
    <row r="67" spans="2:8" x14ac:dyDescent="0.35">
      <c r="B67" s="120">
        <v>45292</v>
      </c>
      <c r="C67" s="119">
        <v>45529</v>
      </c>
      <c r="D67" s="131">
        <v>35</v>
      </c>
      <c r="E67" s="132"/>
      <c r="F67" s="132"/>
      <c r="G67" s="133"/>
      <c r="H67" s="133"/>
    </row>
    <row r="68" spans="2:8" x14ac:dyDescent="0.35">
      <c r="B68" s="120">
        <v>45441</v>
      </c>
      <c r="C68" s="119">
        <v>45535</v>
      </c>
      <c r="D68" s="131">
        <v>45</v>
      </c>
      <c r="E68" s="132"/>
      <c r="F68" s="132"/>
      <c r="G68" s="133"/>
      <c r="H68" s="133"/>
    </row>
    <row r="69" spans="2:8" x14ac:dyDescent="0.35">
      <c r="B69" s="120">
        <v>45632</v>
      </c>
      <c r="C69" s="119">
        <v>45553</v>
      </c>
      <c r="D69" s="131">
        <v>52</v>
      </c>
      <c r="E69" s="132"/>
      <c r="F69" s="132"/>
      <c r="G69" s="133"/>
      <c r="H69" s="133"/>
    </row>
    <row r="70" spans="2:8" x14ac:dyDescent="0.35">
      <c r="B70" s="120">
        <v>45526</v>
      </c>
      <c r="C70" s="119">
        <v>45590</v>
      </c>
      <c r="D70" s="131">
        <v>42</v>
      </c>
      <c r="E70" s="132"/>
      <c r="F70" s="132"/>
      <c r="G70" s="133"/>
      <c r="H70" s="133"/>
    </row>
    <row r="71" spans="2:8" x14ac:dyDescent="0.35">
      <c r="B71" s="120">
        <v>45668</v>
      </c>
      <c r="C71" s="119">
        <v>45652</v>
      </c>
      <c r="D71" s="131">
        <v>50</v>
      </c>
      <c r="E71" s="132"/>
      <c r="F71" s="132"/>
      <c r="G71" s="133"/>
      <c r="H71" s="133"/>
    </row>
    <row r="72" spans="2:8" x14ac:dyDescent="0.35">
      <c r="B72" s="120">
        <v>45509</v>
      </c>
      <c r="C72" s="119">
        <v>45693</v>
      </c>
      <c r="D72" s="131">
        <v>52</v>
      </c>
      <c r="E72" s="132"/>
      <c r="F72" s="132"/>
      <c r="G72" s="133"/>
      <c r="H72" s="133"/>
    </row>
    <row r="73" spans="2:8" ht="15" thickBot="1" x14ac:dyDescent="0.4">
      <c r="B73" s="124">
        <v>45602</v>
      </c>
      <c r="C73" s="123">
        <v>45693</v>
      </c>
      <c r="D73" s="134">
        <v>42</v>
      </c>
      <c r="E73" s="132"/>
      <c r="F73" s="132"/>
      <c r="G73" s="133"/>
      <c r="H73" s="133"/>
    </row>
    <row r="83" spans="2:5" ht="15" thickBot="1" x14ac:dyDescent="0.4"/>
    <row r="84" spans="2:5" x14ac:dyDescent="0.35">
      <c r="B84" s="115" t="s">
        <v>924</v>
      </c>
      <c r="C84" s="115" t="s">
        <v>925</v>
      </c>
      <c r="D84" s="116" t="s">
        <v>926</v>
      </c>
      <c r="E84" s="116" t="s">
        <v>927</v>
      </c>
    </row>
    <row r="85" spans="2:5" x14ac:dyDescent="0.35">
      <c r="B85" s="135">
        <v>0.38255787037037037</v>
      </c>
      <c r="C85" s="136"/>
      <c r="D85" s="131"/>
      <c r="E85" s="137"/>
    </row>
    <row r="86" spans="2:5" x14ac:dyDescent="0.35">
      <c r="B86" s="135">
        <v>0.92321759259259262</v>
      </c>
      <c r="C86" s="136"/>
      <c r="D86" s="131"/>
      <c r="E86" s="137"/>
    </row>
    <row r="87" spans="2:5" x14ac:dyDescent="0.35">
      <c r="B87" s="135">
        <v>6.6527777777777783E-2</v>
      </c>
      <c r="C87" s="136"/>
      <c r="D87" s="131"/>
      <c r="E87" s="137"/>
    </row>
    <row r="88" spans="2:5" x14ac:dyDescent="0.35">
      <c r="B88" s="135">
        <v>0.96116898148148144</v>
      </c>
      <c r="C88" s="136"/>
      <c r="D88" s="131"/>
      <c r="E88" s="137"/>
    </row>
    <row r="89" spans="2:5" x14ac:dyDescent="0.35">
      <c r="B89" s="135">
        <v>5.6643518518518517E-2</v>
      </c>
      <c r="C89" s="136"/>
      <c r="D89" s="131"/>
      <c r="E89" s="137"/>
    </row>
    <row r="90" spans="2:5" x14ac:dyDescent="0.35">
      <c r="B90" s="135">
        <v>0.58608796296296295</v>
      </c>
      <c r="C90" s="136"/>
      <c r="D90" s="131"/>
      <c r="E90" s="137"/>
    </row>
    <row r="91" spans="2:5" x14ac:dyDescent="0.35">
      <c r="B91" s="135">
        <v>0.25799768518518518</v>
      </c>
      <c r="C91" s="136"/>
      <c r="D91" s="131"/>
      <c r="E91" s="137"/>
    </row>
    <row r="92" spans="2:5" x14ac:dyDescent="0.35">
      <c r="B92" s="135">
        <v>0.71309027777777778</v>
      </c>
      <c r="C92" s="136"/>
      <c r="D92" s="131"/>
      <c r="E92" s="137"/>
    </row>
    <row r="93" spans="2:5" x14ac:dyDescent="0.35">
      <c r="B93" s="135">
        <v>0.55476851851851849</v>
      </c>
      <c r="C93" s="136"/>
      <c r="D93" s="131"/>
      <c r="E93" s="137"/>
    </row>
    <row r="94" spans="2:5" ht="15" thickBot="1" x14ac:dyDescent="0.4">
      <c r="B94" s="138">
        <v>0.25489583333333332</v>
      </c>
      <c r="C94" s="136"/>
      <c r="D94" s="131"/>
      <c r="E94" s="137"/>
    </row>
  </sheetData>
  <mergeCells count="2">
    <mergeCell ref="C2:E2"/>
    <mergeCell ref="H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0AD2-1305-4270-933E-0702B00169C6}">
  <sheetPr>
    <tabColor theme="3" tint="0.499984740745262"/>
  </sheetPr>
  <dimension ref="A1:K122"/>
  <sheetViews>
    <sheetView topLeftCell="B117" zoomScale="265" zoomScaleNormal="265" workbookViewId="0">
      <selection activeCell="C122" sqref="C122"/>
    </sheetView>
  </sheetViews>
  <sheetFormatPr defaultRowHeight="14.5" x14ac:dyDescent="0.35"/>
  <cols>
    <col min="1" max="1" width="11.36328125" customWidth="1"/>
    <col min="2" max="2" width="15.26953125" customWidth="1"/>
    <col min="3" max="3" width="12" customWidth="1"/>
    <col min="4" max="4" width="10.08984375" bestFit="1" customWidth="1"/>
    <col min="5" max="5" width="12.6328125" customWidth="1"/>
    <col min="6" max="6" width="19.36328125" customWidth="1"/>
    <col min="7" max="7" width="20.08984375" customWidth="1"/>
    <col min="8" max="8" width="19.36328125" customWidth="1"/>
    <col min="9" max="9" width="24.6328125" bestFit="1" customWidth="1"/>
  </cols>
  <sheetData>
    <row r="1" spans="2:11" ht="15" thickBot="1" x14ac:dyDescent="0.4"/>
    <row r="2" spans="2:11" ht="15" thickBot="1" x14ac:dyDescent="0.4">
      <c r="B2" s="109" t="s">
        <v>903</v>
      </c>
      <c r="C2" s="320">
        <f ca="1">TODAY()</f>
        <v>46130</v>
      </c>
      <c r="D2" s="321"/>
      <c r="E2" s="322"/>
      <c r="F2" s="34">
        <v>46122</v>
      </c>
      <c r="G2" s="109" t="s">
        <v>904</v>
      </c>
      <c r="H2" s="323">
        <f ca="1">NOW()</f>
        <v>46130.704679629627</v>
      </c>
      <c r="I2" s="324"/>
      <c r="J2" s="325"/>
      <c r="K2" s="110">
        <v>0.61875000000000002</v>
      </c>
    </row>
    <row r="4" spans="2:11" ht="15" thickBot="1" x14ac:dyDescent="0.4"/>
    <row r="5" spans="2:11" x14ac:dyDescent="0.35">
      <c r="B5" s="111" t="s">
        <v>905</v>
      </c>
      <c r="C5" s="145" t="s">
        <v>168</v>
      </c>
      <c r="D5" s="145" t="s">
        <v>906</v>
      </c>
      <c r="E5" s="145" t="s">
        <v>907</v>
      </c>
      <c r="F5" s="145" t="s">
        <v>908</v>
      </c>
      <c r="G5" s="146" t="s">
        <v>905</v>
      </c>
    </row>
    <row r="6" spans="2:11" x14ac:dyDescent="0.35">
      <c r="B6" s="113">
        <v>41043</v>
      </c>
      <c r="C6" s="139" t="str">
        <f>TEXT(B6,"ddd")</f>
        <v>Mon</v>
      </c>
      <c r="D6" s="140">
        <f>DAY(B6)</f>
        <v>14</v>
      </c>
      <c r="E6" s="140">
        <f>MONTH(B6)</f>
        <v>5</v>
      </c>
      <c r="F6" s="140">
        <f>YEAR(B6)</f>
        <v>2012</v>
      </c>
      <c r="G6" s="151">
        <f>DATE(F6,E6,D6)</f>
        <v>41043</v>
      </c>
    </row>
    <row r="7" spans="2:11" x14ac:dyDescent="0.35">
      <c r="B7" s="113">
        <v>36126</v>
      </c>
      <c r="C7" s="139" t="str">
        <f t="shared" ref="C7:C15" si="0">TEXT(B7,"ddd")</f>
        <v>Fri</v>
      </c>
      <c r="D7" s="140">
        <f t="shared" ref="D7:D15" si="1">DAY(B7)</f>
        <v>27</v>
      </c>
      <c r="E7" s="140">
        <f t="shared" ref="E7:E15" si="2">MONTH(B7)</f>
        <v>11</v>
      </c>
      <c r="F7" s="140">
        <f t="shared" ref="F7:F15" si="3">YEAR(B7)</f>
        <v>1998</v>
      </c>
      <c r="G7" s="151">
        <f t="shared" ref="G7:G15" si="4">DATE(F7,E7,D7)</f>
        <v>36126</v>
      </c>
    </row>
    <row r="8" spans="2:11" x14ac:dyDescent="0.35">
      <c r="B8" s="113">
        <v>45147</v>
      </c>
      <c r="C8" s="139" t="str">
        <f t="shared" si="0"/>
        <v>Wed</v>
      </c>
      <c r="D8" s="140">
        <f t="shared" si="1"/>
        <v>9</v>
      </c>
      <c r="E8" s="140">
        <f t="shared" si="2"/>
        <v>8</v>
      </c>
      <c r="F8" s="140">
        <f t="shared" si="3"/>
        <v>2023</v>
      </c>
      <c r="G8" s="151">
        <f t="shared" si="4"/>
        <v>45147</v>
      </c>
    </row>
    <row r="9" spans="2:11" x14ac:dyDescent="0.35">
      <c r="B9" s="113">
        <v>38383</v>
      </c>
      <c r="C9" s="139" t="str">
        <f t="shared" si="0"/>
        <v>Mon</v>
      </c>
      <c r="D9" s="140">
        <f t="shared" si="1"/>
        <v>31</v>
      </c>
      <c r="E9" s="140">
        <f t="shared" si="2"/>
        <v>1</v>
      </c>
      <c r="F9" s="140">
        <f t="shared" si="3"/>
        <v>2005</v>
      </c>
      <c r="G9" s="151">
        <f t="shared" si="4"/>
        <v>38383</v>
      </c>
    </row>
    <row r="10" spans="2:11" x14ac:dyDescent="0.35">
      <c r="B10" s="113">
        <v>42938</v>
      </c>
      <c r="C10" s="139" t="str">
        <f t="shared" si="0"/>
        <v>Sat</v>
      </c>
      <c r="D10" s="140">
        <f t="shared" si="1"/>
        <v>22</v>
      </c>
      <c r="E10" s="140">
        <f t="shared" si="2"/>
        <v>7</v>
      </c>
      <c r="F10" s="140">
        <f t="shared" si="3"/>
        <v>2017</v>
      </c>
      <c r="G10" s="151">
        <f t="shared" si="4"/>
        <v>42938</v>
      </c>
    </row>
    <row r="11" spans="2:11" x14ac:dyDescent="0.35">
      <c r="B11" s="113">
        <v>34247</v>
      </c>
      <c r="C11" s="139" t="str">
        <f t="shared" si="0"/>
        <v>Tue</v>
      </c>
      <c r="D11" s="140">
        <f t="shared" si="1"/>
        <v>5</v>
      </c>
      <c r="E11" s="140">
        <f t="shared" si="2"/>
        <v>10</v>
      </c>
      <c r="F11" s="140">
        <f t="shared" si="3"/>
        <v>1993</v>
      </c>
      <c r="G11" s="151">
        <f t="shared" si="4"/>
        <v>34247</v>
      </c>
    </row>
    <row r="12" spans="2:11" x14ac:dyDescent="0.35">
      <c r="B12" s="113">
        <v>40255</v>
      </c>
      <c r="C12" s="139" t="str">
        <f t="shared" si="0"/>
        <v>Thu</v>
      </c>
      <c r="D12" s="140">
        <f t="shared" si="1"/>
        <v>18</v>
      </c>
      <c r="E12" s="140">
        <f t="shared" si="2"/>
        <v>3</v>
      </c>
      <c r="F12" s="140">
        <f t="shared" si="3"/>
        <v>2010</v>
      </c>
      <c r="G12" s="151">
        <f t="shared" si="4"/>
        <v>40255</v>
      </c>
    </row>
    <row r="13" spans="2:11" x14ac:dyDescent="0.35">
      <c r="B13" s="113">
        <v>44536</v>
      </c>
      <c r="C13" s="139" t="str">
        <f t="shared" si="0"/>
        <v>Mon</v>
      </c>
      <c r="D13" s="140">
        <f t="shared" si="1"/>
        <v>6</v>
      </c>
      <c r="E13" s="140">
        <f t="shared" si="2"/>
        <v>12</v>
      </c>
      <c r="F13" s="140">
        <f t="shared" si="3"/>
        <v>2021</v>
      </c>
      <c r="G13" s="151">
        <f t="shared" si="4"/>
        <v>44536</v>
      </c>
    </row>
    <row r="14" spans="2:11" x14ac:dyDescent="0.35">
      <c r="B14" s="113">
        <v>36645</v>
      </c>
      <c r="C14" s="139" t="str">
        <f t="shared" si="0"/>
        <v>Sat</v>
      </c>
      <c r="D14" s="140">
        <f t="shared" si="1"/>
        <v>29</v>
      </c>
      <c r="E14" s="140">
        <f t="shared" si="2"/>
        <v>4</v>
      </c>
      <c r="F14" s="140">
        <f t="shared" si="3"/>
        <v>2000</v>
      </c>
      <c r="G14" s="151">
        <f t="shared" si="4"/>
        <v>36645</v>
      </c>
    </row>
    <row r="15" spans="2:11" ht="15" thickBot="1" x14ac:dyDescent="0.4">
      <c r="B15" s="114">
        <v>42258</v>
      </c>
      <c r="C15" s="139" t="str">
        <f t="shared" si="0"/>
        <v>Fri</v>
      </c>
      <c r="D15" s="140">
        <f t="shared" si="1"/>
        <v>11</v>
      </c>
      <c r="E15" s="140">
        <f t="shared" si="2"/>
        <v>9</v>
      </c>
      <c r="F15" s="140">
        <f t="shared" si="3"/>
        <v>2015</v>
      </c>
      <c r="G15" s="151">
        <f t="shared" si="4"/>
        <v>42258</v>
      </c>
    </row>
    <row r="23" spans="1:9" ht="15" thickBot="1" x14ac:dyDescent="0.4"/>
    <row r="24" spans="1:9" x14ac:dyDescent="0.35">
      <c r="A24" s="115" t="s">
        <v>909</v>
      </c>
      <c r="B24" s="115" t="s">
        <v>910</v>
      </c>
      <c r="C24" s="116" t="s">
        <v>911</v>
      </c>
      <c r="D24" s="117" t="s">
        <v>170</v>
      </c>
      <c r="E24" s="118" t="s">
        <v>912</v>
      </c>
      <c r="F24" s="112" t="s">
        <v>913</v>
      </c>
      <c r="G24" s="112" t="s">
        <v>914</v>
      </c>
      <c r="H24" s="94" t="s">
        <v>915</v>
      </c>
      <c r="I24" s="94" t="s">
        <v>916</v>
      </c>
    </row>
    <row r="25" spans="1:9" x14ac:dyDescent="0.35">
      <c r="A25" s="119">
        <v>46117</v>
      </c>
      <c r="B25" s="120">
        <v>46106</v>
      </c>
      <c r="C25" s="121">
        <v>46117</v>
      </c>
      <c r="D25" s="5">
        <f>_xlfn.DAYS(C25,B25)</f>
        <v>11</v>
      </c>
      <c r="E25" s="5">
        <f>DAYS360(B25,C25)</f>
        <v>10</v>
      </c>
      <c r="F25" s="5">
        <f>NETWORKDAYS(B25,C25)</f>
        <v>8</v>
      </c>
      <c r="G25" s="122">
        <f>NETWORKDAYS(B25,C25,A25)</f>
        <v>8</v>
      </c>
      <c r="H25" s="95">
        <f>NETWORKDAYS.INTL(B25,C25,11)</f>
        <v>10</v>
      </c>
      <c r="I25" s="95">
        <f>NETWORKDAYS.INTL(B25,C25,11,A25)</f>
        <v>10</v>
      </c>
    </row>
    <row r="26" spans="1:9" x14ac:dyDescent="0.35">
      <c r="A26" s="119">
        <v>46085</v>
      </c>
      <c r="B26" s="120">
        <v>46078</v>
      </c>
      <c r="C26" s="121">
        <v>46086</v>
      </c>
      <c r="D26" s="5">
        <f t="shared" ref="D26:D34" si="5">_xlfn.DAYS(C26,B26)</f>
        <v>8</v>
      </c>
      <c r="E26" s="5">
        <f t="shared" ref="E26:E34" si="6">DAYS360(B26,C26)</f>
        <v>10</v>
      </c>
      <c r="F26" s="5">
        <f t="shared" ref="F26:F34" si="7">NETWORKDAYS(B26,C26)</f>
        <v>7</v>
      </c>
      <c r="G26" s="122">
        <f t="shared" ref="G26:G34" si="8">NETWORKDAYS(B26,C26,A26)</f>
        <v>6</v>
      </c>
      <c r="H26" s="95">
        <f t="shared" ref="H26:H34" si="9">NETWORKDAYS.INTL(B26,C26,11)</f>
        <v>8</v>
      </c>
      <c r="I26" s="95">
        <f t="shared" ref="I26:I34" si="10">NETWORKDAYS.INTL(B26,C26,11,A26)</f>
        <v>7</v>
      </c>
    </row>
    <row r="27" spans="1:9" x14ac:dyDescent="0.35">
      <c r="A27" s="119">
        <v>45509</v>
      </c>
      <c r="B27" s="120">
        <v>45680</v>
      </c>
      <c r="C27" s="121">
        <v>45723</v>
      </c>
      <c r="D27" s="5">
        <f t="shared" si="5"/>
        <v>43</v>
      </c>
      <c r="E27" s="5">
        <f t="shared" si="6"/>
        <v>44</v>
      </c>
      <c r="F27" s="5">
        <f t="shared" si="7"/>
        <v>32</v>
      </c>
      <c r="G27" s="122">
        <f t="shared" si="8"/>
        <v>32</v>
      </c>
      <c r="H27" s="95">
        <f t="shared" si="9"/>
        <v>38</v>
      </c>
      <c r="I27" s="95">
        <f t="shared" si="10"/>
        <v>38</v>
      </c>
    </row>
    <row r="28" spans="1:9" x14ac:dyDescent="0.35">
      <c r="A28" s="119">
        <v>45529</v>
      </c>
      <c r="B28" s="120">
        <v>45292</v>
      </c>
      <c r="C28" s="121">
        <v>45433</v>
      </c>
      <c r="D28" s="5">
        <f t="shared" si="5"/>
        <v>141</v>
      </c>
      <c r="E28" s="5">
        <f t="shared" si="6"/>
        <v>140</v>
      </c>
      <c r="F28" s="5">
        <f t="shared" si="7"/>
        <v>102</v>
      </c>
      <c r="G28" s="122">
        <f t="shared" si="8"/>
        <v>102</v>
      </c>
      <c r="H28" s="95">
        <f t="shared" si="9"/>
        <v>122</v>
      </c>
      <c r="I28" s="95">
        <f t="shared" si="10"/>
        <v>122</v>
      </c>
    </row>
    <row r="29" spans="1:9" x14ac:dyDescent="0.35">
      <c r="A29" s="119">
        <v>45535</v>
      </c>
      <c r="B29" s="120">
        <v>45441</v>
      </c>
      <c r="C29" s="121">
        <v>45595</v>
      </c>
      <c r="D29" s="5">
        <f t="shared" si="5"/>
        <v>154</v>
      </c>
      <c r="E29" s="5">
        <f t="shared" si="6"/>
        <v>151</v>
      </c>
      <c r="F29" s="5">
        <f t="shared" si="7"/>
        <v>111</v>
      </c>
      <c r="G29" s="122">
        <f t="shared" si="8"/>
        <v>111</v>
      </c>
      <c r="H29" s="95">
        <f t="shared" si="9"/>
        <v>133</v>
      </c>
      <c r="I29" s="95">
        <f t="shared" si="10"/>
        <v>132</v>
      </c>
    </row>
    <row r="30" spans="1:9" x14ac:dyDescent="0.35">
      <c r="A30" s="119">
        <v>45553</v>
      </c>
      <c r="B30" s="120">
        <v>45632</v>
      </c>
      <c r="C30" s="121">
        <v>45701</v>
      </c>
      <c r="D30" s="5">
        <f t="shared" si="5"/>
        <v>69</v>
      </c>
      <c r="E30" s="5">
        <f t="shared" si="6"/>
        <v>67</v>
      </c>
      <c r="F30" s="5">
        <f t="shared" si="7"/>
        <v>50</v>
      </c>
      <c r="G30" s="122">
        <f t="shared" si="8"/>
        <v>50</v>
      </c>
      <c r="H30" s="95">
        <f t="shared" si="9"/>
        <v>60</v>
      </c>
      <c r="I30" s="95">
        <f t="shared" si="10"/>
        <v>60</v>
      </c>
    </row>
    <row r="31" spans="1:9" x14ac:dyDescent="0.35">
      <c r="A31" s="119">
        <v>45590</v>
      </c>
      <c r="B31" s="120">
        <v>45526</v>
      </c>
      <c r="C31" s="121">
        <v>45724</v>
      </c>
      <c r="D31" s="5">
        <f t="shared" si="5"/>
        <v>198</v>
      </c>
      <c r="E31" s="5">
        <f t="shared" si="6"/>
        <v>196</v>
      </c>
      <c r="F31" s="5">
        <f t="shared" si="7"/>
        <v>142</v>
      </c>
      <c r="G31" s="122">
        <f t="shared" si="8"/>
        <v>141</v>
      </c>
      <c r="H31" s="95">
        <f t="shared" si="9"/>
        <v>171</v>
      </c>
      <c r="I31" s="95">
        <f t="shared" si="10"/>
        <v>170</v>
      </c>
    </row>
    <row r="32" spans="1:9" x14ac:dyDescent="0.35">
      <c r="A32" s="119">
        <v>45652</v>
      </c>
      <c r="B32" s="120">
        <v>45668</v>
      </c>
      <c r="C32" s="121">
        <v>45705</v>
      </c>
      <c r="D32" s="5">
        <f t="shared" si="5"/>
        <v>37</v>
      </c>
      <c r="E32" s="5">
        <f t="shared" si="6"/>
        <v>36</v>
      </c>
      <c r="F32" s="5">
        <f t="shared" si="7"/>
        <v>26</v>
      </c>
      <c r="G32" s="122">
        <f t="shared" si="8"/>
        <v>26</v>
      </c>
      <c r="H32" s="95">
        <f t="shared" si="9"/>
        <v>32</v>
      </c>
      <c r="I32" s="95">
        <f t="shared" si="10"/>
        <v>32</v>
      </c>
    </row>
    <row r="33" spans="1:9" x14ac:dyDescent="0.35">
      <c r="A33" s="119">
        <v>45693</v>
      </c>
      <c r="B33" s="120">
        <v>45509</v>
      </c>
      <c r="C33" s="121">
        <v>45763</v>
      </c>
      <c r="D33" s="5">
        <f t="shared" si="5"/>
        <v>254</v>
      </c>
      <c r="E33" s="5">
        <f t="shared" si="6"/>
        <v>251</v>
      </c>
      <c r="F33" s="5">
        <f t="shared" si="7"/>
        <v>183</v>
      </c>
      <c r="G33" s="122">
        <f t="shared" si="8"/>
        <v>182</v>
      </c>
      <c r="H33" s="95">
        <f t="shared" si="9"/>
        <v>219</v>
      </c>
      <c r="I33" s="95">
        <f t="shared" si="10"/>
        <v>218</v>
      </c>
    </row>
    <row r="34" spans="1:9" ht="15" thickBot="1" x14ac:dyDescent="0.4">
      <c r="A34" s="123">
        <v>45693</v>
      </c>
      <c r="B34" s="124">
        <v>45602</v>
      </c>
      <c r="C34" s="125">
        <v>45662</v>
      </c>
      <c r="D34" s="5">
        <f t="shared" si="5"/>
        <v>60</v>
      </c>
      <c r="E34" s="5">
        <f t="shared" si="6"/>
        <v>59</v>
      </c>
      <c r="F34" s="5">
        <f t="shared" si="7"/>
        <v>43</v>
      </c>
      <c r="G34" s="122">
        <f t="shared" si="8"/>
        <v>43</v>
      </c>
      <c r="H34" s="95">
        <f t="shared" si="9"/>
        <v>52</v>
      </c>
      <c r="I34" s="95">
        <f t="shared" si="10"/>
        <v>52</v>
      </c>
    </row>
    <row r="44" spans="1:9" ht="15" thickBot="1" x14ac:dyDescent="0.4"/>
    <row r="45" spans="1:9" x14ac:dyDescent="0.35">
      <c r="B45" s="115" t="s">
        <v>910</v>
      </c>
      <c r="C45" s="116" t="s">
        <v>917</v>
      </c>
      <c r="D45" s="116" t="s">
        <v>170</v>
      </c>
      <c r="E45" s="116" t="s">
        <v>918</v>
      </c>
      <c r="F45" s="116" t="s">
        <v>919</v>
      </c>
      <c r="H45" s="34">
        <v>46143</v>
      </c>
      <c r="I45" s="161">
        <f>EOMONTH(H45,0)</f>
        <v>46173</v>
      </c>
    </row>
    <row r="46" spans="1:9" x14ac:dyDescent="0.35">
      <c r="B46" s="120">
        <v>45604</v>
      </c>
      <c r="C46" s="126">
        <v>2</v>
      </c>
      <c r="D46" s="126">
        <v>60</v>
      </c>
      <c r="E46" s="127">
        <f>EDATE(B46,C46)</f>
        <v>45665</v>
      </c>
      <c r="F46" s="127">
        <f>EOMONTH(B46,C46)</f>
        <v>45688</v>
      </c>
    </row>
    <row r="47" spans="1:9" x14ac:dyDescent="0.35">
      <c r="B47" s="120">
        <v>45342</v>
      </c>
      <c r="C47" s="126">
        <v>3</v>
      </c>
      <c r="D47" s="126">
        <v>90</v>
      </c>
      <c r="E47" s="127">
        <f t="shared" ref="E47:E55" si="11">EDATE(B47,C47)</f>
        <v>45432</v>
      </c>
      <c r="F47" s="127">
        <f t="shared" ref="F47:F55" si="12">EOMONTH(B47,C47)</f>
        <v>45443</v>
      </c>
    </row>
    <row r="48" spans="1:9" x14ac:dyDescent="0.35">
      <c r="B48" s="120">
        <v>45680</v>
      </c>
      <c r="C48" s="126">
        <v>3</v>
      </c>
      <c r="D48" s="126">
        <v>65</v>
      </c>
      <c r="E48" s="127">
        <f t="shared" si="11"/>
        <v>45770</v>
      </c>
      <c r="F48" s="127">
        <f t="shared" si="12"/>
        <v>45777</v>
      </c>
    </row>
    <row r="49" spans="2:8" x14ac:dyDescent="0.35">
      <c r="B49" s="120">
        <v>45292</v>
      </c>
      <c r="C49" s="126">
        <v>4</v>
      </c>
      <c r="D49" s="126">
        <v>52</v>
      </c>
      <c r="E49" s="127">
        <f t="shared" si="11"/>
        <v>45413</v>
      </c>
      <c r="F49" s="127">
        <f t="shared" si="12"/>
        <v>45443</v>
      </c>
    </row>
    <row r="50" spans="2:8" x14ac:dyDescent="0.35">
      <c r="B50" s="120">
        <v>45441</v>
      </c>
      <c r="C50" s="126">
        <v>6</v>
      </c>
      <c r="D50" s="126">
        <v>62</v>
      </c>
      <c r="E50" s="127">
        <f t="shared" si="11"/>
        <v>45625</v>
      </c>
      <c r="F50" s="127">
        <f t="shared" si="12"/>
        <v>45626</v>
      </c>
    </row>
    <row r="51" spans="2:8" x14ac:dyDescent="0.35">
      <c r="B51" s="120">
        <v>45632</v>
      </c>
      <c r="C51" s="126">
        <v>5</v>
      </c>
      <c r="D51" s="126">
        <v>32</v>
      </c>
      <c r="E51" s="127">
        <f t="shared" si="11"/>
        <v>45783</v>
      </c>
      <c r="F51" s="127">
        <f t="shared" si="12"/>
        <v>45808</v>
      </c>
    </row>
    <row r="52" spans="2:8" x14ac:dyDescent="0.35">
      <c r="B52" s="120">
        <v>45526</v>
      </c>
      <c r="C52" s="126">
        <v>2</v>
      </c>
      <c r="D52" s="126">
        <v>60</v>
      </c>
      <c r="E52" s="127">
        <f t="shared" si="11"/>
        <v>45587</v>
      </c>
      <c r="F52" s="127">
        <f t="shared" si="12"/>
        <v>45596</v>
      </c>
    </row>
    <row r="53" spans="2:8" x14ac:dyDescent="0.35">
      <c r="B53" s="120">
        <v>45668</v>
      </c>
      <c r="C53" s="126">
        <v>3</v>
      </c>
      <c r="D53" s="126">
        <v>90</v>
      </c>
      <c r="E53" s="127">
        <f t="shared" si="11"/>
        <v>45758</v>
      </c>
      <c r="F53" s="127">
        <f t="shared" si="12"/>
        <v>45777</v>
      </c>
    </row>
    <row r="54" spans="2:8" x14ac:dyDescent="0.35">
      <c r="B54" s="120">
        <v>45509</v>
      </c>
      <c r="C54" s="126">
        <v>1</v>
      </c>
      <c r="D54" s="126">
        <v>30</v>
      </c>
      <c r="E54" s="127">
        <f t="shared" si="11"/>
        <v>45540</v>
      </c>
      <c r="F54" s="127">
        <f t="shared" si="12"/>
        <v>45565</v>
      </c>
    </row>
    <row r="55" spans="2:8" ht="15" thickBot="1" x14ac:dyDescent="0.4">
      <c r="B55" s="124">
        <v>45602</v>
      </c>
      <c r="C55" s="128">
        <v>2</v>
      </c>
      <c r="D55" s="129">
        <v>62</v>
      </c>
      <c r="E55" s="127">
        <f t="shared" si="11"/>
        <v>45663</v>
      </c>
      <c r="F55" s="127">
        <f t="shared" si="12"/>
        <v>45688</v>
      </c>
    </row>
    <row r="62" spans="2:8" ht="15" thickBot="1" x14ac:dyDescent="0.4"/>
    <row r="63" spans="2:8" x14ac:dyDescent="0.35">
      <c r="B63" s="115" t="s">
        <v>910</v>
      </c>
      <c r="C63" s="115" t="s">
        <v>909</v>
      </c>
      <c r="D63" s="116" t="s">
        <v>170</v>
      </c>
      <c r="E63" s="116" t="s">
        <v>920</v>
      </c>
      <c r="F63" s="116" t="s">
        <v>921</v>
      </c>
      <c r="G63" s="130" t="s">
        <v>922</v>
      </c>
      <c r="H63" s="130" t="s">
        <v>923</v>
      </c>
    </row>
    <row r="64" spans="2:8" x14ac:dyDescent="0.35">
      <c r="B64" s="120">
        <v>46110</v>
      </c>
      <c r="C64" s="119">
        <v>46115</v>
      </c>
      <c r="D64" s="131">
        <v>10</v>
      </c>
      <c r="E64" s="132">
        <f>WORKDAY(B64,D64)</f>
        <v>46122</v>
      </c>
      <c r="F64" s="132">
        <f>WORKDAY(B64,D64,C64)</f>
        <v>46125</v>
      </c>
      <c r="G64" s="133">
        <f>WORKDAY.INTL(B64,D64,11)</f>
        <v>46121</v>
      </c>
      <c r="H64" s="133">
        <f>WORKDAY.INTL(B64,D64,11,C64)</f>
        <v>46122</v>
      </c>
    </row>
    <row r="65" spans="2:8" x14ac:dyDescent="0.35">
      <c r="B65" s="120">
        <v>45342</v>
      </c>
      <c r="C65" s="119">
        <v>45428</v>
      </c>
      <c r="D65" s="131">
        <v>60</v>
      </c>
      <c r="E65" s="132">
        <f t="shared" ref="E65:E73" si="13">WORKDAY(B65,D65)</f>
        <v>45426</v>
      </c>
      <c r="F65" s="132">
        <f t="shared" ref="F65:F73" si="14">WORKDAY(B65,D65,C65)</f>
        <v>45426</v>
      </c>
      <c r="G65" s="133">
        <f t="shared" ref="G65:G73" si="15">WORKDAY.INTL(B65,D65,11)</f>
        <v>45412</v>
      </c>
      <c r="H65" s="133">
        <f t="shared" ref="H65:H73" si="16">WORKDAY.INTL(B65,D65,11,C65)</f>
        <v>45412</v>
      </c>
    </row>
    <row r="66" spans="2:8" x14ac:dyDescent="0.35">
      <c r="B66" s="120">
        <v>45680</v>
      </c>
      <c r="C66" s="119">
        <v>45509</v>
      </c>
      <c r="D66" s="131">
        <v>20</v>
      </c>
      <c r="E66" s="132">
        <f t="shared" si="13"/>
        <v>45708</v>
      </c>
      <c r="F66" s="132">
        <f t="shared" si="14"/>
        <v>45708</v>
      </c>
      <c r="G66" s="133">
        <f t="shared" si="15"/>
        <v>45703</v>
      </c>
      <c r="H66" s="133">
        <f t="shared" si="16"/>
        <v>45703</v>
      </c>
    </row>
    <row r="67" spans="2:8" x14ac:dyDescent="0.35">
      <c r="B67" s="120">
        <v>45292</v>
      </c>
      <c r="C67" s="119">
        <v>45529</v>
      </c>
      <c r="D67" s="131">
        <v>35</v>
      </c>
      <c r="E67" s="132">
        <f t="shared" si="13"/>
        <v>45341</v>
      </c>
      <c r="F67" s="132">
        <f t="shared" si="14"/>
        <v>45341</v>
      </c>
      <c r="G67" s="133">
        <f t="shared" si="15"/>
        <v>45332</v>
      </c>
      <c r="H67" s="133">
        <f t="shared" si="16"/>
        <v>45332</v>
      </c>
    </row>
    <row r="68" spans="2:8" x14ac:dyDescent="0.35">
      <c r="B68" s="120">
        <v>45441</v>
      </c>
      <c r="C68" s="119">
        <v>45535</v>
      </c>
      <c r="D68" s="131">
        <v>45</v>
      </c>
      <c r="E68" s="132">
        <f t="shared" si="13"/>
        <v>45504</v>
      </c>
      <c r="F68" s="132">
        <f t="shared" si="14"/>
        <v>45504</v>
      </c>
      <c r="G68" s="133">
        <f t="shared" si="15"/>
        <v>45493</v>
      </c>
      <c r="H68" s="133">
        <f t="shared" si="16"/>
        <v>45493</v>
      </c>
    </row>
    <row r="69" spans="2:8" x14ac:dyDescent="0.35">
      <c r="B69" s="120">
        <v>45632</v>
      </c>
      <c r="C69" s="119">
        <v>45553</v>
      </c>
      <c r="D69" s="131">
        <v>52</v>
      </c>
      <c r="E69" s="132">
        <f t="shared" si="13"/>
        <v>45706</v>
      </c>
      <c r="F69" s="132">
        <f t="shared" si="14"/>
        <v>45706</v>
      </c>
      <c r="G69" s="133">
        <f t="shared" si="15"/>
        <v>45693</v>
      </c>
      <c r="H69" s="133">
        <f t="shared" si="16"/>
        <v>45693</v>
      </c>
    </row>
    <row r="70" spans="2:8" x14ac:dyDescent="0.35">
      <c r="B70" s="120">
        <v>45526</v>
      </c>
      <c r="C70" s="119">
        <v>45590</v>
      </c>
      <c r="D70" s="131">
        <v>42</v>
      </c>
      <c r="E70" s="132">
        <f t="shared" si="13"/>
        <v>45586</v>
      </c>
      <c r="F70" s="132">
        <f t="shared" si="14"/>
        <v>45586</v>
      </c>
      <c r="G70" s="133">
        <f t="shared" si="15"/>
        <v>45575</v>
      </c>
      <c r="H70" s="133">
        <f t="shared" si="16"/>
        <v>45575</v>
      </c>
    </row>
    <row r="71" spans="2:8" x14ac:dyDescent="0.35">
      <c r="B71" s="120">
        <v>45668</v>
      </c>
      <c r="C71" s="119">
        <v>45652</v>
      </c>
      <c r="D71" s="131">
        <v>50</v>
      </c>
      <c r="E71" s="132">
        <f t="shared" si="13"/>
        <v>45737</v>
      </c>
      <c r="F71" s="132">
        <f t="shared" si="14"/>
        <v>45737</v>
      </c>
      <c r="G71" s="133">
        <f t="shared" si="15"/>
        <v>45727</v>
      </c>
      <c r="H71" s="133">
        <f t="shared" si="16"/>
        <v>45727</v>
      </c>
    </row>
    <row r="72" spans="2:8" x14ac:dyDescent="0.35">
      <c r="B72" s="120">
        <v>45509</v>
      </c>
      <c r="C72" s="119">
        <v>45693</v>
      </c>
      <c r="D72" s="131">
        <v>52</v>
      </c>
      <c r="E72" s="132">
        <f t="shared" si="13"/>
        <v>45581</v>
      </c>
      <c r="F72" s="132">
        <f t="shared" si="14"/>
        <v>45581</v>
      </c>
      <c r="G72" s="133">
        <f t="shared" si="15"/>
        <v>45569</v>
      </c>
      <c r="H72" s="133">
        <f t="shared" si="16"/>
        <v>45569</v>
      </c>
    </row>
    <row r="73" spans="2:8" ht="15" thickBot="1" x14ac:dyDescent="0.4">
      <c r="B73" s="124">
        <v>45602</v>
      </c>
      <c r="C73" s="123">
        <v>45693</v>
      </c>
      <c r="D73" s="134">
        <v>42</v>
      </c>
      <c r="E73" s="132">
        <f t="shared" si="13"/>
        <v>45660</v>
      </c>
      <c r="F73" s="132">
        <f t="shared" si="14"/>
        <v>45660</v>
      </c>
      <c r="G73" s="133">
        <f t="shared" si="15"/>
        <v>45651</v>
      </c>
      <c r="H73" s="133">
        <f t="shared" si="16"/>
        <v>45651</v>
      </c>
    </row>
    <row r="83" spans="2:6" ht="15" thickBot="1" x14ac:dyDescent="0.4"/>
    <row r="84" spans="2:6" x14ac:dyDescent="0.35">
      <c r="B84" s="115" t="s">
        <v>924</v>
      </c>
      <c r="C84" s="115" t="s">
        <v>925</v>
      </c>
      <c r="D84" s="116" t="s">
        <v>926</v>
      </c>
      <c r="E84" s="116" t="s">
        <v>927</v>
      </c>
      <c r="F84" s="115" t="s">
        <v>924</v>
      </c>
    </row>
    <row r="85" spans="2:6" x14ac:dyDescent="0.35">
      <c r="B85" s="135">
        <v>0.38255787037037037</v>
      </c>
      <c r="C85" s="136">
        <f>HOUR(B85)</f>
        <v>9</v>
      </c>
      <c r="D85" s="131">
        <f>MINUTE(B85)</f>
        <v>10</v>
      </c>
      <c r="E85" s="137">
        <f>SECOND(B85)</f>
        <v>53</v>
      </c>
      <c r="F85" s="152">
        <f>TIME(C85,D85,E85)</f>
        <v>0.38255787037037037</v>
      </c>
    </row>
    <row r="86" spans="2:6" x14ac:dyDescent="0.35">
      <c r="B86" s="135">
        <v>0.92321759259259262</v>
      </c>
      <c r="C86" s="136">
        <f t="shared" ref="C86:C94" si="17">HOUR(B86)</f>
        <v>22</v>
      </c>
      <c r="D86" s="131">
        <f t="shared" ref="D86:D94" si="18">MINUTE(B86)</f>
        <v>9</v>
      </c>
      <c r="E86" s="137">
        <f t="shared" ref="E86:E94" si="19">SECOND(B86)</f>
        <v>26</v>
      </c>
      <c r="F86" s="152">
        <f t="shared" ref="F86:F94" si="20">TIME(C86,D86,E86)</f>
        <v>0.92321759259259262</v>
      </c>
    </row>
    <row r="87" spans="2:6" x14ac:dyDescent="0.35">
      <c r="B87" s="135">
        <v>6.6527777777777783E-2</v>
      </c>
      <c r="C87" s="136">
        <f t="shared" si="17"/>
        <v>1</v>
      </c>
      <c r="D87" s="131">
        <f t="shared" si="18"/>
        <v>35</v>
      </c>
      <c r="E87" s="137">
        <f t="shared" si="19"/>
        <v>48</v>
      </c>
      <c r="F87" s="152">
        <f t="shared" si="20"/>
        <v>6.6527777777777783E-2</v>
      </c>
    </row>
    <row r="88" spans="2:6" x14ac:dyDescent="0.35">
      <c r="B88" s="135">
        <v>0.96116898148148144</v>
      </c>
      <c r="C88" s="136">
        <f t="shared" si="17"/>
        <v>23</v>
      </c>
      <c r="D88" s="131">
        <f t="shared" si="18"/>
        <v>4</v>
      </c>
      <c r="E88" s="137">
        <f t="shared" si="19"/>
        <v>5</v>
      </c>
      <c r="F88" s="152">
        <f t="shared" si="20"/>
        <v>0.96116898148148144</v>
      </c>
    </row>
    <row r="89" spans="2:6" x14ac:dyDescent="0.35">
      <c r="B89" s="135">
        <v>5.6643518518518517E-2</v>
      </c>
      <c r="C89" s="136">
        <f t="shared" si="17"/>
        <v>1</v>
      </c>
      <c r="D89" s="131">
        <f t="shared" si="18"/>
        <v>21</v>
      </c>
      <c r="E89" s="137">
        <f t="shared" si="19"/>
        <v>34</v>
      </c>
      <c r="F89" s="152">
        <f t="shared" si="20"/>
        <v>5.6643518518518517E-2</v>
      </c>
    </row>
    <row r="90" spans="2:6" x14ac:dyDescent="0.35">
      <c r="B90" s="135">
        <v>0.58608796296296295</v>
      </c>
      <c r="C90" s="136">
        <f t="shared" si="17"/>
        <v>14</v>
      </c>
      <c r="D90" s="131">
        <f t="shared" si="18"/>
        <v>3</v>
      </c>
      <c r="E90" s="137">
        <f t="shared" si="19"/>
        <v>58</v>
      </c>
      <c r="F90" s="152">
        <f t="shared" si="20"/>
        <v>0.58608796296296295</v>
      </c>
    </row>
    <row r="91" spans="2:6" x14ac:dyDescent="0.35">
      <c r="B91" s="135">
        <v>0.25799768518518518</v>
      </c>
      <c r="C91" s="136">
        <f t="shared" si="17"/>
        <v>6</v>
      </c>
      <c r="D91" s="131">
        <f t="shared" si="18"/>
        <v>11</v>
      </c>
      <c r="E91" s="137">
        <f t="shared" si="19"/>
        <v>31</v>
      </c>
      <c r="F91" s="152">
        <f t="shared" si="20"/>
        <v>0.25799768518518518</v>
      </c>
    </row>
    <row r="92" spans="2:6" x14ac:dyDescent="0.35">
      <c r="B92" s="135">
        <v>0.71309027777777778</v>
      </c>
      <c r="C92" s="136">
        <f t="shared" si="17"/>
        <v>17</v>
      </c>
      <c r="D92" s="131">
        <f t="shared" si="18"/>
        <v>6</v>
      </c>
      <c r="E92" s="137">
        <f t="shared" si="19"/>
        <v>51</v>
      </c>
      <c r="F92" s="152">
        <f t="shared" si="20"/>
        <v>0.71309027777777778</v>
      </c>
    </row>
    <row r="93" spans="2:6" x14ac:dyDescent="0.35">
      <c r="B93" s="135">
        <v>0.55476851851851849</v>
      </c>
      <c r="C93" s="136">
        <f t="shared" si="17"/>
        <v>13</v>
      </c>
      <c r="D93" s="131">
        <f t="shared" si="18"/>
        <v>18</v>
      </c>
      <c r="E93" s="137">
        <f t="shared" si="19"/>
        <v>52</v>
      </c>
      <c r="F93" s="152">
        <f t="shared" si="20"/>
        <v>0.55476851851851849</v>
      </c>
    </row>
    <row r="94" spans="2:6" ht="15" thickBot="1" x14ac:dyDescent="0.4">
      <c r="B94" s="138">
        <v>0.25489583333333332</v>
      </c>
      <c r="C94" s="136">
        <f t="shared" si="17"/>
        <v>6</v>
      </c>
      <c r="D94" s="131">
        <f t="shared" si="18"/>
        <v>7</v>
      </c>
      <c r="E94" s="137">
        <f t="shared" si="19"/>
        <v>3</v>
      </c>
      <c r="F94" s="152">
        <f t="shared" si="20"/>
        <v>0.25489583333333332</v>
      </c>
    </row>
    <row r="103" spans="3:5" x14ac:dyDescent="0.35">
      <c r="C103" s="34"/>
      <c r="D103" s="34"/>
      <c r="E103" s="70"/>
    </row>
    <row r="116" spans="3:6" x14ac:dyDescent="0.35">
      <c r="C116" s="1" t="s">
        <v>928</v>
      </c>
      <c r="D116" s="1" t="s">
        <v>929</v>
      </c>
      <c r="E116" s="1" t="s">
        <v>930</v>
      </c>
      <c r="F116" s="1" t="s">
        <v>931</v>
      </c>
    </row>
    <row r="117" spans="3:6" x14ac:dyDescent="0.35">
      <c r="C117" s="162">
        <v>36940</v>
      </c>
      <c r="D117" s="162">
        <v>46122</v>
      </c>
      <c r="E117" s="1">
        <f>DATEDIF(C117,D117,"Y")</f>
        <v>25</v>
      </c>
      <c r="F117">
        <f>YEARFRAC(C117,D117)</f>
        <v>25.144444444444446</v>
      </c>
    </row>
    <row r="119" spans="3:6" x14ac:dyDescent="0.35">
      <c r="E119">
        <f>WEEKDAY(D117)</f>
        <v>6</v>
      </c>
    </row>
    <row r="120" spans="3:6" x14ac:dyDescent="0.35">
      <c r="E120">
        <f>WEEKNUM(D117)</f>
        <v>15</v>
      </c>
    </row>
    <row r="122" spans="3:6" x14ac:dyDescent="0.35">
      <c r="C122" s="34">
        <f ca="1">TODAY()+7</f>
        <v>46137</v>
      </c>
    </row>
  </sheetData>
  <mergeCells count="2">
    <mergeCell ref="C2:E2"/>
    <mergeCell ref="H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A9D2-4989-4B97-B263-6FD04AB4053A}">
  <sheetPr>
    <tabColor rgb="FF00B050"/>
  </sheetPr>
  <dimension ref="A1:J72"/>
  <sheetViews>
    <sheetView topLeftCell="A70" zoomScale="340" zoomScaleNormal="340" workbookViewId="0">
      <selection activeCell="B71" sqref="B71:E72"/>
    </sheetView>
  </sheetViews>
  <sheetFormatPr defaultRowHeight="14.5" x14ac:dyDescent="0.35"/>
  <sheetData>
    <row r="1" spans="1:3" x14ac:dyDescent="0.35">
      <c r="A1" s="328" t="s">
        <v>891</v>
      </c>
      <c r="B1" s="329"/>
      <c r="C1" s="330"/>
    </row>
    <row r="2" spans="1:3" x14ac:dyDescent="0.35">
      <c r="A2" s="85">
        <f t="shared" ref="A2:C7" ca="1" si="0">RAND()</f>
        <v>2.190223549929593E-3</v>
      </c>
      <c r="B2" s="84">
        <f t="shared" ca="1" si="0"/>
        <v>0.19636937151501499</v>
      </c>
      <c r="C2" s="86">
        <f t="shared" ca="1" si="0"/>
        <v>0.16405000331762243</v>
      </c>
    </row>
    <row r="3" spans="1:3" x14ac:dyDescent="0.35">
      <c r="A3" s="85">
        <f t="shared" ca="1" si="0"/>
        <v>0.34639094393489456</v>
      </c>
      <c r="B3" s="84">
        <f t="shared" ca="1" si="0"/>
        <v>0.13355238451973117</v>
      </c>
      <c r="C3" s="86">
        <f t="shared" ca="1" si="0"/>
        <v>0.54592086290322395</v>
      </c>
    </row>
    <row r="4" spans="1:3" x14ac:dyDescent="0.35">
      <c r="A4" s="85">
        <f t="shared" ca="1" si="0"/>
        <v>9.9037106601631231E-2</v>
      </c>
      <c r="B4" s="84">
        <f t="shared" ca="1" si="0"/>
        <v>0.82019815939653906</v>
      </c>
      <c r="C4" s="86">
        <f t="shared" ca="1" si="0"/>
        <v>0.52791367796038857</v>
      </c>
    </row>
    <row r="5" spans="1:3" x14ac:dyDescent="0.35">
      <c r="A5" s="85">
        <f t="shared" ca="1" si="0"/>
        <v>0.11721298505530198</v>
      </c>
      <c r="B5" s="84">
        <f t="shared" ca="1" si="0"/>
        <v>0.86531061217935856</v>
      </c>
      <c r="C5" s="86">
        <f t="shared" ca="1" si="0"/>
        <v>0.71289322428196633</v>
      </c>
    </row>
    <row r="6" spans="1:3" x14ac:dyDescent="0.35">
      <c r="A6" s="85">
        <f t="shared" ca="1" si="0"/>
        <v>0.59885354454303596</v>
      </c>
      <c r="B6" s="84">
        <f t="shared" ca="1" si="0"/>
        <v>0.29779912359516802</v>
      </c>
      <c r="C6" s="86">
        <f t="shared" ca="1" si="0"/>
        <v>0.13217502292175465</v>
      </c>
    </row>
    <row r="7" spans="1:3" ht="15" thickBot="1" x14ac:dyDescent="0.4">
      <c r="A7" s="87">
        <f t="shared" ca="1" si="0"/>
        <v>1.7868614711426312E-2</v>
      </c>
      <c r="B7" s="88">
        <f t="shared" ca="1" si="0"/>
        <v>2.6714302499335929E-2</v>
      </c>
      <c r="C7" s="89">
        <f t="shared" ca="1" si="0"/>
        <v>4.3508454830818777E-2</v>
      </c>
    </row>
    <row r="9" spans="1:3" ht="15" thickBot="1" x14ac:dyDescent="0.4"/>
    <row r="10" spans="1:3" x14ac:dyDescent="0.35">
      <c r="A10" s="328" t="s">
        <v>892</v>
      </c>
      <c r="B10" s="329"/>
      <c r="C10" s="330"/>
    </row>
    <row r="11" spans="1:3" x14ac:dyDescent="0.35">
      <c r="A11" s="31">
        <f ca="1">RANDBETWEEN(0,100)</f>
        <v>79</v>
      </c>
      <c r="B11" s="90">
        <f t="shared" ref="B11:C18" ca="1" si="1">RANDBETWEEN(0,100)</f>
        <v>91</v>
      </c>
      <c r="C11" s="91">
        <f t="shared" ca="1" si="1"/>
        <v>89</v>
      </c>
    </row>
    <row r="12" spans="1:3" x14ac:dyDescent="0.35">
      <c r="A12" s="31">
        <f t="shared" ref="A12:A18" ca="1" si="2">RANDBETWEEN(0,100)</f>
        <v>10</v>
      </c>
      <c r="B12" s="90">
        <f t="shared" ca="1" si="1"/>
        <v>70</v>
      </c>
      <c r="C12" s="91">
        <f t="shared" ca="1" si="1"/>
        <v>65</v>
      </c>
    </row>
    <row r="13" spans="1:3" x14ac:dyDescent="0.35">
      <c r="A13" s="31">
        <f t="shared" ca="1" si="2"/>
        <v>24</v>
      </c>
      <c r="B13" s="90">
        <f t="shared" ca="1" si="1"/>
        <v>60</v>
      </c>
      <c r="C13" s="91">
        <f t="shared" ca="1" si="1"/>
        <v>56</v>
      </c>
    </row>
    <row r="14" spans="1:3" x14ac:dyDescent="0.35">
      <c r="A14" s="31">
        <f t="shared" ca="1" si="2"/>
        <v>94</v>
      </c>
      <c r="B14" s="90">
        <f t="shared" ca="1" si="1"/>
        <v>83</v>
      </c>
      <c r="C14" s="91">
        <f t="shared" ca="1" si="1"/>
        <v>100</v>
      </c>
    </row>
    <row r="15" spans="1:3" x14ac:dyDescent="0.35">
      <c r="A15" s="31">
        <f t="shared" ca="1" si="2"/>
        <v>59</v>
      </c>
      <c r="B15" s="90">
        <f t="shared" ca="1" si="1"/>
        <v>52</v>
      </c>
      <c r="C15" s="91">
        <f t="shared" ca="1" si="1"/>
        <v>31</v>
      </c>
    </row>
    <row r="16" spans="1:3" x14ac:dyDescent="0.35">
      <c r="A16" s="31">
        <f t="shared" ca="1" si="2"/>
        <v>82</v>
      </c>
      <c r="B16" s="90">
        <f t="shared" ca="1" si="1"/>
        <v>95</v>
      </c>
      <c r="C16" s="91">
        <f t="shared" ca="1" si="1"/>
        <v>43</v>
      </c>
    </row>
    <row r="17" spans="1:4" x14ac:dyDescent="0.35">
      <c r="A17" s="31">
        <f t="shared" ca="1" si="2"/>
        <v>15</v>
      </c>
      <c r="B17" s="90">
        <f t="shared" ca="1" si="1"/>
        <v>55</v>
      </c>
      <c r="C17" s="91">
        <f t="shared" ca="1" si="1"/>
        <v>40</v>
      </c>
    </row>
    <row r="18" spans="1:4" ht="15" thickBot="1" x14ac:dyDescent="0.4">
      <c r="A18" s="32">
        <f t="shared" ca="1" si="2"/>
        <v>60</v>
      </c>
      <c r="B18" s="92">
        <f t="shared" ca="1" si="1"/>
        <v>24</v>
      </c>
      <c r="C18" s="93">
        <f t="shared" ca="1" si="1"/>
        <v>42</v>
      </c>
    </row>
    <row r="21" spans="1:4" ht="15" thickBot="1" x14ac:dyDescent="0.4"/>
    <row r="22" spans="1:4" x14ac:dyDescent="0.35">
      <c r="A22" s="331" t="s">
        <v>893</v>
      </c>
      <c r="B22" s="332"/>
      <c r="C22" s="332"/>
      <c r="D22" s="333"/>
    </row>
    <row r="23" spans="1:4" x14ac:dyDescent="0.35">
      <c r="A23" s="4" cm="1">
        <f t="array" aca="1" ref="A23:D27" ca="1">_xlfn.RANDARRAY(5,4,0,100,TRUE)</f>
        <v>84</v>
      </c>
      <c r="B23" s="5">
        <f ca="1"/>
        <v>45</v>
      </c>
      <c r="C23" s="5">
        <f ca="1"/>
        <v>36</v>
      </c>
      <c r="D23" s="95">
        <f ca="1"/>
        <v>22</v>
      </c>
    </row>
    <row r="24" spans="1:4" x14ac:dyDescent="0.35">
      <c r="A24" s="4">
        <f ca="1"/>
        <v>56</v>
      </c>
      <c r="B24" s="5">
        <f ca="1"/>
        <v>65</v>
      </c>
      <c r="C24" s="5">
        <f ca="1"/>
        <v>77</v>
      </c>
      <c r="D24" s="95">
        <f ca="1"/>
        <v>72</v>
      </c>
    </row>
    <row r="25" spans="1:4" x14ac:dyDescent="0.35">
      <c r="A25" s="4">
        <f ca="1"/>
        <v>60</v>
      </c>
      <c r="B25" s="5">
        <f ca="1"/>
        <v>35</v>
      </c>
      <c r="C25" s="5">
        <f ca="1"/>
        <v>49</v>
      </c>
      <c r="D25" s="95">
        <f ca="1"/>
        <v>69</v>
      </c>
    </row>
    <row r="26" spans="1:4" x14ac:dyDescent="0.35">
      <c r="A26" s="4">
        <f ca="1"/>
        <v>14</v>
      </c>
      <c r="B26" s="5">
        <f ca="1"/>
        <v>96</v>
      </c>
      <c r="C26" s="5">
        <f ca="1"/>
        <v>20</v>
      </c>
      <c r="D26" s="95">
        <f ca="1"/>
        <v>10</v>
      </c>
    </row>
    <row r="27" spans="1:4" ht="15" thickBot="1" x14ac:dyDescent="0.4">
      <c r="A27" s="7">
        <f ca="1"/>
        <v>38</v>
      </c>
      <c r="B27" s="8">
        <f ca="1"/>
        <v>64</v>
      </c>
      <c r="C27" s="8">
        <f ca="1"/>
        <v>12</v>
      </c>
      <c r="D27" s="96">
        <f ca="1"/>
        <v>30</v>
      </c>
    </row>
    <row r="30" spans="1:4" ht="15" thickBot="1" x14ac:dyDescent="0.4"/>
    <row r="31" spans="1:4" x14ac:dyDescent="0.35">
      <c r="A31" s="331" t="s">
        <v>893</v>
      </c>
      <c r="B31" s="332"/>
      <c r="C31" s="332"/>
      <c r="D31" s="333"/>
    </row>
    <row r="32" spans="1:4" x14ac:dyDescent="0.35">
      <c r="A32" s="4">
        <v>41</v>
      </c>
      <c r="B32" s="5">
        <v>49</v>
      </c>
      <c r="C32" s="5">
        <v>92</v>
      </c>
      <c r="D32" s="95">
        <v>33</v>
      </c>
    </row>
    <row r="33" spans="1:6" x14ac:dyDescent="0.35">
      <c r="A33" s="4">
        <v>23</v>
      </c>
      <c r="B33" s="5">
        <v>12</v>
      </c>
      <c r="C33" s="5">
        <v>43</v>
      </c>
      <c r="D33" s="95">
        <v>29</v>
      </c>
    </row>
    <row r="34" spans="1:6" x14ac:dyDescent="0.35">
      <c r="A34" s="4">
        <v>77</v>
      </c>
      <c r="B34" s="5">
        <v>32</v>
      </c>
      <c r="C34" s="5">
        <v>5</v>
      </c>
      <c r="D34" s="95">
        <v>97</v>
      </c>
    </row>
    <row r="35" spans="1:6" x14ac:dyDescent="0.35">
      <c r="A35" s="4">
        <v>56</v>
      </c>
      <c r="B35" s="5">
        <v>66</v>
      </c>
      <c r="C35" s="5">
        <v>91</v>
      </c>
      <c r="D35" s="95">
        <v>21</v>
      </c>
    </row>
    <row r="36" spans="1:6" ht="15" thickBot="1" x14ac:dyDescent="0.4">
      <c r="A36" s="7">
        <v>89</v>
      </c>
      <c r="B36" s="8">
        <v>19</v>
      </c>
      <c r="C36" s="8">
        <v>10</v>
      </c>
      <c r="D36" s="96">
        <v>57</v>
      </c>
    </row>
    <row r="43" spans="1:6" x14ac:dyDescent="0.35">
      <c r="A43">
        <v>30707</v>
      </c>
      <c r="C43">
        <v>1</v>
      </c>
      <c r="D43">
        <f>LARGE(A43:A50,C43)</f>
        <v>94832</v>
      </c>
      <c r="E43">
        <f>SMALL(A43:A50,C43)</f>
        <v>11148</v>
      </c>
      <c r="F43">
        <f>SMALL($A$43:$A$50,C43)</f>
        <v>11148</v>
      </c>
    </row>
    <row r="44" spans="1:6" x14ac:dyDescent="0.35">
      <c r="A44">
        <v>29747</v>
      </c>
      <c r="C44">
        <v>2</v>
      </c>
      <c r="D44">
        <f>LARGE(A44:A51,C44)</f>
        <v>88535</v>
      </c>
      <c r="E44">
        <f>SMALL(A44:A51,C44)</f>
        <v>29747</v>
      </c>
      <c r="F44">
        <f>SMALL($A$43:$A$50,C44)</f>
        <v>29747</v>
      </c>
    </row>
    <row r="45" spans="1:6" x14ac:dyDescent="0.35">
      <c r="A45">
        <v>45679</v>
      </c>
      <c r="C45">
        <v>3</v>
      </c>
      <c r="D45">
        <f>LARGE(A45:A52,C45)</f>
        <v>64561</v>
      </c>
      <c r="E45">
        <f>SMALL(A45:A52,C45)</f>
        <v>45679</v>
      </c>
      <c r="F45">
        <f>SMALL($A$43:$A$50,C45)</f>
        <v>30707</v>
      </c>
    </row>
    <row r="46" spans="1:6" x14ac:dyDescent="0.35">
      <c r="A46">
        <v>94832</v>
      </c>
    </row>
    <row r="47" spans="1:6" x14ac:dyDescent="0.35">
      <c r="A47">
        <v>64561</v>
      </c>
    </row>
    <row r="48" spans="1:6" x14ac:dyDescent="0.35">
      <c r="A48">
        <v>88535</v>
      </c>
    </row>
    <row r="49" spans="1:10" x14ac:dyDescent="0.35">
      <c r="A49">
        <v>37974</v>
      </c>
    </row>
    <row r="50" spans="1:10" x14ac:dyDescent="0.35">
      <c r="A50">
        <v>11148</v>
      </c>
    </row>
    <row r="54" spans="1:10" ht="15" thickBot="1" x14ac:dyDescent="0.4"/>
    <row r="55" spans="1:10" x14ac:dyDescent="0.35">
      <c r="A55" s="334" t="s">
        <v>894</v>
      </c>
      <c r="B55" s="335"/>
      <c r="D55" s="336" t="s">
        <v>895</v>
      </c>
      <c r="E55" s="337"/>
      <c r="G55" s="326" t="s">
        <v>896</v>
      </c>
      <c r="H55" s="327"/>
      <c r="I55" s="105" t="s">
        <v>897</v>
      </c>
      <c r="J55" s="105" t="s">
        <v>898</v>
      </c>
    </row>
    <row r="56" spans="1:10" x14ac:dyDescent="0.35">
      <c r="A56" s="85">
        <v>1318.0082760601454</v>
      </c>
      <c r="B56" s="86">
        <f>ROUND(A56,2)</f>
        <v>1318.01</v>
      </c>
      <c r="D56" s="4">
        <v>1318.0082760601454</v>
      </c>
      <c r="E56" s="95">
        <f>ROUNDUP(D56,2)</f>
        <v>1318.01</v>
      </c>
      <c r="G56" s="4">
        <v>1318.0082760601454</v>
      </c>
      <c r="H56" s="95">
        <f>ROUNDDOWN(G56,2)</f>
        <v>1318</v>
      </c>
      <c r="I56" s="95">
        <f>INT(G56)</f>
        <v>1318</v>
      </c>
      <c r="J56" s="95">
        <f>TRUNC(G56,1)</f>
        <v>1318</v>
      </c>
    </row>
    <row r="57" spans="1:10" x14ac:dyDescent="0.35">
      <c r="A57" s="85">
        <v>4504.4011628351891</v>
      </c>
      <c r="B57" s="86">
        <f t="shared" ref="B57:B62" si="3">ROUND(A57,2)</f>
        <v>4504.3999999999996</v>
      </c>
      <c r="D57" s="4">
        <v>4504.4011628351891</v>
      </c>
      <c r="E57" s="95">
        <f t="shared" ref="E57:E62" si="4">ROUNDUP(D57,2)</f>
        <v>4504.41</v>
      </c>
      <c r="G57" s="4">
        <v>4504.4011628351891</v>
      </c>
      <c r="H57" s="95">
        <f t="shared" ref="H57:H62" si="5">ROUNDDOWN(G57,2)</f>
        <v>4504.3999999999996</v>
      </c>
      <c r="I57" s="95">
        <f t="shared" ref="I57:I62" si="6">INT(G57)</f>
        <v>4504</v>
      </c>
      <c r="J57" s="95">
        <f t="shared" ref="J57:J62" si="7">TRUNC(G57,1)</f>
        <v>4504.3999999999996</v>
      </c>
    </row>
    <row r="58" spans="1:10" x14ac:dyDescent="0.35">
      <c r="A58" s="85">
        <v>1469.1422969349005</v>
      </c>
      <c r="B58" s="86">
        <f t="shared" si="3"/>
        <v>1469.14</v>
      </c>
      <c r="D58" s="4">
        <v>1469.1422969349005</v>
      </c>
      <c r="E58" s="95">
        <f t="shared" si="4"/>
        <v>1469.15</v>
      </c>
      <c r="G58" s="4">
        <v>1469.1422969349005</v>
      </c>
      <c r="H58" s="95">
        <f t="shared" si="5"/>
        <v>1469.14</v>
      </c>
      <c r="I58" s="95">
        <f t="shared" si="6"/>
        <v>1469</v>
      </c>
      <c r="J58" s="95">
        <f t="shared" si="7"/>
        <v>1469.1</v>
      </c>
    </row>
    <row r="59" spans="1:10" x14ac:dyDescent="0.35">
      <c r="A59" s="85">
        <v>7551.7682392551342</v>
      </c>
      <c r="B59" s="86">
        <f t="shared" si="3"/>
        <v>7551.77</v>
      </c>
      <c r="D59" s="4">
        <v>7551.7682392551342</v>
      </c>
      <c r="E59" s="95">
        <f t="shared" si="4"/>
        <v>7551.77</v>
      </c>
      <c r="G59" s="4">
        <v>7551.7682392551342</v>
      </c>
      <c r="H59" s="95">
        <f t="shared" si="5"/>
        <v>7551.76</v>
      </c>
      <c r="I59" s="95">
        <f t="shared" si="6"/>
        <v>7551</v>
      </c>
      <c r="J59" s="95">
        <f t="shared" si="7"/>
        <v>7551.7</v>
      </c>
    </row>
    <row r="60" spans="1:10" x14ac:dyDescent="0.35">
      <c r="A60" s="85">
        <v>5878.8670596663305</v>
      </c>
      <c r="B60" s="86">
        <f t="shared" si="3"/>
        <v>5878.87</v>
      </c>
      <c r="D60" s="4">
        <v>5878.8670596663305</v>
      </c>
      <c r="E60" s="95">
        <f t="shared" si="4"/>
        <v>5878.87</v>
      </c>
      <c r="G60" s="4">
        <v>5878.8670596663305</v>
      </c>
      <c r="H60" s="95">
        <f t="shared" si="5"/>
        <v>5878.86</v>
      </c>
      <c r="I60" s="95">
        <f t="shared" si="6"/>
        <v>5878</v>
      </c>
      <c r="J60" s="95">
        <f t="shared" si="7"/>
        <v>5878.8</v>
      </c>
    </row>
    <row r="61" spans="1:10" x14ac:dyDescent="0.35">
      <c r="A61" s="85">
        <v>1797.2407248232466</v>
      </c>
      <c r="B61" s="86">
        <f t="shared" si="3"/>
        <v>1797.24</v>
      </c>
      <c r="D61" s="4">
        <v>1797.2407248232466</v>
      </c>
      <c r="E61" s="95">
        <f t="shared" si="4"/>
        <v>1797.25</v>
      </c>
      <c r="G61" s="4">
        <v>1797.2407248232466</v>
      </c>
      <c r="H61" s="95">
        <f t="shared" si="5"/>
        <v>1797.24</v>
      </c>
      <c r="I61" s="95">
        <f t="shared" si="6"/>
        <v>1797</v>
      </c>
      <c r="J61" s="95">
        <f t="shared" si="7"/>
        <v>1797.2</v>
      </c>
    </row>
    <row r="62" spans="1:10" ht="15" thickBot="1" x14ac:dyDescent="0.4">
      <c r="A62" s="87">
        <v>9736.2944555547656</v>
      </c>
      <c r="B62" s="89">
        <f t="shared" si="3"/>
        <v>9736.2900000000009</v>
      </c>
      <c r="D62" s="7">
        <v>9736.2944555547656</v>
      </c>
      <c r="E62" s="95">
        <f t="shared" si="4"/>
        <v>9736.3000000000011</v>
      </c>
      <c r="G62" s="7">
        <v>9736.2944555547656</v>
      </c>
      <c r="H62" s="95">
        <f t="shared" si="5"/>
        <v>9736.2900000000009</v>
      </c>
      <c r="I62" s="95">
        <f t="shared" si="6"/>
        <v>9736</v>
      </c>
      <c r="J62" s="95">
        <f t="shared" si="7"/>
        <v>9736.2000000000007</v>
      </c>
    </row>
    <row r="71" spans="2:5" x14ac:dyDescent="0.35">
      <c r="C71" s="1" t="s">
        <v>901</v>
      </c>
      <c r="D71" s="1" t="s">
        <v>899</v>
      </c>
      <c r="E71" t="s">
        <v>902</v>
      </c>
    </row>
    <row r="72" spans="2:5" x14ac:dyDescent="0.35">
      <c r="B72" s="70">
        <v>50</v>
      </c>
      <c r="C72" s="1">
        <f>FLOOR(B72,3)</f>
        <v>48</v>
      </c>
      <c r="D72" s="1">
        <f>CEILING(B72,3)</f>
        <v>51</v>
      </c>
      <c r="E72" s="1">
        <f>MROUND(B72,3)</f>
        <v>51</v>
      </c>
    </row>
  </sheetData>
  <mergeCells count="7">
    <mergeCell ref="G55:H55"/>
    <mergeCell ref="A1:C1"/>
    <mergeCell ref="A10:C10"/>
    <mergeCell ref="A22:D22"/>
    <mergeCell ref="A31:D31"/>
    <mergeCell ref="A55:B55"/>
    <mergeCell ref="D55:E55"/>
  </mergeCells>
  <conditionalFormatting sqref="A43:A50">
    <cfRule type="top10" dxfId="2" priority="1" bottom="1" rank="3"/>
    <cfRule type="top10" dxfId="1" priority="2" rank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4DFE-8636-4CE9-8D25-163B34F4ED53}">
  <sheetPr>
    <tabColor rgb="FFFFFF00"/>
  </sheetPr>
  <dimension ref="A2:G342"/>
  <sheetViews>
    <sheetView workbookViewId="0">
      <selection activeCell="I36" sqref="I36"/>
    </sheetView>
  </sheetViews>
  <sheetFormatPr defaultRowHeight="14.5" x14ac:dyDescent="0.35"/>
  <cols>
    <col min="1" max="1" width="23.90625" bestFit="1" customWidth="1"/>
    <col min="4" max="4" width="23.90625" bestFit="1" customWidth="1"/>
    <col min="5" max="5" width="11.7265625" customWidth="1"/>
    <col min="6" max="6" width="11.36328125" bestFit="1" customWidth="1"/>
    <col min="7" max="7" width="12.1796875" bestFit="1" customWidth="1"/>
  </cols>
  <sheetData>
    <row r="2" spans="1:7" ht="15" thickBot="1" x14ac:dyDescent="0.4"/>
    <row r="3" spans="1:7" x14ac:dyDescent="0.35">
      <c r="A3" s="193" t="s">
        <v>973</v>
      </c>
      <c r="B3" s="194" t="s">
        <v>955</v>
      </c>
      <c r="D3" s="115" t="s">
        <v>973</v>
      </c>
      <c r="E3" s="112" t="s">
        <v>974</v>
      </c>
      <c r="F3" s="195" t="s">
        <v>975</v>
      </c>
      <c r="G3" s="196" t="s">
        <v>976</v>
      </c>
    </row>
    <row r="4" spans="1:7" x14ac:dyDescent="0.35">
      <c r="A4" s="4" t="s">
        <v>977</v>
      </c>
      <c r="B4" s="95">
        <v>24750</v>
      </c>
      <c r="D4" s="4" t="s">
        <v>977</v>
      </c>
      <c r="E4" s="5"/>
      <c r="F4" s="137"/>
      <c r="G4" s="95"/>
    </row>
    <row r="5" spans="1:7" x14ac:dyDescent="0.35">
      <c r="A5" s="4" t="s">
        <v>978</v>
      </c>
      <c r="B5" s="95">
        <v>43891</v>
      </c>
      <c r="D5" s="4" t="s">
        <v>978</v>
      </c>
      <c r="E5" s="5"/>
      <c r="F5" s="137"/>
      <c r="G5" s="95"/>
    </row>
    <row r="6" spans="1:7" x14ac:dyDescent="0.35">
      <c r="A6" s="4" t="s">
        <v>979</v>
      </c>
      <c r="B6" s="95">
        <v>36623</v>
      </c>
      <c r="D6" s="4" t="s">
        <v>979</v>
      </c>
      <c r="E6" s="5"/>
      <c r="F6" s="137"/>
      <c r="G6" s="95"/>
    </row>
    <row r="7" spans="1:7" x14ac:dyDescent="0.35">
      <c r="A7" s="4" t="s">
        <v>980</v>
      </c>
      <c r="B7" s="95">
        <v>33686</v>
      </c>
      <c r="D7" s="4" t="s">
        <v>980</v>
      </c>
      <c r="E7" s="5"/>
      <c r="F7" s="137"/>
      <c r="G7" s="95"/>
    </row>
    <row r="8" spans="1:7" x14ac:dyDescent="0.35">
      <c r="A8" s="4" t="s">
        <v>981</v>
      </c>
      <c r="B8" s="95">
        <v>37488</v>
      </c>
      <c r="D8" s="4" t="s">
        <v>981</v>
      </c>
      <c r="E8" s="5"/>
      <c r="F8" s="137"/>
      <c r="G8" s="95"/>
    </row>
    <row r="9" spans="1:7" x14ac:dyDescent="0.35">
      <c r="A9" s="4" t="s">
        <v>982</v>
      </c>
      <c r="B9" s="95">
        <v>21012</v>
      </c>
      <c r="D9" s="4" t="s">
        <v>982</v>
      </c>
      <c r="E9" s="5"/>
      <c r="F9" s="137"/>
      <c r="G9" s="95"/>
    </row>
    <row r="10" spans="1:7" x14ac:dyDescent="0.35">
      <c r="A10" s="4" t="s">
        <v>983</v>
      </c>
      <c r="B10" s="95">
        <v>34133</v>
      </c>
      <c r="D10" s="4" t="s">
        <v>983</v>
      </c>
      <c r="E10" s="5"/>
      <c r="F10" s="137"/>
      <c r="G10" s="95"/>
    </row>
    <row r="11" spans="1:7" x14ac:dyDescent="0.35">
      <c r="A11" s="4" t="s">
        <v>984</v>
      </c>
      <c r="B11" s="95">
        <v>25015</v>
      </c>
      <c r="D11" s="4" t="s">
        <v>984</v>
      </c>
      <c r="E11" s="5"/>
      <c r="F11" s="137"/>
      <c r="G11" s="95"/>
    </row>
    <row r="12" spans="1:7" x14ac:dyDescent="0.35">
      <c r="A12" s="4" t="s">
        <v>985</v>
      </c>
      <c r="B12" s="95">
        <v>24185</v>
      </c>
      <c r="D12" s="4" t="s">
        <v>985</v>
      </c>
      <c r="E12" s="5"/>
      <c r="F12" s="137"/>
      <c r="G12" s="95"/>
    </row>
    <row r="13" spans="1:7" ht="15" thickBot="1" x14ac:dyDescent="0.4">
      <c r="A13" s="4" t="s">
        <v>986</v>
      </c>
      <c r="B13" s="95">
        <v>27419</v>
      </c>
      <c r="D13" s="199" t="s">
        <v>986</v>
      </c>
      <c r="E13" s="5"/>
      <c r="F13" s="197"/>
      <c r="G13" s="198"/>
    </row>
    <row r="14" spans="1:7" ht="15" thickBot="1" x14ac:dyDescent="0.4">
      <c r="A14" s="4" t="s">
        <v>977</v>
      </c>
      <c r="B14" s="95">
        <v>20989</v>
      </c>
      <c r="D14" s="200" t="s">
        <v>987</v>
      </c>
      <c r="E14" s="201"/>
      <c r="F14" s="202"/>
      <c r="G14" s="203"/>
    </row>
    <row r="15" spans="1:7" x14ac:dyDescent="0.35">
      <c r="A15" s="4" t="s">
        <v>978</v>
      </c>
      <c r="B15" s="95">
        <v>37327</v>
      </c>
    </row>
    <row r="16" spans="1:7" x14ac:dyDescent="0.35">
      <c r="A16" s="4" t="s">
        <v>979</v>
      </c>
      <c r="B16" s="95">
        <v>14753</v>
      </c>
    </row>
    <row r="17" spans="1:2" x14ac:dyDescent="0.35">
      <c r="A17" s="4" t="s">
        <v>980</v>
      </c>
      <c r="B17" s="95">
        <v>16689</v>
      </c>
    </row>
    <row r="18" spans="1:2" x14ac:dyDescent="0.35">
      <c r="A18" s="4" t="s">
        <v>981</v>
      </c>
      <c r="B18" s="95">
        <v>38507</v>
      </c>
    </row>
    <row r="19" spans="1:2" x14ac:dyDescent="0.35">
      <c r="A19" s="4" t="s">
        <v>979</v>
      </c>
      <c r="B19" s="95">
        <v>14720</v>
      </c>
    </row>
    <row r="20" spans="1:2" x14ac:dyDescent="0.35">
      <c r="A20" s="4" t="s">
        <v>980</v>
      </c>
      <c r="B20" s="95">
        <v>38768</v>
      </c>
    </row>
    <row r="21" spans="1:2" x14ac:dyDescent="0.35">
      <c r="A21" s="4" t="s">
        <v>981</v>
      </c>
      <c r="B21" s="95">
        <v>45280</v>
      </c>
    </row>
    <row r="22" spans="1:2" x14ac:dyDescent="0.35">
      <c r="A22" s="4" t="s">
        <v>982</v>
      </c>
      <c r="B22" s="95">
        <v>49176</v>
      </c>
    </row>
    <row r="23" spans="1:2" x14ac:dyDescent="0.35">
      <c r="A23" s="4" t="s">
        <v>983</v>
      </c>
      <c r="B23" s="95">
        <v>39695</v>
      </c>
    </row>
    <row r="24" spans="1:2" x14ac:dyDescent="0.35">
      <c r="A24" s="4" t="s">
        <v>984</v>
      </c>
      <c r="B24" s="95">
        <v>19380</v>
      </c>
    </row>
    <row r="25" spans="1:2" x14ac:dyDescent="0.35">
      <c r="A25" s="4" t="s">
        <v>985</v>
      </c>
      <c r="B25" s="95">
        <v>32705</v>
      </c>
    </row>
    <row r="26" spans="1:2" x14ac:dyDescent="0.35">
      <c r="A26" s="4" t="s">
        <v>986</v>
      </c>
      <c r="B26" s="95">
        <v>37700</v>
      </c>
    </row>
    <row r="27" spans="1:2" x14ac:dyDescent="0.35">
      <c r="A27" s="4" t="s">
        <v>983</v>
      </c>
      <c r="B27" s="95">
        <v>25793</v>
      </c>
    </row>
    <row r="28" spans="1:2" x14ac:dyDescent="0.35">
      <c r="A28" s="4" t="s">
        <v>984</v>
      </c>
      <c r="B28" s="95">
        <v>10459</v>
      </c>
    </row>
    <row r="29" spans="1:2" x14ac:dyDescent="0.35">
      <c r="A29" s="4" t="s">
        <v>985</v>
      </c>
      <c r="B29" s="95">
        <v>31197</v>
      </c>
    </row>
    <row r="30" spans="1:2" x14ac:dyDescent="0.35">
      <c r="A30" s="4" t="s">
        <v>986</v>
      </c>
      <c r="B30" s="95">
        <v>28369</v>
      </c>
    </row>
    <row r="31" spans="1:2" x14ac:dyDescent="0.35">
      <c r="A31" s="4" t="s">
        <v>977</v>
      </c>
      <c r="B31" s="95">
        <v>25100</v>
      </c>
    </row>
    <row r="32" spans="1:2" x14ac:dyDescent="0.35">
      <c r="A32" s="4" t="s">
        <v>978</v>
      </c>
      <c r="B32" s="95">
        <v>10238</v>
      </c>
    </row>
    <row r="33" spans="1:2" x14ac:dyDescent="0.35">
      <c r="A33" s="4" t="s">
        <v>979</v>
      </c>
      <c r="B33" s="95">
        <v>33922</v>
      </c>
    </row>
    <row r="34" spans="1:2" x14ac:dyDescent="0.35">
      <c r="A34" s="4" t="s">
        <v>980</v>
      </c>
      <c r="B34" s="95">
        <v>22743</v>
      </c>
    </row>
    <row r="35" spans="1:2" x14ac:dyDescent="0.35">
      <c r="A35" s="4" t="s">
        <v>981</v>
      </c>
      <c r="B35" s="95">
        <v>36685</v>
      </c>
    </row>
    <row r="36" spans="1:2" x14ac:dyDescent="0.35">
      <c r="A36" s="4" t="s">
        <v>985</v>
      </c>
      <c r="B36" s="95">
        <v>37198</v>
      </c>
    </row>
    <row r="37" spans="1:2" x14ac:dyDescent="0.35">
      <c r="A37" s="4" t="s">
        <v>986</v>
      </c>
      <c r="B37" s="95">
        <v>41550</v>
      </c>
    </row>
    <row r="38" spans="1:2" x14ac:dyDescent="0.35">
      <c r="A38" s="4" t="s">
        <v>977</v>
      </c>
      <c r="B38" s="95">
        <v>17542</v>
      </c>
    </row>
    <row r="39" spans="1:2" x14ac:dyDescent="0.35">
      <c r="A39" s="4" t="s">
        <v>978</v>
      </c>
      <c r="B39" s="95">
        <v>29669</v>
      </c>
    </row>
    <row r="40" spans="1:2" x14ac:dyDescent="0.35">
      <c r="A40" s="4" t="s">
        <v>979</v>
      </c>
      <c r="B40" s="95">
        <v>32226</v>
      </c>
    </row>
    <row r="41" spans="1:2" x14ac:dyDescent="0.35">
      <c r="A41" s="4" t="s">
        <v>980</v>
      </c>
      <c r="B41" s="95">
        <v>32649</v>
      </c>
    </row>
    <row r="42" spans="1:2" x14ac:dyDescent="0.35">
      <c r="A42" s="4" t="s">
        <v>981</v>
      </c>
      <c r="B42" s="95">
        <v>39338</v>
      </c>
    </row>
    <row r="43" spans="1:2" x14ac:dyDescent="0.35">
      <c r="A43" s="4" t="s">
        <v>979</v>
      </c>
      <c r="B43" s="95">
        <v>24571</v>
      </c>
    </row>
    <row r="44" spans="1:2" x14ac:dyDescent="0.35">
      <c r="A44" s="4" t="s">
        <v>980</v>
      </c>
      <c r="B44" s="95">
        <v>26361</v>
      </c>
    </row>
    <row r="45" spans="1:2" x14ac:dyDescent="0.35">
      <c r="A45" s="4" t="s">
        <v>981</v>
      </c>
      <c r="B45" s="95">
        <v>19868</v>
      </c>
    </row>
    <row r="46" spans="1:2" x14ac:dyDescent="0.35">
      <c r="A46" s="4" t="s">
        <v>982</v>
      </c>
      <c r="B46" s="95">
        <v>12119</v>
      </c>
    </row>
    <row r="47" spans="1:2" x14ac:dyDescent="0.35">
      <c r="A47" s="4" t="s">
        <v>983</v>
      </c>
      <c r="B47" s="95">
        <v>32774</v>
      </c>
    </row>
    <row r="48" spans="1:2" x14ac:dyDescent="0.35">
      <c r="A48" s="4" t="s">
        <v>984</v>
      </c>
      <c r="B48" s="95">
        <v>22001</v>
      </c>
    </row>
    <row r="49" spans="1:2" x14ac:dyDescent="0.35">
      <c r="A49" s="4" t="s">
        <v>985</v>
      </c>
      <c r="B49" s="95">
        <v>42654</v>
      </c>
    </row>
    <row r="50" spans="1:2" x14ac:dyDescent="0.35">
      <c r="A50" s="4" t="s">
        <v>981</v>
      </c>
      <c r="B50" s="95">
        <v>38074</v>
      </c>
    </row>
    <row r="51" spans="1:2" x14ac:dyDescent="0.35">
      <c r="A51" s="4" t="s">
        <v>982</v>
      </c>
      <c r="B51" s="95">
        <v>29715</v>
      </c>
    </row>
    <row r="52" spans="1:2" x14ac:dyDescent="0.35">
      <c r="A52" s="4" t="s">
        <v>983</v>
      </c>
      <c r="B52" s="95">
        <v>42429</v>
      </c>
    </row>
    <row r="53" spans="1:2" x14ac:dyDescent="0.35">
      <c r="A53" s="4" t="s">
        <v>984</v>
      </c>
      <c r="B53" s="95">
        <v>43508</v>
      </c>
    </row>
    <row r="54" spans="1:2" x14ac:dyDescent="0.35">
      <c r="A54" s="4" t="s">
        <v>985</v>
      </c>
      <c r="B54" s="95">
        <v>22896</v>
      </c>
    </row>
    <row r="55" spans="1:2" x14ac:dyDescent="0.35">
      <c r="A55" s="4" t="s">
        <v>986</v>
      </c>
      <c r="B55" s="95">
        <v>17679</v>
      </c>
    </row>
    <row r="56" spans="1:2" x14ac:dyDescent="0.35">
      <c r="A56" s="4" t="s">
        <v>983</v>
      </c>
      <c r="B56" s="95">
        <v>33639</v>
      </c>
    </row>
    <row r="57" spans="1:2" x14ac:dyDescent="0.35">
      <c r="A57" s="4" t="s">
        <v>984</v>
      </c>
      <c r="B57" s="95">
        <v>16085</v>
      </c>
    </row>
    <row r="58" spans="1:2" x14ac:dyDescent="0.35">
      <c r="A58" s="4" t="s">
        <v>985</v>
      </c>
      <c r="B58" s="95">
        <v>49530</v>
      </c>
    </row>
    <row r="59" spans="1:2" x14ac:dyDescent="0.35">
      <c r="A59" s="4" t="s">
        <v>986</v>
      </c>
      <c r="B59" s="95">
        <v>32523</v>
      </c>
    </row>
    <row r="60" spans="1:2" x14ac:dyDescent="0.35">
      <c r="A60" s="4" t="s">
        <v>977</v>
      </c>
      <c r="B60" s="95">
        <v>43717</v>
      </c>
    </row>
    <row r="61" spans="1:2" x14ac:dyDescent="0.35">
      <c r="A61" s="4" t="s">
        <v>978</v>
      </c>
      <c r="B61" s="95">
        <v>42646</v>
      </c>
    </row>
    <row r="62" spans="1:2" x14ac:dyDescent="0.35">
      <c r="A62" s="4" t="s">
        <v>979</v>
      </c>
      <c r="B62" s="95">
        <v>39629</v>
      </c>
    </row>
    <row r="63" spans="1:2" x14ac:dyDescent="0.35">
      <c r="A63" s="4" t="s">
        <v>980</v>
      </c>
      <c r="B63" s="95">
        <v>47200</v>
      </c>
    </row>
    <row r="64" spans="1:2" x14ac:dyDescent="0.35">
      <c r="A64" s="4" t="s">
        <v>981</v>
      </c>
      <c r="B64" s="95">
        <v>14041</v>
      </c>
    </row>
    <row r="65" spans="1:2" x14ac:dyDescent="0.35">
      <c r="A65" s="4" t="s">
        <v>985</v>
      </c>
      <c r="B65" s="95">
        <v>10604</v>
      </c>
    </row>
    <row r="66" spans="1:2" x14ac:dyDescent="0.35">
      <c r="A66" s="4" t="s">
        <v>986</v>
      </c>
      <c r="B66" s="95">
        <v>45400</v>
      </c>
    </row>
    <row r="67" spans="1:2" x14ac:dyDescent="0.35">
      <c r="A67" s="4" t="s">
        <v>977</v>
      </c>
      <c r="B67" s="95">
        <v>37765</v>
      </c>
    </row>
    <row r="68" spans="1:2" x14ac:dyDescent="0.35">
      <c r="A68" s="4" t="s">
        <v>978</v>
      </c>
      <c r="B68" s="95">
        <v>40318</v>
      </c>
    </row>
    <row r="69" spans="1:2" x14ac:dyDescent="0.35">
      <c r="A69" s="4" t="s">
        <v>983</v>
      </c>
      <c r="B69" s="95">
        <v>40727</v>
      </c>
    </row>
    <row r="70" spans="1:2" x14ac:dyDescent="0.35">
      <c r="A70" s="4" t="s">
        <v>984</v>
      </c>
      <c r="B70" s="95">
        <v>32189</v>
      </c>
    </row>
    <row r="71" spans="1:2" x14ac:dyDescent="0.35">
      <c r="A71" s="4" t="s">
        <v>985</v>
      </c>
      <c r="B71" s="95">
        <v>34486</v>
      </c>
    </row>
    <row r="72" spans="1:2" x14ac:dyDescent="0.35">
      <c r="A72" s="4" t="s">
        <v>986</v>
      </c>
      <c r="B72" s="95">
        <v>40412</v>
      </c>
    </row>
    <row r="73" spans="1:2" x14ac:dyDescent="0.35">
      <c r="A73" s="4" t="s">
        <v>977</v>
      </c>
      <c r="B73" s="95">
        <v>18735</v>
      </c>
    </row>
    <row r="74" spans="1:2" x14ac:dyDescent="0.35">
      <c r="A74" s="4" t="s">
        <v>978</v>
      </c>
      <c r="B74" s="95">
        <v>48678</v>
      </c>
    </row>
    <row r="75" spans="1:2" x14ac:dyDescent="0.35">
      <c r="A75" s="4" t="s">
        <v>979</v>
      </c>
      <c r="B75" s="95">
        <v>41577</v>
      </c>
    </row>
    <row r="76" spans="1:2" x14ac:dyDescent="0.35">
      <c r="A76" s="4" t="s">
        <v>980</v>
      </c>
      <c r="B76" s="95">
        <v>12008</v>
      </c>
    </row>
    <row r="77" spans="1:2" x14ac:dyDescent="0.35">
      <c r="A77" s="4" t="s">
        <v>981</v>
      </c>
      <c r="B77" s="95">
        <v>38325</v>
      </c>
    </row>
    <row r="78" spans="1:2" x14ac:dyDescent="0.35">
      <c r="A78" s="4" t="s">
        <v>985</v>
      </c>
      <c r="B78" s="95">
        <v>20345</v>
      </c>
    </row>
    <row r="79" spans="1:2" x14ac:dyDescent="0.35">
      <c r="A79" s="4" t="s">
        <v>986</v>
      </c>
      <c r="B79" s="95">
        <v>17969</v>
      </c>
    </row>
    <row r="80" spans="1:2" x14ac:dyDescent="0.35">
      <c r="A80" s="4" t="s">
        <v>977</v>
      </c>
      <c r="B80" s="95">
        <v>43971</v>
      </c>
    </row>
    <row r="81" spans="1:2" x14ac:dyDescent="0.35">
      <c r="A81" s="4" t="s">
        <v>978</v>
      </c>
      <c r="B81" s="95">
        <v>40927</v>
      </c>
    </row>
    <row r="82" spans="1:2" x14ac:dyDescent="0.35">
      <c r="A82" s="4" t="s">
        <v>979</v>
      </c>
      <c r="B82" s="95">
        <v>13802</v>
      </c>
    </row>
    <row r="83" spans="1:2" x14ac:dyDescent="0.35">
      <c r="A83" s="4" t="s">
        <v>980</v>
      </c>
      <c r="B83" s="95">
        <v>24577</v>
      </c>
    </row>
    <row r="84" spans="1:2" x14ac:dyDescent="0.35">
      <c r="A84" s="4" t="s">
        <v>981</v>
      </c>
      <c r="B84" s="95">
        <v>37255</v>
      </c>
    </row>
    <row r="85" spans="1:2" x14ac:dyDescent="0.35">
      <c r="A85" s="4" t="s">
        <v>979</v>
      </c>
      <c r="B85" s="95">
        <v>25023</v>
      </c>
    </row>
    <row r="86" spans="1:2" x14ac:dyDescent="0.35">
      <c r="A86" s="4" t="s">
        <v>980</v>
      </c>
      <c r="B86" s="95">
        <v>13597</v>
      </c>
    </row>
    <row r="87" spans="1:2" x14ac:dyDescent="0.35">
      <c r="A87" s="4" t="s">
        <v>981</v>
      </c>
      <c r="B87" s="95">
        <v>31014</v>
      </c>
    </row>
    <row r="88" spans="1:2" x14ac:dyDescent="0.35">
      <c r="A88" s="4" t="s">
        <v>982</v>
      </c>
      <c r="B88" s="95">
        <v>40555</v>
      </c>
    </row>
    <row r="89" spans="1:2" x14ac:dyDescent="0.35">
      <c r="A89" s="4" t="s">
        <v>983</v>
      </c>
      <c r="B89" s="95">
        <v>15369</v>
      </c>
    </row>
    <row r="90" spans="1:2" x14ac:dyDescent="0.35">
      <c r="A90" s="4" t="s">
        <v>984</v>
      </c>
      <c r="B90" s="95">
        <v>31382</v>
      </c>
    </row>
    <row r="91" spans="1:2" x14ac:dyDescent="0.35">
      <c r="A91" s="4" t="s">
        <v>985</v>
      </c>
      <c r="B91" s="95">
        <v>48440</v>
      </c>
    </row>
    <row r="92" spans="1:2" x14ac:dyDescent="0.35">
      <c r="A92" s="4" t="s">
        <v>984</v>
      </c>
      <c r="B92" s="95">
        <v>37247</v>
      </c>
    </row>
    <row r="93" spans="1:2" x14ac:dyDescent="0.35">
      <c r="A93" s="4" t="s">
        <v>985</v>
      </c>
      <c r="B93" s="95">
        <v>21798</v>
      </c>
    </row>
    <row r="94" spans="1:2" x14ac:dyDescent="0.35">
      <c r="A94" s="4" t="s">
        <v>981</v>
      </c>
      <c r="B94" s="95">
        <v>40816</v>
      </c>
    </row>
    <row r="95" spans="1:2" x14ac:dyDescent="0.35">
      <c r="A95" s="4" t="s">
        <v>982</v>
      </c>
      <c r="B95" s="95">
        <v>42504</v>
      </c>
    </row>
    <row r="96" spans="1:2" x14ac:dyDescent="0.35">
      <c r="A96" s="4" t="s">
        <v>983</v>
      </c>
      <c r="B96" s="95">
        <v>24233</v>
      </c>
    </row>
    <row r="97" spans="1:2" x14ac:dyDescent="0.35">
      <c r="A97" s="4" t="s">
        <v>984</v>
      </c>
      <c r="B97" s="95">
        <v>28507</v>
      </c>
    </row>
    <row r="98" spans="1:2" x14ac:dyDescent="0.35">
      <c r="A98" s="4" t="s">
        <v>985</v>
      </c>
      <c r="B98" s="95">
        <v>48849</v>
      </c>
    </row>
    <row r="99" spans="1:2" x14ac:dyDescent="0.35">
      <c r="A99" s="4" t="s">
        <v>986</v>
      </c>
      <c r="B99" s="95">
        <v>28281</v>
      </c>
    </row>
    <row r="100" spans="1:2" x14ac:dyDescent="0.35">
      <c r="A100" s="4" t="s">
        <v>983</v>
      </c>
      <c r="B100" s="95">
        <v>43148</v>
      </c>
    </row>
    <row r="101" spans="1:2" x14ac:dyDescent="0.35">
      <c r="A101" s="4" t="s">
        <v>984</v>
      </c>
      <c r="B101" s="95">
        <v>45811</v>
      </c>
    </row>
    <row r="102" spans="1:2" x14ac:dyDescent="0.35">
      <c r="A102" s="4" t="s">
        <v>985</v>
      </c>
      <c r="B102" s="95">
        <v>30156</v>
      </c>
    </row>
    <row r="103" spans="1:2" x14ac:dyDescent="0.35">
      <c r="A103" s="4" t="s">
        <v>986</v>
      </c>
      <c r="B103" s="95">
        <v>34755</v>
      </c>
    </row>
    <row r="104" spans="1:2" x14ac:dyDescent="0.35">
      <c r="A104" s="4" t="s">
        <v>977</v>
      </c>
      <c r="B104" s="95">
        <v>15826</v>
      </c>
    </row>
    <row r="105" spans="1:2" x14ac:dyDescent="0.35">
      <c r="A105" s="4" t="s">
        <v>978</v>
      </c>
      <c r="B105" s="95">
        <v>35180</v>
      </c>
    </row>
    <row r="106" spans="1:2" x14ac:dyDescent="0.35">
      <c r="A106" s="4" t="s">
        <v>979</v>
      </c>
      <c r="B106" s="95">
        <v>22718</v>
      </c>
    </row>
    <row r="107" spans="1:2" x14ac:dyDescent="0.35">
      <c r="A107" s="4" t="s">
        <v>980</v>
      </c>
      <c r="B107" s="95">
        <v>20593</v>
      </c>
    </row>
    <row r="108" spans="1:2" x14ac:dyDescent="0.35">
      <c r="A108" s="4" t="s">
        <v>981</v>
      </c>
      <c r="B108" s="95">
        <v>13110</v>
      </c>
    </row>
    <row r="109" spans="1:2" x14ac:dyDescent="0.35">
      <c r="A109" s="4" t="s">
        <v>985</v>
      </c>
      <c r="B109" s="95">
        <v>15237</v>
      </c>
    </row>
    <row r="110" spans="1:2" x14ac:dyDescent="0.35">
      <c r="A110" s="4" t="s">
        <v>986</v>
      </c>
      <c r="B110" s="95">
        <v>43951</v>
      </c>
    </row>
    <row r="111" spans="1:2" x14ac:dyDescent="0.35">
      <c r="A111" s="4" t="s">
        <v>977</v>
      </c>
      <c r="B111" s="95">
        <v>21282</v>
      </c>
    </row>
    <row r="112" spans="1:2" x14ac:dyDescent="0.35">
      <c r="A112" s="4" t="s">
        <v>978</v>
      </c>
      <c r="B112" s="95">
        <v>26096</v>
      </c>
    </row>
    <row r="113" spans="1:2" x14ac:dyDescent="0.35">
      <c r="A113" s="4" t="s">
        <v>983</v>
      </c>
      <c r="B113" s="95">
        <v>44147</v>
      </c>
    </row>
    <row r="114" spans="1:2" x14ac:dyDescent="0.35">
      <c r="A114" s="4" t="s">
        <v>984</v>
      </c>
      <c r="B114" s="95">
        <v>30631</v>
      </c>
    </row>
    <row r="115" spans="1:2" x14ac:dyDescent="0.35">
      <c r="A115" s="4" t="s">
        <v>985</v>
      </c>
      <c r="B115" s="95">
        <v>29869</v>
      </c>
    </row>
    <row r="116" spans="1:2" x14ac:dyDescent="0.35">
      <c r="A116" s="4" t="s">
        <v>986</v>
      </c>
      <c r="B116" s="95">
        <v>39724</v>
      </c>
    </row>
    <row r="117" spans="1:2" x14ac:dyDescent="0.35">
      <c r="A117" s="4" t="s">
        <v>977</v>
      </c>
      <c r="B117" s="95">
        <v>32816</v>
      </c>
    </row>
    <row r="118" spans="1:2" x14ac:dyDescent="0.35">
      <c r="A118" s="4" t="s">
        <v>978</v>
      </c>
      <c r="B118" s="95">
        <v>39872</v>
      </c>
    </row>
    <row r="119" spans="1:2" x14ac:dyDescent="0.35">
      <c r="A119" s="4" t="s">
        <v>979</v>
      </c>
      <c r="B119" s="95">
        <v>35821</v>
      </c>
    </row>
    <row r="120" spans="1:2" x14ac:dyDescent="0.35">
      <c r="A120" s="4" t="s">
        <v>980</v>
      </c>
      <c r="B120" s="95">
        <v>29582</v>
      </c>
    </row>
    <row r="121" spans="1:2" x14ac:dyDescent="0.35">
      <c r="A121" s="4" t="s">
        <v>981</v>
      </c>
      <c r="B121" s="95">
        <v>43141</v>
      </c>
    </row>
    <row r="122" spans="1:2" x14ac:dyDescent="0.35">
      <c r="A122" s="4" t="s">
        <v>986</v>
      </c>
      <c r="B122" s="95">
        <v>45932</v>
      </c>
    </row>
    <row r="123" spans="1:2" x14ac:dyDescent="0.35">
      <c r="A123" s="4" t="s">
        <v>977</v>
      </c>
      <c r="B123" s="95">
        <v>43335</v>
      </c>
    </row>
    <row r="124" spans="1:2" x14ac:dyDescent="0.35">
      <c r="A124" s="4" t="s">
        <v>978</v>
      </c>
      <c r="B124" s="95">
        <v>13270</v>
      </c>
    </row>
    <row r="125" spans="1:2" x14ac:dyDescent="0.35">
      <c r="A125" s="4" t="s">
        <v>979</v>
      </c>
      <c r="B125" s="95">
        <v>33310</v>
      </c>
    </row>
    <row r="126" spans="1:2" x14ac:dyDescent="0.35">
      <c r="A126" s="4" t="s">
        <v>980</v>
      </c>
      <c r="B126" s="95">
        <v>25766</v>
      </c>
    </row>
    <row r="127" spans="1:2" x14ac:dyDescent="0.35">
      <c r="A127" s="4" t="s">
        <v>981</v>
      </c>
      <c r="B127" s="95">
        <v>47708</v>
      </c>
    </row>
    <row r="128" spans="1:2" x14ac:dyDescent="0.35">
      <c r="A128" s="4" t="s">
        <v>979</v>
      </c>
      <c r="B128" s="95">
        <v>27459</v>
      </c>
    </row>
    <row r="129" spans="1:2" x14ac:dyDescent="0.35">
      <c r="A129" s="4" t="s">
        <v>980</v>
      </c>
      <c r="B129" s="95">
        <v>41567</v>
      </c>
    </row>
    <row r="130" spans="1:2" x14ac:dyDescent="0.35">
      <c r="A130" s="4" t="s">
        <v>981</v>
      </c>
      <c r="B130" s="95">
        <v>43704</v>
      </c>
    </row>
    <row r="131" spans="1:2" x14ac:dyDescent="0.35">
      <c r="A131" s="4" t="s">
        <v>982</v>
      </c>
      <c r="B131" s="95">
        <v>33246</v>
      </c>
    </row>
    <row r="132" spans="1:2" x14ac:dyDescent="0.35">
      <c r="A132" s="4" t="s">
        <v>983</v>
      </c>
      <c r="B132" s="95">
        <v>19530</v>
      </c>
    </row>
    <row r="133" spans="1:2" x14ac:dyDescent="0.35">
      <c r="A133" s="4" t="s">
        <v>984</v>
      </c>
      <c r="B133" s="95">
        <v>11725</v>
      </c>
    </row>
    <row r="134" spans="1:2" x14ac:dyDescent="0.35">
      <c r="A134" s="4" t="s">
        <v>985</v>
      </c>
      <c r="B134" s="95">
        <v>22830</v>
      </c>
    </row>
    <row r="135" spans="1:2" x14ac:dyDescent="0.35">
      <c r="A135" s="4" t="s">
        <v>984</v>
      </c>
      <c r="B135" s="95">
        <v>19559</v>
      </c>
    </row>
    <row r="136" spans="1:2" x14ac:dyDescent="0.35">
      <c r="A136" s="4" t="s">
        <v>985</v>
      </c>
      <c r="B136" s="95">
        <v>38786</v>
      </c>
    </row>
    <row r="137" spans="1:2" x14ac:dyDescent="0.35">
      <c r="A137" s="4" t="s">
        <v>981</v>
      </c>
      <c r="B137" s="95">
        <v>30295</v>
      </c>
    </row>
    <row r="138" spans="1:2" x14ac:dyDescent="0.35">
      <c r="A138" s="4" t="s">
        <v>982</v>
      </c>
      <c r="B138" s="95">
        <v>14575</v>
      </c>
    </row>
    <row r="139" spans="1:2" x14ac:dyDescent="0.35">
      <c r="A139" s="4" t="s">
        <v>983</v>
      </c>
      <c r="B139" s="95">
        <v>32384</v>
      </c>
    </row>
    <row r="140" spans="1:2" x14ac:dyDescent="0.35">
      <c r="A140" s="4" t="s">
        <v>984</v>
      </c>
      <c r="B140" s="95">
        <v>48438</v>
      </c>
    </row>
    <row r="141" spans="1:2" x14ac:dyDescent="0.35">
      <c r="A141" s="4" t="s">
        <v>985</v>
      </c>
      <c r="B141" s="95">
        <v>14350</v>
      </c>
    </row>
    <row r="142" spans="1:2" x14ac:dyDescent="0.35">
      <c r="A142" s="4" t="s">
        <v>986</v>
      </c>
      <c r="B142" s="95">
        <v>26033</v>
      </c>
    </row>
    <row r="143" spans="1:2" x14ac:dyDescent="0.35">
      <c r="A143" s="4" t="s">
        <v>983</v>
      </c>
      <c r="B143" s="95">
        <v>11847</v>
      </c>
    </row>
    <row r="144" spans="1:2" x14ac:dyDescent="0.35">
      <c r="A144" s="4" t="s">
        <v>984</v>
      </c>
      <c r="B144" s="95">
        <v>28036</v>
      </c>
    </row>
    <row r="145" spans="1:2" x14ac:dyDescent="0.35">
      <c r="A145" s="4" t="s">
        <v>977</v>
      </c>
      <c r="B145" s="95">
        <v>10099</v>
      </c>
    </row>
    <row r="146" spans="1:2" x14ac:dyDescent="0.35">
      <c r="A146" s="4" t="s">
        <v>978</v>
      </c>
      <c r="B146" s="95">
        <v>23342</v>
      </c>
    </row>
    <row r="147" spans="1:2" x14ac:dyDescent="0.35">
      <c r="A147" s="4" t="s">
        <v>979</v>
      </c>
      <c r="B147" s="95">
        <v>20455</v>
      </c>
    </row>
    <row r="148" spans="1:2" x14ac:dyDescent="0.35">
      <c r="A148" s="4" t="s">
        <v>980</v>
      </c>
      <c r="B148" s="95">
        <v>12388</v>
      </c>
    </row>
    <row r="149" spans="1:2" x14ac:dyDescent="0.35">
      <c r="A149" s="4" t="s">
        <v>981</v>
      </c>
      <c r="B149" s="95">
        <v>32446</v>
      </c>
    </row>
    <row r="150" spans="1:2" x14ac:dyDescent="0.35">
      <c r="A150" s="4" t="s">
        <v>982</v>
      </c>
      <c r="B150" s="95">
        <v>23384</v>
      </c>
    </row>
    <row r="151" spans="1:2" x14ac:dyDescent="0.35">
      <c r="A151" s="4" t="s">
        <v>983</v>
      </c>
      <c r="B151" s="95">
        <v>19615</v>
      </c>
    </row>
    <row r="152" spans="1:2" x14ac:dyDescent="0.35">
      <c r="A152" s="4" t="s">
        <v>984</v>
      </c>
      <c r="B152" s="95">
        <v>34904</v>
      </c>
    </row>
    <row r="153" spans="1:2" x14ac:dyDescent="0.35">
      <c r="A153" s="4" t="s">
        <v>985</v>
      </c>
      <c r="B153" s="95">
        <v>25741</v>
      </c>
    </row>
    <row r="154" spans="1:2" x14ac:dyDescent="0.35">
      <c r="A154" s="4" t="s">
        <v>986</v>
      </c>
      <c r="B154" s="95">
        <v>45785</v>
      </c>
    </row>
    <row r="155" spans="1:2" x14ac:dyDescent="0.35">
      <c r="A155" s="4" t="s">
        <v>977</v>
      </c>
      <c r="B155" s="95">
        <v>12504</v>
      </c>
    </row>
    <row r="156" spans="1:2" x14ac:dyDescent="0.35">
      <c r="A156" s="4" t="s">
        <v>978</v>
      </c>
      <c r="B156" s="95">
        <v>28781</v>
      </c>
    </row>
    <row r="157" spans="1:2" x14ac:dyDescent="0.35">
      <c r="A157" s="4" t="s">
        <v>979</v>
      </c>
      <c r="B157" s="95">
        <v>29930</v>
      </c>
    </row>
    <row r="158" spans="1:2" x14ac:dyDescent="0.35">
      <c r="A158" s="4" t="s">
        <v>980</v>
      </c>
      <c r="B158" s="95">
        <v>12839</v>
      </c>
    </row>
    <row r="159" spans="1:2" x14ac:dyDescent="0.35">
      <c r="A159" s="4" t="s">
        <v>981</v>
      </c>
      <c r="B159" s="95">
        <v>44415</v>
      </c>
    </row>
    <row r="160" spans="1:2" x14ac:dyDescent="0.35">
      <c r="A160" s="4" t="s">
        <v>979</v>
      </c>
      <c r="B160" s="95">
        <v>10558</v>
      </c>
    </row>
    <row r="161" spans="1:2" x14ac:dyDescent="0.35">
      <c r="A161" s="4" t="s">
        <v>980</v>
      </c>
      <c r="B161" s="95">
        <v>32395</v>
      </c>
    </row>
    <row r="162" spans="1:2" x14ac:dyDescent="0.35">
      <c r="A162" s="4" t="s">
        <v>981</v>
      </c>
      <c r="B162" s="95">
        <v>16249</v>
      </c>
    </row>
    <row r="163" spans="1:2" x14ac:dyDescent="0.35">
      <c r="A163" s="4" t="s">
        <v>982</v>
      </c>
      <c r="B163" s="95">
        <v>31021</v>
      </c>
    </row>
    <row r="164" spans="1:2" x14ac:dyDescent="0.35">
      <c r="A164" s="4" t="s">
        <v>983</v>
      </c>
      <c r="B164" s="95">
        <v>32653</v>
      </c>
    </row>
    <row r="165" spans="1:2" x14ac:dyDescent="0.35">
      <c r="A165" s="4" t="s">
        <v>984</v>
      </c>
      <c r="B165" s="95">
        <v>25706</v>
      </c>
    </row>
    <row r="166" spans="1:2" x14ac:dyDescent="0.35">
      <c r="A166" s="4" t="s">
        <v>985</v>
      </c>
      <c r="B166" s="95">
        <v>16254</v>
      </c>
    </row>
    <row r="167" spans="1:2" x14ac:dyDescent="0.35">
      <c r="A167" s="4" t="s">
        <v>986</v>
      </c>
      <c r="B167" s="95">
        <v>45823</v>
      </c>
    </row>
    <row r="168" spans="1:2" x14ac:dyDescent="0.35">
      <c r="A168" s="4" t="s">
        <v>983</v>
      </c>
      <c r="B168" s="95">
        <v>39866</v>
      </c>
    </row>
    <row r="169" spans="1:2" x14ac:dyDescent="0.35">
      <c r="A169" s="4" t="s">
        <v>984</v>
      </c>
      <c r="B169" s="95">
        <v>13910</v>
      </c>
    </row>
    <row r="170" spans="1:2" x14ac:dyDescent="0.35">
      <c r="A170" s="4" t="s">
        <v>985</v>
      </c>
      <c r="B170" s="95">
        <v>15325</v>
      </c>
    </row>
    <row r="171" spans="1:2" x14ac:dyDescent="0.35">
      <c r="A171" s="4" t="s">
        <v>986</v>
      </c>
      <c r="B171" s="95">
        <v>23082</v>
      </c>
    </row>
    <row r="172" spans="1:2" x14ac:dyDescent="0.35">
      <c r="A172" s="4" t="s">
        <v>977</v>
      </c>
      <c r="B172" s="95">
        <v>36260</v>
      </c>
    </row>
    <row r="173" spans="1:2" x14ac:dyDescent="0.35">
      <c r="A173" s="4" t="s">
        <v>978</v>
      </c>
      <c r="B173" s="95">
        <v>23582</v>
      </c>
    </row>
    <row r="174" spans="1:2" x14ac:dyDescent="0.35">
      <c r="A174" s="4" t="s">
        <v>979</v>
      </c>
      <c r="B174" s="95">
        <v>15344</v>
      </c>
    </row>
    <row r="175" spans="1:2" x14ac:dyDescent="0.35">
      <c r="A175" s="4" t="s">
        <v>980</v>
      </c>
      <c r="B175" s="95">
        <v>43046</v>
      </c>
    </row>
    <row r="176" spans="1:2" x14ac:dyDescent="0.35">
      <c r="A176" s="4" t="s">
        <v>981</v>
      </c>
      <c r="B176" s="95">
        <v>41573</v>
      </c>
    </row>
    <row r="177" spans="1:2" x14ac:dyDescent="0.35">
      <c r="A177" s="4" t="s">
        <v>985</v>
      </c>
      <c r="B177" s="95">
        <v>16779</v>
      </c>
    </row>
    <row r="178" spans="1:2" x14ac:dyDescent="0.35">
      <c r="A178" s="4" t="s">
        <v>986</v>
      </c>
      <c r="B178" s="95">
        <v>27292</v>
      </c>
    </row>
    <row r="179" spans="1:2" x14ac:dyDescent="0.35">
      <c r="A179" s="4" t="s">
        <v>977</v>
      </c>
      <c r="B179" s="95">
        <v>40299</v>
      </c>
    </row>
    <row r="180" spans="1:2" x14ac:dyDescent="0.35">
      <c r="A180" s="4" t="s">
        <v>978</v>
      </c>
      <c r="B180" s="95">
        <v>16809</v>
      </c>
    </row>
    <row r="181" spans="1:2" x14ac:dyDescent="0.35">
      <c r="A181" s="4" t="s">
        <v>979</v>
      </c>
      <c r="B181" s="95">
        <v>42622</v>
      </c>
    </row>
    <row r="182" spans="1:2" x14ac:dyDescent="0.35">
      <c r="A182" s="4" t="s">
        <v>980</v>
      </c>
      <c r="B182" s="95">
        <v>11957</v>
      </c>
    </row>
    <row r="183" spans="1:2" x14ac:dyDescent="0.35">
      <c r="A183" s="4" t="s">
        <v>981</v>
      </c>
      <c r="B183" s="95">
        <v>31607</v>
      </c>
    </row>
    <row r="184" spans="1:2" x14ac:dyDescent="0.35">
      <c r="A184" s="4" t="s">
        <v>979</v>
      </c>
      <c r="B184" s="95">
        <v>40810</v>
      </c>
    </row>
    <row r="185" spans="1:2" x14ac:dyDescent="0.35">
      <c r="A185" s="4" t="s">
        <v>980</v>
      </c>
      <c r="B185" s="95">
        <v>40448</v>
      </c>
    </row>
    <row r="186" spans="1:2" x14ac:dyDescent="0.35">
      <c r="A186" s="4" t="s">
        <v>981</v>
      </c>
      <c r="B186" s="95">
        <v>16932</v>
      </c>
    </row>
    <row r="187" spans="1:2" x14ac:dyDescent="0.35">
      <c r="A187" s="4" t="s">
        <v>982</v>
      </c>
      <c r="B187" s="95">
        <v>45994</v>
      </c>
    </row>
    <row r="188" spans="1:2" x14ac:dyDescent="0.35">
      <c r="A188" s="4" t="s">
        <v>983</v>
      </c>
      <c r="B188" s="95">
        <v>17095</v>
      </c>
    </row>
    <row r="189" spans="1:2" x14ac:dyDescent="0.35">
      <c r="A189" s="4" t="s">
        <v>984</v>
      </c>
      <c r="B189" s="95">
        <v>38369</v>
      </c>
    </row>
    <row r="190" spans="1:2" x14ac:dyDescent="0.35">
      <c r="A190" s="4" t="s">
        <v>985</v>
      </c>
      <c r="B190" s="95">
        <v>43328</v>
      </c>
    </row>
    <row r="191" spans="1:2" x14ac:dyDescent="0.35">
      <c r="A191" s="4" t="s">
        <v>981</v>
      </c>
      <c r="B191" s="95">
        <v>16547</v>
      </c>
    </row>
    <row r="192" spans="1:2" x14ac:dyDescent="0.35">
      <c r="A192" s="4" t="s">
        <v>982</v>
      </c>
      <c r="B192" s="95">
        <v>21657</v>
      </c>
    </row>
    <row r="193" spans="1:2" x14ac:dyDescent="0.35">
      <c r="A193" s="4" t="s">
        <v>983</v>
      </c>
      <c r="B193" s="95">
        <v>13051</v>
      </c>
    </row>
    <row r="194" spans="1:2" x14ac:dyDescent="0.35">
      <c r="A194" s="4" t="s">
        <v>984</v>
      </c>
      <c r="B194" s="95">
        <v>47097</v>
      </c>
    </row>
    <row r="195" spans="1:2" x14ac:dyDescent="0.35">
      <c r="A195" s="4" t="s">
        <v>985</v>
      </c>
      <c r="B195" s="95">
        <v>36776</v>
      </c>
    </row>
    <row r="196" spans="1:2" x14ac:dyDescent="0.35">
      <c r="A196" s="4" t="s">
        <v>986</v>
      </c>
      <c r="B196" s="95">
        <v>13627</v>
      </c>
    </row>
    <row r="197" spans="1:2" x14ac:dyDescent="0.35">
      <c r="A197" s="4" t="s">
        <v>983</v>
      </c>
      <c r="B197" s="95">
        <v>29181</v>
      </c>
    </row>
    <row r="198" spans="1:2" x14ac:dyDescent="0.35">
      <c r="A198" s="4" t="s">
        <v>984</v>
      </c>
      <c r="B198" s="95">
        <v>11663</v>
      </c>
    </row>
    <row r="199" spans="1:2" x14ac:dyDescent="0.35">
      <c r="A199" s="4" t="s">
        <v>985</v>
      </c>
      <c r="B199" s="95">
        <v>20177</v>
      </c>
    </row>
    <row r="200" spans="1:2" x14ac:dyDescent="0.35">
      <c r="A200" s="4" t="s">
        <v>986</v>
      </c>
      <c r="B200" s="95">
        <v>45561</v>
      </c>
    </row>
    <row r="201" spans="1:2" x14ac:dyDescent="0.35">
      <c r="A201" s="4" t="s">
        <v>977</v>
      </c>
      <c r="B201" s="95">
        <v>24261</v>
      </c>
    </row>
    <row r="202" spans="1:2" x14ac:dyDescent="0.35">
      <c r="A202" s="4" t="s">
        <v>978</v>
      </c>
      <c r="B202" s="95">
        <v>39941</v>
      </c>
    </row>
    <row r="203" spans="1:2" x14ac:dyDescent="0.35">
      <c r="A203" s="4" t="s">
        <v>979</v>
      </c>
      <c r="B203" s="95">
        <v>10122</v>
      </c>
    </row>
    <row r="204" spans="1:2" x14ac:dyDescent="0.35">
      <c r="A204" s="4" t="s">
        <v>980</v>
      </c>
      <c r="B204" s="95">
        <v>15789</v>
      </c>
    </row>
    <row r="205" spans="1:2" x14ac:dyDescent="0.35">
      <c r="A205" s="4" t="s">
        <v>981</v>
      </c>
      <c r="B205" s="95">
        <v>14969</v>
      </c>
    </row>
    <row r="206" spans="1:2" x14ac:dyDescent="0.35">
      <c r="A206" s="4" t="s">
        <v>985</v>
      </c>
      <c r="B206" s="95">
        <v>21033</v>
      </c>
    </row>
    <row r="207" spans="1:2" x14ac:dyDescent="0.35">
      <c r="A207" s="4" t="s">
        <v>986</v>
      </c>
      <c r="B207" s="95">
        <v>21895</v>
      </c>
    </row>
    <row r="208" spans="1:2" x14ac:dyDescent="0.35">
      <c r="A208" s="4" t="s">
        <v>977</v>
      </c>
      <c r="B208" s="95">
        <v>31770</v>
      </c>
    </row>
    <row r="209" spans="1:2" x14ac:dyDescent="0.35">
      <c r="A209" s="4" t="s">
        <v>978</v>
      </c>
      <c r="B209" s="95">
        <v>24061</v>
      </c>
    </row>
    <row r="210" spans="1:2" x14ac:dyDescent="0.35">
      <c r="A210" s="4" t="s">
        <v>983</v>
      </c>
      <c r="B210" s="95">
        <v>22252</v>
      </c>
    </row>
    <row r="211" spans="1:2" x14ac:dyDescent="0.35">
      <c r="A211" s="4" t="s">
        <v>984</v>
      </c>
      <c r="B211" s="95">
        <v>37478</v>
      </c>
    </row>
    <row r="212" spans="1:2" x14ac:dyDescent="0.35">
      <c r="A212" s="4" t="s">
        <v>985</v>
      </c>
      <c r="B212" s="95">
        <v>41896</v>
      </c>
    </row>
    <row r="213" spans="1:2" x14ac:dyDescent="0.35">
      <c r="A213" s="4" t="s">
        <v>986</v>
      </c>
      <c r="B213" s="95">
        <v>47230</v>
      </c>
    </row>
    <row r="214" spans="1:2" x14ac:dyDescent="0.35">
      <c r="A214" s="4" t="s">
        <v>977</v>
      </c>
      <c r="B214" s="95">
        <v>49744</v>
      </c>
    </row>
    <row r="215" spans="1:2" x14ac:dyDescent="0.35">
      <c r="A215" s="4" t="s">
        <v>978</v>
      </c>
      <c r="B215" s="95">
        <v>37982</v>
      </c>
    </row>
    <row r="216" spans="1:2" x14ac:dyDescent="0.35">
      <c r="A216" s="4" t="s">
        <v>979</v>
      </c>
      <c r="B216" s="95">
        <v>13769</v>
      </c>
    </row>
    <row r="217" spans="1:2" x14ac:dyDescent="0.35">
      <c r="A217" s="4" t="s">
        <v>980</v>
      </c>
      <c r="B217" s="95">
        <v>25501</v>
      </c>
    </row>
    <row r="218" spans="1:2" x14ac:dyDescent="0.35">
      <c r="A218" s="4" t="s">
        <v>981</v>
      </c>
      <c r="B218" s="95">
        <v>39478</v>
      </c>
    </row>
    <row r="219" spans="1:2" x14ac:dyDescent="0.35">
      <c r="A219" s="4" t="s">
        <v>985</v>
      </c>
      <c r="B219" s="95">
        <v>27425</v>
      </c>
    </row>
    <row r="220" spans="1:2" x14ac:dyDescent="0.35">
      <c r="A220" s="4" t="s">
        <v>986</v>
      </c>
      <c r="B220" s="95">
        <v>19584</v>
      </c>
    </row>
    <row r="221" spans="1:2" x14ac:dyDescent="0.35">
      <c r="A221" s="4" t="s">
        <v>977</v>
      </c>
      <c r="B221" s="95">
        <v>30612</v>
      </c>
    </row>
    <row r="222" spans="1:2" x14ac:dyDescent="0.35">
      <c r="A222" s="4" t="s">
        <v>978</v>
      </c>
      <c r="B222" s="95">
        <v>10687</v>
      </c>
    </row>
    <row r="223" spans="1:2" x14ac:dyDescent="0.35">
      <c r="A223" s="4" t="s">
        <v>979</v>
      </c>
      <c r="B223" s="95">
        <v>21088</v>
      </c>
    </row>
    <row r="224" spans="1:2" x14ac:dyDescent="0.35">
      <c r="A224" s="4" t="s">
        <v>980</v>
      </c>
      <c r="B224" s="95">
        <v>14398</v>
      </c>
    </row>
    <row r="225" spans="1:2" x14ac:dyDescent="0.35">
      <c r="A225" s="4" t="s">
        <v>981</v>
      </c>
      <c r="B225" s="95">
        <v>17759</v>
      </c>
    </row>
    <row r="226" spans="1:2" x14ac:dyDescent="0.35">
      <c r="A226" s="4" t="s">
        <v>979</v>
      </c>
      <c r="B226" s="95">
        <v>15842</v>
      </c>
    </row>
    <row r="227" spans="1:2" x14ac:dyDescent="0.35">
      <c r="A227" s="4" t="s">
        <v>980</v>
      </c>
      <c r="B227" s="95">
        <v>10342</v>
      </c>
    </row>
    <row r="228" spans="1:2" x14ac:dyDescent="0.35">
      <c r="A228" s="4" t="s">
        <v>981</v>
      </c>
      <c r="B228" s="95">
        <v>38250</v>
      </c>
    </row>
    <row r="229" spans="1:2" x14ac:dyDescent="0.35">
      <c r="A229" s="4" t="s">
        <v>982</v>
      </c>
      <c r="B229" s="95">
        <v>42390</v>
      </c>
    </row>
    <row r="230" spans="1:2" x14ac:dyDescent="0.35">
      <c r="A230" s="4" t="s">
        <v>983</v>
      </c>
      <c r="B230" s="95">
        <v>20182</v>
      </c>
    </row>
    <row r="231" spans="1:2" x14ac:dyDescent="0.35">
      <c r="A231" s="4" t="s">
        <v>984</v>
      </c>
      <c r="B231" s="95">
        <v>37677</v>
      </c>
    </row>
    <row r="232" spans="1:2" x14ac:dyDescent="0.35">
      <c r="A232" s="4" t="s">
        <v>985</v>
      </c>
      <c r="B232" s="95">
        <v>17636</v>
      </c>
    </row>
    <row r="233" spans="1:2" x14ac:dyDescent="0.35">
      <c r="A233" s="4" t="s">
        <v>984</v>
      </c>
      <c r="B233" s="95">
        <v>39126</v>
      </c>
    </row>
    <row r="234" spans="1:2" x14ac:dyDescent="0.35">
      <c r="A234" s="4" t="s">
        <v>985</v>
      </c>
      <c r="B234" s="95">
        <v>31752</v>
      </c>
    </row>
    <row r="235" spans="1:2" x14ac:dyDescent="0.35">
      <c r="A235" s="4" t="s">
        <v>981</v>
      </c>
      <c r="B235" s="95">
        <v>20588</v>
      </c>
    </row>
    <row r="236" spans="1:2" x14ac:dyDescent="0.35">
      <c r="A236" s="4" t="s">
        <v>982</v>
      </c>
      <c r="B236" s="95">
        <v>27347</v>
      </c>
    </row>
    <row r="237" spans="1:2" x14ac:dyDescent="0.35">
      <c r="A237" s="4" t="s">
        <v>983</v>
      </c>
      <c r="B237" s="95">
        <v>15509</v>
      </c>
    </row>
    <row r="238" spans="1:2" x14ac:dyDescent="0.35">
      <c r="A238" s="4" t="s">
        <v>984</v>
      </c>
      <c r="B238" s="95">
        <v>34189</v>
      </c>
    </row>
    <row r="239" spans="1:2" x14ac:dyDescent="0.35">
      <c r="A239" s="4" t="s">
        <v>985</v>
      </c>
      <c r="B239" s="95">
        <v>35675</v>
      </c>
    </row>
    <row r="240" spans="1:2" x14ac:dyDescent="0.35">
      <c r="A240" s="4" t="s">
        <v>986</v>
      </c>
      <c r="B240" s="95">
        <v>47368</v>
      </c>
    </row>
    <row r="241" spans="1:2" x14ac:dyDescent="0.35">
      <c r="A241" s="4" t="s">
        <v>983</v>
      </c>
      <c r="B241" s="95">
        <v>31132</v>
      </c>
    </row>
    <row r="242" spans="1:2" x14ac:dyDescent="0.35">
      <c r="A242" s="4" t="s">
        <v>984</v>
      </c>
      <c r="B242" s="95">
        <v>32628</v>
      </c>
    </row>
    <row r="243" spans="1:2" x14ac:dyDescent="0.35">
      <c r="A243" s="4" t="s">
        <v>985</v>
      </c>
      <c r="B243" s="95">
        <v>33998</v>
      </c>
    </row>
    <row r="244" spans="1:2" x14ac:dyDescent="0.35">
      <c r="A244" s="4" t="s">
        <v>986</v>
      </c>
      <c r="B244" s="95">
        <v>49302</v>
      </c>
    </row>
    <row r="245" spans="1:2" x14ac:dyDescent="0.35">
      <c r="A245" s="4" t="s">
        <v>977</v>
      </c>
      <c r="B245" s="95">
        <v>39128</v>
      </c>
    </row>
    <row r="246" spans="1:2" x14ac:dyDescent="0.35">
      <c r="A246" s="4" t="s">
        <v>978</v>
      </c>
      <c r="B246" s="95">
        <v>31770</v>
      </c>
    </row>
    <row r="247" spans="1:2" x14ac:dyDescent="0.35">
      <c r="A247" s="4" t="s">
        <v>979</v>
      </c>
      <c r="B247" s="95">
        <v>43124</v>
      </c>
    </row>
    <row r="248" spans="1:2" x14ac:dyDescent="0.35">
      <c r="A248" s="4" t="s">
        <v>980</v>
      </c>
      <c r="B248" s="95">
        <v>24838</v>
      </c>
    </row>
    <row r="249" spans="1:2" x14ac:dyDescent="0.35">
      <c r="A249" s="4" t="s">
        <v>981</v>
      </c>
      <c r="B249" s="95">
        <v>40139</v>
      </c>
    </row>
    <row r="250" spans="1:2" x14ac:dyDescent="0.35">
      <c r="A250" s="4" t="s">
        <v>985</v>
      </c>
      <c r="B250" s="95">
        <v>48342</v>
      </c>
    </row>
    <row r="251" spans="1:2" x14ac:dyDescent="0.35">
      <c r="A251" s="4" t="s">
        <v>986</v>
      </c>
      <c r="B251" s="95">
        <v>49708</v>
      </c>
    </row>
    <row r="252" spans="1:2" x14ac:dyDescent="0.35">
      <c r="A252" s="4" t="s">
        <v>977</v>
      </c>
      <c r="B252" s="95">
        <v>21731</v>
      </c>
    </row>
    <row r="253" spans="1:2" x14ac:dyDescent="0.35">
      <c r="A253" s="4" t="s">
        <v>978</v>
      </c>
      <c r="B253" s="95">
        <v>20945</v>
      </c>
    </row>
    <row r="254" spans="1:2" x14ac:dyDescent="0.35">
      <c r="A254" s="4" t="s">
        <v>983</v>
      </c>
      <c r="B254" s="95">
        <v>17695</v>
      </c>
    </row>
    <row r="255" spans="1:2" x14ac:dyDescent="0.35">
      <c r="A255" s="4" t="s">
        <v>984</v>
      </c>
      <c r="B255" s="95">
        <v>39910</v>
      </c>
    </row>
    <row r="256" spans="1:2" x14ac:dyDescent="0.35">
      <c r="A256" s="4" t="s">
        <v>985</v>
      </c>
      <c r="B256" s="95">
        <v>41343</v>
      </c>
    </row>
    <row r="257" spans="1:2" x14ac:dyDescent="0.35">
      <c r="A257" s="4" t="s">
        <v>986</v>
      </c>
      <c r="B257" s="95">
        <v>27332</v>
      </c>
    </row>
    <row r="258" spans="1:2" x14ac:dyDescent="0.35">
      <c r="A258" s="4" t="s">
        <v>977</v>
      </c>
      <c r="B258" s="95">
        <v>20369</v>
      </c>
    </row>
    <row r="259" spans="1:2" x14ac:dyDescent="0.35">
      <c r="A259" s="4" t="s">
        <v>978</v>
      </c>
      <c r="B259" s="95">
        <v>14410</v>
      </c>
    </row>
    <row r="260" spans="1:2" x14ac:dyDescent="0.35">
      <c r="A260" s="4" t="s">
        <v>979</v>
      </c>
      <c r="B260" s="95">
        <v>48096</v>
      </c>
    </row>
    <row r="261" spans="1:2" x14ac:dyDescent="0.35">
      <c r="A261" s="4" t="s">
        <v>980</v>
      </c>
      <c r="B261" s="95">
        <v>38356</v>
      </c>
    </row>
    <row r="262" spans="1:2" x14ac:dyDescent="0.35">
      <c r="A262" s="4" t="s">
        <v>981</v>
      </c>
      <c r="B262" s="95">
        <v>32746</v>
      </c>
    </row>
    <row r="263" spans="1:2" x14ac:dyDescent="0.35">
      <c r="A263" s="4" t="s">
        <v>986</v>
      </c>
      <c r="B263" s="95">
        <v>28332</v>
      </c>
    </row>
    <row r="264" spans="1:2" x14ac:dyDescent="0.35">
      <c r="A264" s="4" t="s">
        <v>977</v>
      </c>
      <c r="B264" s="95">
        <v>10204</v>
      </c>
    </row>
    <row r="265" spans="1:2" x14ac:dyDescent="0.35">
      <c r="A265" s="4" t="s">
        <v>978</v>
      </c>
      <c r="B265" s="95">
        <v>45279</v>
      </c>
    </row>
    <row r="266" spans="1:2" x14ac:dyDescent="0.35">
      <c r="A266" s="4" t="s">
        <v>979</v>
      </c>
      <c r="B266" s="95">
        <v>13721</v>
      </c>
    </row>
    <row r="267" spans="1:2" x14ac:dyDescent="0.35">
      <c r="A267" s="4" t="s">
        <v>980</v>
      </c>
      <c r="B267" s="95">
        <v>32756</v>
      </c>
    </row>
    <row r="268" spans="1:2" x14ac:dyDescent="0.35">
      <c r="A268" s="4" t="s">
        <v>981</v>
      </c>
      <c r="B268" s="95">
        <v>36365</v>
      </c>
    </row>
    <row r="269" spans="1:2" x14ac:dyDescent="0.35">
      <c r="A269" s="4" t="s">
        <v>979</v>
      </c>
      <c r="B269" s="95">
        <v>35142</v>
      </c>
    </row>
    <row r="270" spans="1:2" x14ac:dyDescent="0.35">
      <c r="A270" s="4" t="s">
        <v>980</v>
      </c>
      <c r="B270" s="95">
        <v>40734</v>
      </c>
    </row>
    <row r="271" spans="1:2" x14ac:dyDescent="0.35">
      <c r="A271" s="4" t="s">
        <v>981</v>
      </c>
      <c r="B271" s="95">
        <v>41724</v>
      </c>
    </row>
    <row r="272" spans="1:2" x14ac:dyDescent="0.35">
      <c r="A272" s="4" t="s">
        <v>982</v>
      </c>
      <c r="B272" s="95">
        <v>31177</v>
      </c>
    </row>
    <row r="273" spans="1:2" x14ac:dyDescent="0.35">
      <c r="A273" s="4" t="s">
        <v>983</v>
      </c>
      <c r="B273" s="95">
        <v>49069</v>
      </c>
    </row>
    <row r="274" spans="1:2" x14ac:dyDescent="0.35">
      <c r="A274" s="4" t="s">
        <v>984</v>
      </c>
      <c r="B274" s="95">
        <v>10066</v>
      </c>
    </row>
    <row r="275" spans="1:2" x14ac:dyDescent="0.35">
      <c r="A275" s="4" t="s">
        <v>985</v>
      </c>
      <c r="B275" s="95">
        <v>30532</v>
      </c>
    </row>
    <row r="276" spans="1:2" x14ac:dyDescent="0.35">
      <c r="A276" s="4" t="s">
        <v>984</v>
      </c>
      <c r="B276" s="95">
        <v>13988</v>
      </c>
    </row>
    <row r="277" spans="1:2" x14ac:dyDescent="0.35">
      <c r="A277" s="4" t="s">
        <v>985</v>
      </c>
      <c r="B277" s="95">
        <v>18210</v>
      </c>
    </row>
    <row r="278" spans="1:2" x14ac:dyDescent="0.35">
      <c r="A278" s="4" t="s">
        <v>981</v>
      </c>
      <c r="B278" s="95">
        <v>15079</v>
      </c>
    </row>
    <row r="279" spans="1:2" x14ac:dyDescent="0.35">
      <c r="A279" s="4" t="s">
        <v>982</v>
      </c>
      <c r="B279" s="95">
        <v>28495</v>
      </c>
    </row>
    <row r="280" spans="1:2" x14ac:dyDescent="0.35">
      <c r="A280" s="4" t="s">
        <v>983</v>
      </c>
      <c r="B280" s="95">
        <v>24016</v>
      </c>
    </row>
    <row r="281" spans="1:2" x14ac:dyDescent="0.35">
      <c r="A281" s="4" t="s">
        <v>984</v>
      </c>
      <c r="B281" s="95">
        <v>37495</v>
      </c>
    </row>
    <row r="282" spans="1:2" x14ac:dyDescent="0.35">
      <c r="A282" s="4" t="s">
        <v>985</v>
      </c>
      <c r="B282" s="95">
        <v>47187</v>
      </c>
    </row>
    <row r="283" spans="1:2" x14ac:dyDescent="0.35">
      <c r="A283" s="4" t="s">
        <v>986</v>
      </c>
      <c r="B283" s="95">
        <v>11713</v>
      </c>
    </row>
    <row r="284" spans="1:2" x14ac:dyDescent="0.35">
      <c r="A284" s="4" t="s">
        <v>983</v>
      </c>
      <c r="B284" s="95">
        <v>20306</v>
      </c>
    </row>
    <row r="285" spans="1:2" x14ac:dyDescent="0.35">
      <c r="A285" s="4" t="s">
        <v>984</v>
      </c>
      <c r="B285" s="95">
        <v>41776</v>
      </c>
    </row>
    <row r="286" spans="1:2" x14ac:dyDescent="0.35">
      <c r="A286" s="4" t="s">
        <v>981</v>
      </c>
      <c r="B286" s="95">
        <v>28958</v>
      </c>
    </row>
    <row r="287" spans="1:2" x14ac:dyDescent="0.35">
      <c r="A287" s="4" t="s">
        <v>985</v>
      </c>
      <c r="B287" s="95">
        <v>12651</v>
      </c>
    </row>
    <row r="288" spans="1:2" x14ac:dyDescent="0.35">
      <c r="A288" s="4" t="s">
        <v>986</v>
      </c>
      <c r="B288" s="95">
        <v>35743</v>
      </c>
    </row>
    <row r="289" spans="1:2" x14ac:dyDescent="0.35">
      <c r="A289" s="4" t="s">
        <v>977</v>
      </c>
      <c r="B289" s="95">
        <v>49184</v>
      </c>
    </row>
    <row r="290" spans="1:2" x14ac:dyDescent="0.35">
      <c r="A290" s="4" t="s">
        <v>978</v>
      </c>
      <c r="B290" s="95">
        <v>47605</v>
      </c>
    </row>
    <row r="291" spans="1:2" x14ac:dyDescent="0.35">
      <c r="A291" s="4" t="s">
        <v>983</v>
      </c>
      <c r="B291" s="95">
        <v>39843</v>
      </c>
    </row>
    <row r="292" spans="1:2" x14ac:dyDescent="0.35">
      <c r="A292" s="4" t="s">
        <v>984</v>
      </c>
      <c r="B292" s="95">
        <v>44940</v>
      </c>
    </row>
    <row r="293" spans="1:2" x14ac:dyDescent="0.35">
      <c r="A293" s="4" t="s">
        <v>985</v>
      </c>
      <c r="B293" s="95">
        <v>18856</v>
      </c>
    </row>
    <row r="294" spans="1:2" x14ac:dyDescent="0.35">
      <c r="A294" s="4" t="s">
        <v>986</v>
      </c>
      <c r="B294" s="95">
        <v>46555</v>
      </c>
    </row>
    <row r="295" spans="1:2" x14ac:dyDescent="0.35">
      <c r="A295" s="4" t="s">
        <v>977</v>
      </c>
      <c r="B295" s="95">
        <v>11676</v>
      </c>
    </row>
    <row r="296" spans="1:2" x14ac:dyDescent="0.35">
      <c r="A296" s="4" t="s">
        <v>978</v>
      </c>
      <c r="B296" s="95">
        <v>13559</v>
      </c>
    </row>
    <row r="297" spans="1:2" x14ac:dyDescent="0.35">
      <c r="A297" s="4" t="s">
        <v>979</v>
      </c>
      <c r="B297" s="95">
        <v>19977</v>
      </c>
    </row>
    <row r="298" spans="1:2" x14ac:dyDescent="0.35">
      <c r="A298" s="4" t="s">
        <v>980</v>
      </c>
      <c r="B298" s="95">
        <v>48563</v>
      </c>
    </row>
    <row r="299" spans="1:2" x14ac:dyDescent="0.35">
      <c r="A299" s="4" t="s">
        <v>981</v>
      </c>
      <c r="B299" s="95">
        <v>25518</v>
      </c>
    </row>
    <row r="300" spans="1:2" x14ac:dyDescent="0.35">
      <c r="A300" s="4" t="s">
        <v>986</v>
      </c>
      <c r="B300" s="95">
        <v>16810</v>
      </c>
    </row>
    <row r="301" spans="1:2" x14ac:dyDescent="0.35">
      <c r="A301" s="4" t="s">
        <v>977</v>
      </c>
      <c r="B301" s="95">
        <v>48887</v>
      </c>
    </row>
    <row r="302" spans="1:2" x14ac:dyDescent="0.35">
      <c r="A302" s="4" t="s">
        <v>978</v>
      </c>
      <c r="B302" s="95">
        <v>20635</v>
      </c>
    </row>
    <row r="303" spans="1:2" x14ac:dyDescent="0.35">
      <c r="A303" s="4" t="s">
        <v>979</v>
      </c>
      <c r="B303" s="95">
        <v>30355</v>
      </c>
    </row>
    <row r="304" spans="1:2" x14ac:dyDescent="0.35">
      <c r="A304" s="4" t="s">
        <v>980</v>
      </c>
      <c r="B304" s="95">
        <v>29663</v>
      </c>
    </row>
    <row r="305" spans="1:2" x14ac:dyDescent="0.35">
      <c r="A305" s="4" t="s">
        <v>981</v>
      </c>
      <c r="B305" s="95">
        <v>47600</v>
      </c>
    </row>
    <row r="306" spans="1:2" x14ac:dyDescent="0.35">
      <c r="A306" s="4" t="s">
        <v>979</v>
      </c>
      <c r="B306" s="95">
        <v>15188</v>
      </c>
    </row>
    <row r="307" spans="1:2" x14ac:dyDescent="0.35">
      <c r="A307" s="4" t="s">
        <v>980</v>
      </c>
      <c r="B307" s="95">
        <v>16956</v>
      </c>
    </row>
    <row r="308" spans="1:2" x14ac:dyDescent="0.35">
      <c r="A308" s="4" t="s">
        <v>981</v>
      </c>
      <c r="B308" s="95">
        <v>34358</v>
      </c>
    </row>
    <row r="309" spans="1:2" x14ac:dyDescent="0.35">
      <c r="A309" s="4" t="s">
        <v>982</v>
      </c>
      <c r="B309" s="95">
        <v>27631</v>
      </c>
    </row>
    <row r="310" spans="1:2" x14ac:dyDescent="0.35">
      <c r="A310" s="4" t="s">
        <v>983</v>
      </c>
      <c r="B310" s="95">
        <v>47612</v>
      </c>
    </row>
    <row r="311" spans="1:2" x14ac:dyDescent="0.35">
      <c r="A311" s="4" t="s">
        <v>984</v>
      </c>
      <c r="B311" s="95">
        <v>39588</v>
      </c>
    </row>
    <row r="312" spans="1:2" x14ac:dyDescent="0.35">
      <c r="A312" s="4" t="s">
        <v>985</v>
      </c>
      <c r="B312" s="95">
        <v>45762</v>
      </c>
    </row>
    <row r="313" spans="1:2" x14ac:dyDescent="0.35">
      <c r="A313" s="4" t="s">
        <v>984</v>
      </c>
      <c r="B313" s="95">
        <v>14956</v>
      </c>
    </row>
    <row r="314" spans="1:2" x14ac:dyDescent="0.35">
      <c r="A314" s="4" t="s">
        <v>985</v>
      </c>
      <c r="B314" s="95">
        <v>12043</v>
      </c>
    </row>
    <row r="315" spans="1:2" x14ac:dyDescent="0.35">
      <c r="A315" s="4" t="s">
        <v>979</v>
      </c>
      <c r="B315" s="95">
        <v>35779</v>
      </c>
    </row>
    <row r="316" spans="1:2" x14ac:dyDescent="0.35">
      <c r="A316" s="4" t="s">
        <v>980</v>
      </c>
      <c r="B316" s="95">
        <v>28911</v>
      </c>
    </row>
    <row r="317" spans="1:2" x14ac:dyDescent="0.35">
      <c r="A317" s="4" t="s">
        <v>981</v>
      </c>
      <c r="B317" s="95">
        <v>40259</v>
      </c>
    </row>
    <row r="318" spans="1:2" x14ac:dyDescent="0.35">
      <c r="A318" s="4" t="s">
        <v>979</v>
      </c>
      <c r="B318" s="95">
        <v>38130</v>
      </c>
    </row>
    <row r="319" spans="1:2" x14ac:dyDescent="0.35">
      <c r="A319" s="4" t="s">
        <v>980</v>
      </c>
      <c r="B319" s="95">
        <v>47927</v>
      </c>
    </row>
    <row r="320" spans="1:2" x14ac:dyDescent="0.35">
      <c r="A320" s="4" t="s">
        <v>981</v>
      </c>
      <c r="B320" s="95">
        <v>31163</v>
      </c>
    </row>
    <row r="321" spans="1:2" x14ac:dyDescent="0.35">
      <c r="A321" s="4" t="s">
        <v>982</v>
      </c>
      <c r="B321" s="95">
        <v>30947</v>
      </c>
    </row>
    <row r="322" spans="1:2" x14ac:dyDescent="0.35">
      <c r="A322" s="4" t="s">
        <v>983</v>
      </c>
      <c r="B322" s="95">
        <v>38705</v>
      </c>
    </row>
    <row r="323" spans="1:2" x14ac:dyDescent="0.35">
      <c r="A323" s="4" t="s">
        <v>984</v>
      </c>
      <c r="B323" s="95">
        <v>38169</v>
      </c>
    </row>
    <row r="324" spans="1:2" x14ac:dyDescent="0.35">
      <c r="A324" s="4" t="s">
        <v>985</v>
      </c>
      <c r="B324" s="95">
        <v>49076</v>
      </c>
    </row>
    <row r="325" spans="1:2" x14ac:dyDescent="0.35">
      <c r="A325" s="4" t="s">
        <v>984</v>
      </c>
      <c r="B325" s="95">
        <v>19936</v>
      </c>
    </row>
    <row r="326" spans="1:2" x14ac:dyDescent="0.35">
      <c r="A326" s="4" t="s">
        <v>985</v>
      </c>
      <c r="B326" s="95">
        <v>27984</v>
      </c>
    </row>
    <row r="327" spans="1:2" x14ac:dyDescent="0.35">
      <c r="A327" s="4" t="s">
        <v>981</v>
      </c>
      <c r="B327" s="95">
        <v>22725</v>
      </c>
    </row>
    <row r="328" spans="1:2" x14ac:dyDescent="0.35">
      <c r="A328" s="4" t="s">
        <v>982</v>
      </c>
      <c r="B328" s="95">
        <v>37339</v>
      </c>
    </row>
    <row r="329" spans="1:2" x14ac:dyDescent="0.35">
      <c r="A329" s="4" t="s">
        <v>983</v>
      </c>
      <c r="B329" s="95">
        <v>27028</v>
      </c>
    </row>
    <row r="330" spans="1:2" x14ac:dyDescent="0.35">
      <c r="A330" s="4" t="s">
        <v>984</v>
      </c>
      <c r="B330" s="95">
        <v>39053</v>
      </c>
    </row>
    <row r="331" spans="1:2" x14ac:dyDescent="0.35">
      <c r="A331" s="4" t="s">
        <v>985</v>
      </c>
      <c r="B331" s="95">
        <v>48584</v>
      </c>
    </row>
    <row r="332" spans="1:2" x14ac:dyDescent="0.35">
      <c r="A332" s="4" t="s">
        <v>986</v>
      </c>
      <c r="B332" s="95">
        <v>21921</v>
      </c>
    </row>
    <row r="333" spans="1:2" x14ac:dyDescent="0.35">
      <c r="A333" s="4" t="s">
        <v>983</v>
      </c>
      <c r="B333" s="95">
        <v>23454</v>
      </c>
    </row>
    <row r="334" spans="1:2" x14ac:dyDescent="0.35">
      <c r="A334" s="4" t="s">
        <v>984</v>
      </c>
      <c r="B334" s="95">
        <v>15679</v>
      </c>
    </row>
    <row r="335" spans="1:2" x14ac:dyDescent="0.35">
      <c r="A335" s="4" t="s">
        <v>981</v>
      </c>
      <c r="B335" s="95">
        <v>39227</v>
      </c>
    </row>
    <row r="336" spans="1:2" x14ac:dyDescent="0.35">
      <c r="A336" s="4" t="s">
        <v>985</v>
      </c>
      <c r="B336" s="95">
        <v>48146</v>
      </c>
    </row>
    <row r="337" spans="1:2" x14ac:dyDescent="0.35">
      <c r="A337" s="4" t="s">
        <v>986</v>
      </c>
      <c r="B337" s="95">
        <v>30630</v>
      </c>
    </row>
    <row r="338" spans="1:2" x14ac:dyDescent="0.35">
      <c r="A338" s="4" t="s">
        <v>977</v>
      </c>
      <c r="B338" s="95">
        <v>23313</v>
      </c>
    </row>
    <row r="339" spans="1:2" x14ac:dyDescent="0.35">
      <c r="A339" s="4" t="s">
        <v>978</v>
      </c>
      <c r="B339" s="95">
        <v>40274</v>
      </c>
    </row>
    <row r="340" spans="1:2" x14ac:dyDescent="0.35">
      <c r="A340" s="4" t="s">
        <v>983</v>
      </c>
      <c r="B340" s="95">
        <v>44467</v>
      </c>
    </row>
    <row r="341" spans="1:2" ht="15" thickBot="1" x14ac:dyDescent="0.4">
      <c r="A341" s="7" t="s">
        <v>984</v>
      </c>
      <c r="B341" s="96">
        <v>17811</v>
      </c>
    </row>
    <row r="342" spans="1:2" x14ac:dyDescent="0.35">
      <c r="B342">
        <f>SUM(B4:B341)</f>
        <v>10175331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891B-148A-4D5E-9D60-2F450B12939C}">
  <sheetPr>
    <tabColor rgb="FFFFFF00"/>
  </sheetPr>
  <dimension ref="A1:S340"/>
  <sheetViews>
    <sheetView topLeftCell="J21" zoomScale="220" zoomScaleNormal="220" workbookViewId="0">
      <selection activeCell="K2" sqref="K2:S22"/>
    </sheetView>
  </sheetViews>
  <sheetFormatPr defaultRowHeight="14.5" x14ac:dyDescent="0.35"/>
  <cols>
    <col min="1" max="1" width="23.90625" bestFit="1" customWidth="1"/>
    <col min="4" max="4" width="23.90625" bestFit="1" customWidth="1"/>
    <col min="5" max="5" width="11.7265625" customWidth="1"/>
    <col min="6" max="6" width="11.36328125" bestFit="1" customWidth="1"/>
    <col min="7" max="7" width="12.1796875" bestFit="1" customWidth="1"/>
    <col min="12" max="12" width="14.453125" customWidth="1"/>
  </cols>
  <sheetData>
    <row r="1" spans="1:19" ht="15" thickBot="1" x14ac:dyDescent="0.4">
      <c r="A1" s="193" t="s">
        <v>973</v>
      </c>
      <c r="B1" s="194" t="s">
        <v>955</v>
      </c>
      <c r="D1" s="115" t="s">
        <v>973</v>
      </c>
      <c r="E1" s="112" t="s">
        <v>974</v>
      </c>
      <c r="F1" s="195" t="s">
        <v>975</v>
      </c>
      <c r="G1" s="196" t="s">
        <v>976</v>
      </c>
    </row>
    <row r="2" spans="1:19" ht="15" thickBot="1" x14ac:dyDescent="0.4">
      <c r="A2" s="4" t="s">
        <v>977</v>
      </c>
      <c r="B2" s="95">
        <v>24750</v>
      </c>
      <c r="D2" s="4" t="s">
        <v>977</v>
      </c>
      <c r="E2" s="5">
        <f>SUMIF($A$2:$A$339,$D2,$B$2:$B$339)</f>
        <v>805869</v>
      </c>
      <c r="F2" s="137">
        <f>AVERAGEIF($A$2:$A$339,D2,$B$2:$B$339)</f>
        <v>28781.035714285714</v>
      </c>
      <c r="G2" s="95">
        <f>COUNTIF($A$2:$A$339,D2)</f>
        <v>28</v>
      </c>
      <c r="K2" s="338" t="s">
        <v>988</v>
      </c>
      <c r="L2" s="339"/>
      <c r="M2" s="339"/>
      <c r="N2" s="339"/>
      <c r="O2" s="339"/>
      <c r="P2" s="339"/>
      <c r="Q2" s="339"/>
      <c r="R2" s="339"/>
      <c r="S2" s="340"/>
    </row>
    <row r="3" spans="1:19" ht="15" thickBot="1" x14ac:dyDescent="0.4">
      <c r="A3" s="4" t="s">
        <v>978</v>
      </c>
      <c r="B3" s="95">
        <v>43891</v>
      </c>
      <c r="D3" s="4" t="s">
        <v>978</v>
      </c>
      <c r="E3" s="5">
        <f t="shared" ref="E3:E11" si="0">SUMIF($A$2:$A$339,$D3,$B$2:$B$339)</f>
        <v>847774</v>
      </c>
      <c r="F3" s="137">
        <f t="shared" ref="F3:F11" si="1">AVERAGEIF($A$2:$A$339,D3,$B$2:$B$339)</f>
        <v>30277.642857142859</v>
      </c>
      <c r="G3" s="95">
        <f t="shared" ref="G3:G11" si="2">COUNTIF($A$2:$A$339,D3)</f>
        <v>28</v>
      </c>
      <c r="K3" s="211" t="s">
        <v>0</v>
      </c>
      <c r="L3" s="212" t="s">
        <v>932</v>
      </c>
      <c r="M3" s="222" t="s">
        <v>989</v>
      </c>
      <c r="N3" s="223" t="s">
        <v>990</v>
      </c>
      <c r="O3" s="223" t="s">
        <v>991</v>
      </c>
      <c r="P3" s="223" t="s">
        <v>992</v>
      </c>
      <c r="Q3" s="224" t="s">
        <v>993</v>
      </c>
      <c r="R3" s="207" t="s">
        <v>994</v>
      </c>
      <c r="S3" s="208" t="s">
        <v>995</v>
      </c>
    </row>
    <row r="4" spans="1:19" x14ac:dyDescent="0.35">
      <c r="A4" s="4" t="s">
        <v>979</v>
      </c>
      <c r="B4" s="95">
        <v>36623</v>
      </c>
      <c r="D4" s="4" t="s">
        <v>979</v>
      </c>
      <c r="E4" s="5">
        <f t="shared" si="0"/>
        <v>896206</v>
      </c>
      <c r="F4" s="137">
        <f t="shared" si="1"/>
        <v>27157.757575757576</v>
      </c>
      <c r="G4" s="95">
        <f t="shared" si="2"/>
        <v>33</v>
      </c>
      <c r="K4" s="209">
        <v>1</v>
      </c>
      <c r="L4" s="210" t="s">
        <v>7</v>
      </c>
      <c r="M4" s="213" t="b">
        <v>1</v>
      </c>
      <c r="N4" s="214" t="b">
        <v>0</v>
      </c>
      <c r="O4" s="214" t="b">
        <v>0</v>
      </c>
      <c r="P4" s="214" t="b">
        <v>0</v>
      </c>
      <c r="Q4" s="215" t="b">
        <v>0</v>
      </c>
      <c r="R4" s="209">
        <f>COUNTIF(M4:Q4,"True")</f>
        <v>1</v>
      </c>
      <c r="S4" s="210">
        <f>COUNTIF(M4:Q4,"False")</f>
        <v>4</v>
      </c>
    </row>
    <row r="5" spans="1:19" x14ac:dyDescent="0.35">
      <c r="A5" s="4" t="s">
        <v>980</v>
      </c>
      <c r="B5" s="95">
        <v>33686</v>
      </c>
      <c r="D5" s="4" t="s">
        <v>980</v>
      </c>
      <c r="E5" s="5">
        <f t="shared" si="0"/>
        <v>913593</v>
      </c>
      <c r="F5" s="137">
        <f t="shared" si="1"/>
        <v>27684.636363636364</v>
      </c>
      <c r="G5" s="95">
        <f t="shared" si="2"/>
        <v>33</v>
      </c>
      <c r="K5" s="31">
        <v>2</v>
      </c>
      <c r="L5" s="91" t="s">
        <v>996</v>
      </c>
      <c r="M5" s="216" t="b">
        <v>0</v>
      </c>
      <c r="N5" s="217" t="b">
        <v>1</v>
      </c>
      <c r="O5" s="217" t="b">
        <v>1</v>
      </c>
      <c r="P5" s="217" t="b">
        <v>1</v>
      </c>
      <c r="Q5" s="218" t="b">
        <v>1</v>
      </c>
      <c r="R5" s="31">
        <f t="shared" ref="R5:R10" si="3">COUNTIF(M5:Q5,"True")</f>
        <v>4</v>
      </c>
      <c r="S5" s="91">
        <f t="shared" ref="S5:S10" si="4">COUNTIF(M5:Q5,"False")</f>
        <v>1</v>
      </c>
    </row>
    <row r="6" spans="1:19" x14ac:dyDescent="0.35">
      <c r="A6" s="4" t="s">
        <v>981</v>
      </c>
      <c r="B6" s="95">
        <v>37488</v>
      </c>
      <c r="D6" s="4" t="s">
        <v>981</v>
      </c>
      <c r="E6" s="5">
        <f t="shared" si="0"/>
        <v>1361323</v>
      </c>
      <c r="F6" s="137">
        <f t="shared" si="1"/>
        <v>32412.452380952382</v>
      </c>
      <c r="G6" s="95">
        <f t="shared" si="2"/>
        <v>42</v>
      </c>
      <c r="K6" s="31">
        <v>3</v>
      </c>
      <c r="L6" s="91" t="s">
        <v>997</v>
      </c>
      <c r="M6" s="216" t="b">
        <v>0</v>
      </c>
      <c r="N6" s="217" t="b">
        <v>1</v>
      </c>
      <c r="O6" s="217" t="b">
        <v>1</v>
      </c>
      <c r="P6" s="217" t="b">
        <v>1</v>
      </c>
      <c r="Q6" s="218" t="b">
        <v>1</v>
      </c>
      <c r="R6" s="31">
        <f t="shared" si="3"/>
        <v>4</v>
      </c>
      <c r="S6" s="91">
        <f t="shared" si="4"/>
        <v>1</v>
      </c>
    </row>
    <row r="7" spans="1:19" x14ac:dyDescent="0.35">
      <c r="A7" s="4" t="s">
        <v>982</v>
      </c>
      <c r="B7" s="95">
        <v>21012</v>
      </c>
      <c r="D7" s="4" t="s">
        <v>982</v>
      </c>
      <c r="E7" s="5">
        <f t="shared" si="0"/>
        <v>590284</v>
      </c>
      <c r="F7" s="137">
        <f t="shared" si="1"/>
        <v>31067.57894736842</v>
      </c>
      <c r="G7" s="95">
        <f t="shared" si="2"/>
        <v>19</v>
      </c>
      <c r="K7" s="31">
        <v>4</v>
      </c>
      <c r="L7" s="91" t="s">
        <v>998</v>
      </c>
      <c r="M7" s="216" t="b">
        <v>1</v>
      </c>
      <c r="N7" s="217" t="b">
        <v>1</v>
      </c>
      <c r="O7" s="217" t="b">
        <v>1</v>
      </c>
      <c r="P7" s="217" t="b">
        <v>1</v>
      </c>
      <c r="Q7" s="218" t="b">
        <v>1</v>
      </c>
      <c r="R7" s="31">
        <f t="shared" si="3"/>
        <v>5</v>
      </c>
      <c r="S7" s="91">
        <f t="shared" si="4"/>
        <v>0</v>
      </c>
    </row>
    <row r="8" spans="1:19" x14ac:dyDescent="0.35">
      <c r="A8" s="4" t="s">
        <v>983</v>
      </c>
      <c r="B8" s="95">
        <v>34133</v>
      </c>
      <c r="D8" s="4" t="s">
        <v>983</v>
      </c>
      <c r="E8" s="5">
        <f t="shared" si="0"/>
        <v>1012579</v>
      </c>
      <c r="F8" s="137">
        <f t="shared" si="1"/>
        <v>29781.735294117647</v>
      </c>
      <c r="G8" s="95">
        <f t="shared" si="2"/>
        <v>34</v>
      </c>
      <c r="K8" s="31">
        <v>5</v>
      </c>
      <c r="L8" s="91" t="s">
        <v>999</v>
      </c>
      <c r="M8" s="216" t="b">
        <v>1</v>
      </c>
      <c r="N8" s="217" t="b">
        <v>1</v>
      </c>
      <c r="O8" s="217" t="b">
        <v>1</v>
      </c>
      <c r="P8" s="217" t="b">
        <v>1</v>
      </c>
      <c r="Q8" s="218" t="b">
        <v>1</v>
      </c>
      <c r="R8" s="31">
        <f t="shared" si="3"/>
        <v>5</v>
      </c>
      <c r="S8" s="91">
        <f t="shared" si="4"/>
        <v>0</v>
      </c>
    </row>
    <row r="9" spans="1:19" x14ac:dyDescent="0.35">
      <c r="A9" s="4" t="s">
        <v>984</v>
      </c>
      <c r="B9" s="95">
        <v>25015</v>
      </c>
      <c r="D9" s="4" t="s">
        <v>984</v>
      </c>
      <c r="E9" s="5">
        <f t="shared" si="0"/>
        <v>1176087</v>
      </c>
      <c r="F9" s="137">
        <f t="shared" si="1"/>
        <v>29402.174999999999</v>
      </c>
      <c r="G9" s="95">
        <f t="shared" si="2"/>
        <v>40</v>
      </c>
      <c r="K9" s="31">
        <v>6</v>
      </c>
      <c r="L9" s="91" t="s">
        <v>1000</v>
      </c>
      <c r="M9" s="216" t="b">
        <v>0</v>
      </c>
      <c r="N9" s="217" t="b">
        <v>1</v>
      </c>
      <c r="O9" s="217" t="b">
        <v>1</v>
      </c>
      <c r="P9" s="217" t="b">
        <v>1</v>
      </c>
      <c r="Q9" s="218" t="b">
        <v>1</v>
      </c>
      <c r="R9" s="31">
        <f t="shared" si="3"/>
        <v>4</v>
      </c>
      <c r="S9" s="91">
        <f t="shared" si="4"/>
        <v>1</v>
      </c>
    </row>
    <row r="10" spans="1:19" ht="15" thickBot="1" x14ac:dyDescent="0.4">
      <c r="A10" s="4" t="s">
        <v>985</v>
      </c>
      <c r="B10" s="95">
        <v>24185</v>
      </c>
      <c r="D10" s="4" t="s">
        <v>985</v>
      </c>
      <c r="E10" s="5">
        <f t="shared" si="0"/>
        <v>1408626</v>
      </c>
      <c r="F10" s="137">
        <f t="shared" si="1"/>
        <v>30622.304347826088</v>
      </c>
      <c r="G10" s="95">
        <f t="shared" si="2"/>
        <v>46</v>
      </c>
      <c r="K10" s="32">
        <v>7</v>
      </c>
      <c r="L10" s="93" t="s">
        <v>1001</v>
      </c>
      <c r="M10" s="219" t="b">
        <v>1</v>
      </c>
      <c r="N10" s="220" t="b">
        <v>1</v>
      </c>
      <c r="O10" s="220" t="b">
        <v>1</v>
      </c>
      <c r="P10" s="220" t="b">
        <v>1</v>
      </c>
      <c r="Q10" s="221" t="b">
        <v>1</v>
      </c>
      <c r="R10" s="32">
        <f t="shared" si="3"/>
        <v>5</v>
      </c>
      <c r="S10" s="93">
        <f t="shared" si="4"/>
        <v>0</v>
      </c>
    </row>
    <row r="11" spans="1:19" ht="15" thickBot="1" x14ac:dyDescent="0.4">
      <c r="A11" s="4" t="s">
        <v>986</v>
      </c>
      <c r="B11" s="95">
        <v>27419</v>
      </c>
      <c r="D11" s="199" t="s">
        <v>986</v>
      </c>
      <c r="E11" s="5">
        <f t="shared" si="0"/>
        <v>1162990</v>
      </c>
      <c r="F11" s="137">
        <f t="shared" si="1"/>
        <v>33228.285714285717</v>
      </c>
      <c r="G11" s="95">
        <f t="shared" si="2"/>
        <v>35</v>
      </c>
    </row>
    <row r="12" spans="1:19" ht="15" thickBot="1" x14ac:dyDescent="0.4">
      <c r="A12" s="4" t="s">
        <v>977</v>
      </c>
      <c r="B12" s="95">
        <v>20989</v>
      </c>
      <c r="D12" s="200" t="s">
        <v>987</v>
      </c>
      <c r="E12" s="202">
        <f>SUM(E2:E11)</f>
        <v>10175331</v>
      </c>
      <c r="F12" s="202"/>
      <c r="G12" s="203"/>
    </row>
    <row r="13" spans="1:19" ht="15" thickBot="1" x14ac:dyDescent="0.4">
      <c r="A13" s="4" t="s">
        <v>978</v>
      </c>
      <c r="B13" s="95">
        <v>37327</v>
      </c>
    </row>
    <row r="14" spans="1:19" ht="15" thickBot="1" x14ac:dyDescent="0.4">
      <c r="A14" s="4" t="s">
        <v>979</v>
      </c>
      <c r="B14" s="95">
        <v>14753</v>
      </c>
      <c r="K14" s="338" t="s">
        <v>1002</v>
      </c>
      <c r="L14" s="339"/>
      <c r="M14" s="339"/>
      <c r="N14" s="339"/>
      <c r="O14" s="339"/>
      <c r="P14" s="339"/>
      <c r="Q14" s="339"/>
      <c r="R14" s="339"/>
      <c r="S14" s="340"/>
    </row>
    <row r="15" spans="1:19" ht="15" thickBot="1" x14ac:dyDescent="0.4">
      <c r="A15" s="4" t="s">
        <v>980</v>
      </c>
      <c r="B15" s="95">
        <v>16689</v>
      </c>
      <c r="K15" s="211" t="s">
        <v>0</v>
      </c>
      <c r="L15" s="212" t="s">
        <v>932</v>
      </c>
      <c r="M15" s="204" t="s">
        <v>989</v>
      </c>
      <c r="N15" s="205" t="s">
        <v>990</v>
      </c>
      <c r="O15" s="205" t="s">
        <v>991</v>
      </c>
      <c r="P15" s="205" t="s">
        <v>992</v>
      </c>
      <c r="Q15" s="206" t="s">
        <v>993</v>
      </c>
      <c r="R15" s="207" t="s">
        <v>994</v>
      </c>
      <c r="S15" s="208" t="s">
        <v>995</v>
      </c>
    </row>
    <row r="16" spans="1:19" x14ac:dyDescent="0.35">
      <c r="A16" s="4" t="s">
        <v>981</v>
      </c>
      <c r="B16" s="95">
        <v>38507</v>
      </c>
      <c r="K16" s="209">
        <v>1</v>
      </c>
      <c r="L16" s="210" t="s">
        <v>7</v>
      </c>
      <c r="M16" s="225" t="s">
        <v>1003</v>
      </c>
      <c r="N16" s="226" t="s">
        <v>1003</v>
      </c>
      <c r="O16" s="226" t="s">
        <v>1003</v>
      </c>
      <c r="P16" s="226" t="s">
        <v>1003</v>
      </c>
      <c r="Q16" s="227" t="s">
        <v>1004</v>
      </c>
      <c r="R16" s="209">
        <f>COUNTIF(M16:Q16,"P")</f>
        <v>4</v>
      </c>
      <c r="S16" s="210">
        <f>COUNTIF(M16:Q16,"O")</f>
        <v>1</v>
      </c>
    </row>
    <row r="17" spans="1:19" x14ac:dyDescent="0.35">
      <c r="A17" s="4" t="s">
        <v>979</v>
      </c>
      <c r="B17" s="95">
        <v>14720</v>
      </c>
      <c r="K17" s="31">
        <v>2</v>
      </c>
      <c r="L17" s="91" t="s">
        <v>996</v>
      </c>
      <c r="M17" s="228" t="s">
        <v>1004</v>
      </c>
      <c r="N17" s="229" t="s">
        <v>1003</v>
      </c>
      <c r="O17" s="229" t="s">
        <v>1004</v>
      </c>
      <c r="P17" s="229" t="s">
        <v>1004</v>
      </c>
      <c r="Q17" s="230" t="s">
        <v>1003</v>
      </c>
      <c r="R17" s="31">
        <f t="shared" ref="R17:R22" si="5">COUNTIF(M17:Q17,"P")</f>
        <v>2</v>
      </c>
      <c r="S17" s="91">
        <f t="shared" ref="S17:S22" si="6">COUNTIF(M17:Q17,"O")</f>
        <v>3</v>
      </c>
    </row>
    <row r="18" spans="1:19" x14ac:dyDescent="0.35">
      <c r="A18" s="4" t="s">
        <v>980</v>
      </c>
      <c r="B18" s="95">
        <v>38768</v>
      </c>
      <c r="K18" s="31">
        <v>3</v>
      </c>
      <c r="L18" s="91" t="s">
        <v>997</v>
      </c>
      <c r="M18" s="228" t="s">
        <v>1003</v>
      </c>
      <c r="N18" s="229" t="s">
        <v>1003</v>
      </c>
      <c r="O18" s="229" t="s">
        <v>1004</v>
      </c>
      <c r="P18" s="229" t="s">
        <v>1003</v>
      </c>
      <c r="Q18" s="230" t="s">
        <v>1004</v>
      </c>
      <c r="R18" s="31">
        <f t="shared" si="5"/>
        <v>3</v>
      </c>
      <c r="S18" s="91">
        <f t="shared" si="6"/>
        <v>2</v>
      </c>
    </row>
    <row r="19" spans="1:19" x14ac:dyDescent="0.35">
      <c r="A19" s="4" t="s">
        <v>981</v>
      </c>
      <c r="B19" s="95">
        <v>45280</v>
      </c>
      <c r="K19" s="31">
        <v>4</v>
      </c>
      <c r="L19" s="91" t="s">
        <v>998</v>
      </c>
      <c r="M19" s="228" t="s">
        <v>1004</v>
      </c>
      <c r="N19" s="229" t="s">
        <v>1004</v>
      </c>
      <c r="O19" s="229" t="s">
        <v>1003</v>
      </c>
      <c r="P19" s="229" t="s">
        <v>1004</v>
      </c>
      <c r="Q19" s="230" t="s">
        <v>1003</v>
      </c>
      <c r="R19" s="31">
        <f t="shared" si="5"/>
        <v>2</v>
      </c>
      <c r="S19" s="91">
        <f t="shared" si="6"/>
        <v>3</v>
      </c>
    </row>
    <row r="20" spans="1:19" x14ac:dyDescent="0.35">
      <c r="A20" s="4" t="s">
        <v>982</v>
      </c>
      <c r="B20" s="95">
        <v>49176</v>
      </c>
      <c r="K20" s="31">
        <v>5</v>
      </c>
      <c r="L20" s="91" t="s">
        <v>999</v>
      </c>
      <c r="M20" s="228" t="s">
        <v>1003</v>
      </c>
      <c r="N20" s="229" t="s">
        <v>1004</v>
      </c>
      <c r="O20" s="229" t="s">
        <v>1003</v>
      </c>
      <c r="P20" s="229" t="s">
        <v>1004</v>
      </c>
      <c r="Q20" s="230" t="s">
        <v>1003</v>
      </c>
      <c r="R20" s="31">
        <f t="shared" si="5"/>
        <v>3</v>
      </c>
      <c r="S20" s="91">
        <f t="shared" si="6"/>
        <v>2</v>
      </c>
    </row>
    <row r="21" spans="1:19" x14ac:dyDescent="0.35">
      <c r="A21" s="4" t="s">
        <v>983</v>
      </c>
      <c r="B21" s="95">
        <v>39695</v>
      </c>
      <c r="K21" s="31">
        <v>6</v>
      </c>
      <c r="L21" s="91" t="s">
        <v>1000</v>
      </c>
      <c r="M21" s="228" t="s">
        <v>1004</v>
      </c>
      <c r="N21" s="229" t="s">
        <v>1003</v>
      </c>
      <c r="O21" s="229" t="s">
        <v>1003</v>
      </c>
      <c r="P21" s="229" t="s">
        <v>1004</v>
      </c>
      <c r="Q21" s="230" t="s">
        <v>1003</v>
      </c>
      <c r="R21" s="31">
        <f t="shared" si="5"/>
        <v>3</v>
      </c>
      <c r="S21" s="91">
        <f t="shared" si="6"/>
        <v>2</v>
      </c>
    </row>
    <row r="22" spans="1:19" ht="15" thickBot="1" x14ac:dyDescent="0.4">
      <c r="A22" s="4" t="s">
        <v>984</v>
      </c>
      <c r="B22" s="95">
        <v>19380</v>
      </c>
      <c r="K22" s="32">
        <v>7</v>
      </c>
      <c r="L22" s="93" t="s">
        <v>1001</v>
      </c>
      <c r="M22" s="231" t="s">
        <v>1003</v>
      </c>
      <c r="N22" s="232" t="s">
        <v>1004</v>
      </c>
      <c r="O22" s="232" t="s">
        <v>1003</v>
      </c>
      <c r="P22" s="232" t="s">
        <v>1003</v>
      </c>
      <c r="Q22" s="233" t="s">
        <v>1004</v>
      </c>
      <c r="R22" s="32">
        <f t="shared" si="5"/>
        <v>3</v>
      </c>
      <c r="S22" s="93">
        <f t="shared" si="6"/>
        <v>2</v>
      </c>
    </row>
    <row r="23" spans="1:19" x14ac:dyDescent="0.35">
      <c r="A23" s="4" t="s">
        <v>985</v>
      </c>
      <c r="B23" s="95">
        <v>32705</v>
      </c>
    </row>
    <row r="24" spans="1:19" x14ac:dyDescent="0.35">
      <c r="A24" s="4" t="s">
        <v>986</v>
      </c>
      <c r="B24" s="95">
        <v>37700</v>
      </c>
    </row>
    <row r="25" spans="1:19" x14ac:dyDescent="0.35">
      <c r="A25" s="4" t="s">
        <v>983</v>
      </c>
      <c r="B25" s="95">
        <v>25793</v>
      </c>
    </row>
    <row r="26" spans="1:19" x14ac:dyDescent="0.35">
      <c r="A26" s="4" t="s">
        <v>984</v>
      </c>
      <c r="B26" s="95">
        <v>10459</v>
      </c>
    </row>
    <row r="27" spans="1:19" x14ac:dyDescent="0.35">
      <c r="A27" s="4" t="s">
        <v>985</v>
      </c>
      <c r="B27" s="95">
        <v>31197</v>
      </c>
    </row>
    <row r="28" spans="1:19" x14ac:dyDescent="0.35">
      <c r="A28" s="4" t="s">
        <v>986</v>
      </c>
      <c r="B28" s="95">
        <v>28369</v>
      </c>
    </row>
    <row r="29" spans="1:19" x14ac:dyDescent="0.35">
      <c r="A29" s="4" t="s">
        <v>977</v>
      </c>
      <c r="B29" s="95">
        <v>25100</v>
      </c>
    </row>
    <row r="30" spans="1:19" x14ac:dyDescent="0.35">
      <c r="A30" s="4" t="s">
        <v>978</v>
      </c>
      <c r="B30" s="95">
        <v>10238</v>
      </c>
    </row>
    <row r="31" spans="1:19" x14ac:dyDescent="0.35">
      <c r="A31" s="4" t="s">
        <v>979</v>
      </c>
      <c r="B31" s="95">
        <v>33922</v>
      </c>
    </row>
    <row r="32" spans="1:19" x14ac:dyDescent="0.35">
      <c r="A32" s="4" t="s">
        <v>980</v>
      </c>
      <c r="B32" s="95">
        <v>22743</v>
      </c>
    </row>
    <row r="33" spans="1:2" x14ac:dyDescent="0.35">
      <c r="A33" s="4" t="s">
        <v>981</v>
      </c>
      <c r="B33" s="95">
        <v>36685</v>
      </c>
    </row>
    <row r="34" spans="1:2" x14ac:dyDescent="0.35">
      <c r="A34" s="4" t="s">
        <v>985</v>
      </c>
      <c r="B34" s="95">
        <v>37198</v>
      </c>
    </row>
    <row r="35" spans="1:2" x14ac:dyDescent="0.35">
      <c r="A35" s="4" t="s">
        <v>986</v>
      </c>
      <c r="B35" s="95">
        <v>41550</v>
      </c>
    </row>
    <row r="36" spans="1:2" x14ac:dyDescent="0.35">
      <c r="A36" s="4" t="s">
        <v>977</v>
      </c>
      <c r="B36" s="95">
        <v>17542</v>
      </c>
    </row>
    <row r="37" spans="1:2" x14ac:dyDescent="0.35">
      <c r="A37" s="4" t="s">
        <v>978</v>
      </c>
      <c r="B37" s="95">
        <v>29669</v>
      </c>
    </row>
    <row r="38" spans="1:2" x14ac:dyDescent="0.35">
      <c r="A38" s="4" t="s">
        <v>979</v>
      </c>
      <c r="B38" s="95">
        <v>32226</v>
      </c>
    </row>
    <row r="39" spans="1:2" x14ac:dyDescent="0.35">
      <c r="A39" s="4" t="s">
        <v>980</v>
      </c>
      <c r="B39" s="95">
        <v>32649</v>
      </c>
    </row>
    <row r="40" spans="1:2" x14ac:dyDescent="0.35">
      <c r="A40" s="4" t="s">
        <v>981</v>
      </c>
      <c r="B40" s="95">
        <v>39338</v>
      </c>
    </row>
    <row r="41" spans="1:2" x14ac:dyDescent="0.35">
      <c r="A41" s="4" t="s">
        <v>979</v>
      </c>
      <c r="B41" s="95">
        <v>24571</v>
      </c>
    </row>
    <row r="42" spans="1:2" x14ac:dyDescent="0.35">
      <c r="A42" s="4" t="s">
        <v>980</v>
      </c>
      <c r="B42" s="95">
        <v>26361</v>
      </c>
    </row>
    <row r="43" spans="1:2" x14ac:dyDescent="0.35">
      <c r="A43" s="4" t="s">
        <v>981</v>
      </c>
      <c r="B43" s="95">
        <v>19868</v>
      </c>
    </row>
    <row r="44" spans="1:2" x14ac:dyDescent="0.35">
      <c r="A44" s="4" t="s">
        <v>982</v>
      </c>
      <c r="B44" s="95">
        <v>12119</v>
      </c>
    </row>
    <row r="45" spans="1:2" x14ac:dyDescent="0.35">
      <c r="A45" s="4" t="s">
        <v>983</v>
      </c>
      <c r="B45" s="95">
        <v>32774</v>
      </c>
    </row>
    <row r="46" spans="1:2" x14ac:dyDescent="0.35">
      <c r="A46" s="4" t="s">
        <v>984</v>
      </c>
      <c r="B46" s="95">
        <v>22001</v>
      </c>
    </row>
    <row r="47" spans="1:2" x14ac:dyDescent="0.35">
      <c r="A47" s="4" t="s">
        <v>985</v>
      </c>
      <c r="B47" s="95">
        <v>42654</v>
      </c>
    </row>
    <row r="48" spans="1:2" x14ac:dyDescent="0.35">
      <c r="A48" s="4" t="s">
        <v>981</v>
      </c>
      <c r="B48" s="95">
        <v>38074</v>
      </c>
    </row>
    <row r="49" spans="1:2" x14ac:dyDescent="0.35">
      <c r="A49" s="4" t="s">
        <v>982</v>
      </c>
      <c r="B49" s="95">
        <v>29715</v>
      </c>
    </row>
    <row r="50" spans="1:2" x14ac:dyDescent="0.35">
      <c r="A50" s="4" t="s">
        <v>983</v>
      </c>
      <c r="B50" s="95">
        <v>42429</v>
      </c>
    </row>
    <row r="51" spans="1:2" x14ac:dyDescent="0.35">
      <c r="A51" s="4" t="s">
        <v>984</v>
      </c>
      <c r="B51" s="95">
        <v>43508</v>
      </c>
    </row>
    <row r="52" spans="1:2" x14ac:dyDescent="0.35">
      <c r="A52" s="4" t="s">
        <v>985</v>
      </c>
      <c r="B52" s="95">
        <v>22896</v>
      </c>
    </row>
    <row r="53" spans="1:2" x14ac:dyDescent="0.35">
      <c r="A53" s="4" t="s">
        <v>986</v>
      </c>
      <c r="B53" s="95">
        <v>17679</v>
      </c>
    </row>
    <row r="54" spans="1:2" x14ac:dyDescent="0.35">
      <c r="A54" s="4" t="s">
        <v>983</v>
      </c>
      <c r="B54" s="95">
        <v>33639</v>
      </c>
    </row>
    <row r="55" spans="1:2" x14ac:dyDescent="0.35">
      <c r="A55" s="4" t="s">
        <v>984</v>
      </c>
      <c r="B55" s="95">
        <v>16085</v>
      </c>
    </row>
    <row r="56" spans="1:2" x14ac:dyDescent="0.35">
      <c r="A56" s="4" t="s">
        <v>985</v>
      </c>
      <c r="B56" s="95">
        <v>49530</v>
      </c>
    </row>
    <row r="57" spans="1:2" x14ac:dyDescent="0.35">
      <c r="A57" s="4" t="s">
        <v>986</v>
      </c>
      <c r="B57" s="95">
        <v>32523</v>
      </c>
    </row>
    <row r="58" spans="1:2" x14ac:dyDescent="0.35">
      <c r="A58" s="4" t="s">
        <v>977</v>
      </c>
      <c r="B58" s="95">
        <v>43717</v>
      </c>
    </row>
    <row r="59" spans="1:2" x14ac:dyDescent="0.35">
      <c r="A59" s="4" t="s">
        <v>978</v>
      </c>
      <c r="B59" s="95">
        <v>42646</v>
      </c>
    </row>
    <row r="60" spans="1:2" x14ac:dyDescent="0.35">
      <c r="A60" s="4" t="s">
        <v>979</v>
      </c>
      <c r="B60" s="95">
        <v>39629</v>
      </c>
    </row>
    <row r="61" spans="1:2" x14ac:dyDescent="0.35">
      <c r="A61" s="4" t="s">
        <v>980</v>
      </c>
      <c r="B61" s="95">
        <v>47200</v>
      </c>
    </row>
    <row r="62" spans="1:2" x14ac:dyDescent="0.35">
      <c r="A62" s="4" t="s">
        <v>981</v>
      </c>
      <c r="B62" s="95">
        <v>14041</v>
      </c>
    </row>
    <row r="63" spans="1:2" x14ac:dyDescent="0.35">
      <c r="A63" s="4" t="s">
        <v>985</v>
      </c>
      <c r="B63" s="95">
        <v>10604</v>
      </c>
    </row>
    <row r="64" spans="1:2" x14ac:dyDescent="0.35">
      <c r="A64" s="4" t="s">
        <v>986</v>
      </c>
      <c r="B64" s="95">
        <v>45400</v>
      </c>
    </row>
    <row r="65" spans="1:2" x14ac:dyDescent="0.35">
      <c r="A65" s="4" t="s">
        <v>977</v>
      </c>
      <c r="B65" s="95">
        <v>37765</v>
      </c>
    </row>
    <row r="66" spans="1:2" x14ac:dyDescent="0.35">
      <c r="A66" s="4" t="s">
        <v>978</v>
      </c>
      <c r="B66" s="95">
        <v>40318</v>
      </c>
    </row>
    <row r="67" spans="1:2" x14ac:dyDescent="0.35">
      <c r="A67" s="4" t="s">
        <v>983</v>
      </c>
      <c r="B67" s="95">
        <v>40727</v>
      </c>
    </row>
    <row r="68" spans="1:2" x14ac:dyDescent="0.35">
      <c r="A68" s="4" t="s">
        <v>984</v>
      </c>
      <c r="B68" s="95">
        <v>32189</v>
      </c>
    </row>
    <row r="69" spans="1:2" x14ac:dyDescent="0.35">
      <c r="A69" s="4" t="s">
        <v>985</v>
      </c>
      <c r="B69" s="95">
        <v>34486</v>
      </c>
    </row>
    <row r="70" spans="1:2" x14ac:dyDescent="0.35">
      <c r="A70" s="4" t="s">
        <v>986</v>
      </c>
      <c r="B70" s="95">
        <v>40412</v>
      </c>
    </row>
    <row r="71" spans="1:2" x14ac:dyDescent="0.35">
      <c r="A71" s="4" t="s">
        <v>977</v>
      </c>
      <c r="B71" s="95">
        <v>18735</v>
      </c>
    </row>
    <row r="72" spans="1:2" x14ac:dyDescent="0.35">
      <c r="A72" s="4" t="s">
        <v>978</v>
      </c>
      <c r="B72" s="95">
        <v>48678</v>
      </c>
    </row>
    <row r="73" spans="1:2" x14ac:dyDescent="0.35">
      <c r="A73" s="4" t="s">
        <v>979</v>
      </c>
      <c r="B73" s="95">
        <v>41577</v>
      </c>
    </row>
    <row r="74" spans="1:2" x14ac:dyDescent="0.35">
      <c r="A74" s="4" t="s">
        <v>980</v>
      </c>
      <c r="B74" s="95">
        <v>12008</v>
      </c>
    </row>
    <row r="75" spans="1:2" x14ac:dyDescent="0.35">
      <c r="A75" s="4" t="s">
        <v>981</v>
      </c>
      <c r="B75" s="95">
        <v>38325</v>
      </c>
    </row>
    <row r="76" spans="1:2" x14ac:dyDescent="0.35">
      <c r="A76" s="4" t="s">
        <v>985</v>
      </c>
      <c r="B76" s="95">
        <v>20345</v>
      </c>
    </row>
    <row r="77" spans="1:2" x14ac:dyDescent="0.35">
      <c r="A77" s="4" t="s">
        <v>986</v>
      </c>
      <c r="B77" s="95">
        <v>17969</v>
      </c>
    </row>
    <row r="78" spans="1:2" x14ac:dyDescent="0.35">
      <c r="A78" s="4" t="s">
        <v>977</v>
      </c>
      <c r="B78" s="95">
        <v>43971</v>
      </c>
    </row>
    <row r="79" spans="1:2" x14ac:dyDescent="0.35">
      <c r="A79" s="4" t="s">
        <v>978</v>
      </c>
      <c r="B79" s="95">
        <v>40927</v>
      </c>
    </row>
    <row r="80" spans="1:2" x14ac:dyDescent="0.35">
      <c r="A80" s="4" t="s">
        <v>979</v>
      </c>
      <c r="B80" s="95">
        <v>13802</v>
      </c>
    </row>
    <row r="81" spans="1:2" x14ac:dyDescent="0.35">
      <c r="A81" s="4" t="s">
        <v>980</v>
      </c>
      <c r="B81" s="95">
        <v>24577</v>
      </c>
    </row>
    <row r="82" spans="1:2" x14ac:dyDescent="0.35">
      <c r="A82" s="4" t="s">
        <v>981</v>
      </c>
      <c r="B82" s="95">
        <v>37255</v>
      </c>
    </row>
    <row r="83" spans="1:2" x14ac:dyDescent="0.35">
      <c r="A83" s="4" t="s">
        <v>979</v>
      </c>
      <c r="B83" s="95">
        <v>25023</v>
      </c>
    </row>
    <row r="84" spans="1:2" x14ac:dyDescent="0.35">
      <c r="A84" s="4" t="s">
        <v>980</v>
      </c>
      <c r="B84" s="95">
        <v>13597</v>
      </c>
    </row>
    <row r="85" spans="1:2" x14ac:dyDescent="0.35">
      <c r="A85" s="4" t="s">
        <v>981</v>
      </c>
      <c r="B85" s="95">
        <v>31014</v>
      </c>
    </row>
    <row r="86" spans="1:2" x14ac:dyDescent="0.35">
      <c r="A86" s="4" t="s">
        <v>982</v>
      </c>
      <c r="B86" s="95">
        <v>40555</v>
      </c>
    </row>
    <row r="87" spans="1:2" x14ac:dyDescent="0.35">
      <c r="A87" s="4" t="s">
        <v>983</v>
      </c>
      <c r="B87" s="95">
        <v>15369</v>
      </c>
    </row>
    <row r="88" spans="1:2" x14ac:dyDescent="0.35">
      <c r="A88" s="4" t="s">
        <v>984</v>
      </c>
      <c r="B88" s="95">
        <v>31382</v>
      </c>
    </row>
    <row r="89" spans="1:2" x14ac:dyDescent="0.35">
      <c r="A89" s="4" t="s">
        <v>985</v>
      </c>
      <c r="B89" s="95">
        <v>48440</v>
      </c>
    </row>
    <row r="90" spans="1:2" x14ac:dyDescent="0.35">
      <c r="A90" s="4" t="s">
        <v>984</v>
      </c>
      <c r="B90" s="95">
        <v>37247</v>
      </c>
    </row>
    <row r="91" spans="1:2" x14ac:dyDescent="0.35">
      <c r="A91" s="4" t="s">
        <v>985</v>
      </c>
      <c r="B91" s="95">
        <v>21798</v>
      </c>
    </row>
    <row r="92" spans="1:2" x14ac:dyDescent="0.35">
      <c r="A92" s="4" t="s">
        <v>981</v>
      </c>
      <c r="B92" s="95">
        <v>40816</v>
      </c>
    </row>
    <row r="93" spans="1:2" x14ac:dyDescent="0.35">
      <c r="A93" s="4" t="s">
        <v>982</v>
      </c>
      <c r="B93" s="95">
        <v>42504</v>
      </c>
    </row>
    <row r="94" spans="1:2" x14ac:dyDescent="0.35">
      <c r="A94" s="4" t="s">
        <v>983</v>
      </c>
      <c r="B94" s="95">
        <v>24233</v>
      </c>
    </row>
    <row r="95" spans="1:2" x14ac:dyDescent="0.35">
      <c r="A95" s="4" t="s">
        <v>984</v>
      </c>
      <c r="B95" s="95">
        <v>28507</v>
      </c>
    </row>
    <row r="96" spans="1:2" x14ac:dyDescent="0.35">
      <c r="A96" s="4" t="s">
        <v>985</v>
      </c>
      <c r="B96" s="95">
        <v>48849</v>
      </c>
    </row>
    <row r="97" spans="1:2" x14ac:dyDescent="0.35">
      <c r="A97" s="4" t="s">
        <v>986</v>
      </c>
      <c r="B97" s="95">
        <v>28281</v>
      </c>
    </row>
    <row r="98" spans="1:2" x14ac:dyDescent="0.35">
      <c r="A98" s="4" t="s">
        <v>983</v>
      </c>
      <c r="B98" s="95">
        <v>43148</v>
      </c>
    </row>
    <row r="99" spans="1:2" x14ac:dyDescent="0.35">
      <c r="A99" s="4" t="s">
        <v>984</v>
      </c>
      <c r="B99" s="95">
        <v>45811</v>
      </c>
    </row>
    <row r="100" spans="1:2" x14ac:dyDescent="0.35">
      <c r="A100" s="4" t="s">
        <v>985</v>
      </c>
      <c r="B100" s="95">
        <v>30156</v>
      </c>
    </row>
    <row r="101" spans="1:2" x14ac:dyDescent="0.35">
      <c r="A101" s="4" t="s">
        <v>986</v>
      </c>
      <c r="B101" s="95">
        <v>34755</v>
      </c>
    </row>
    <row r="102" spans="1:2" x14ac:dyDescent="0.35">
      <c r="A102" s="4" t="s">
        <v>977</v>
      </c>
      <c r="B102" s="95">
        <v>15826</v>
      </c>
    </row>
    <row r="103" spans="1:2" x14ac:dyDescent="0.35">
      <c r="A103" s="4" t="s">
        <v>978</v>
      </c>
      <c r="B103" s="95">
        <v>35180</v>
      </c>
    </row>
    <row r="104" spans="1:2" x14ac:dyDescent="0.35">
      <c r="A104" s="4" t="s">
        <v>979</v>
      </c>
      <c r="B104" s="95">
        <v>22718</v>
      </c>
    </row>
    <row r="105" spans="1:2" x14ac:dyDescent="0.35">
      <c r="A105" s="4" t="s">
        <v>980</v>
      </c>
      <c r="B105" s="95">
        <v>20593</v>
      </c>
    </row>
    <row r="106" spans="1:2" x14ac:dyDescent="0.35">
      <c r="A106" s="4" t="s">
        <v>981</v>
      </c>
      <c r="B106" s="95">
        <v>13110</v>
      </c>
    </row>
    <row r="107" spans="1:2" x14ac:dyDescent="0.35">
      <c r="A107" s="4" t="s">
        <v>985</v>
      </c>
      <c r="B107" s="95">
        <v>15237</v>
      </c>
    </row>
    <row r="108" spans="1:2" x14ac:dyDescent="0.35">
      <c r="A108" s="4" t="s">
        <v>986</v>
      </c>
      <c r="B108" s="95">
        <v>43951</v>
      </c>
    </row>
    <row r="109" spans="1:2" x14ac:dyDescent="0.35">
      <c r="A109" s="4" t="s">
        <v>977</v>
      </c>
      <c r="B109" s="95">
        <v>21282</v>
      </c>
    </row>
    <row r="110" spans="1:2" x14ac:dyDescent="0.35">
      <c r="A110" s="4" t="s">
        <v>978</v>
      </c>
      <c r="B110" s="95">
        <v>26096</v>
      </c>
    </row>
    <row r="111" spans="1:2" x14ac:dyDescent="0.35">
      <c r="A111" s="4" t="s">
        <v>983</v>
      </c>
      <c r="B111" s="95">
        <v>44147</v>
      </c>
    </row>
    <row r="112" spans="1:2" x14ac:dyDescent="0.35">
      <c r="A112" s="4" t="s">
        <v>984</v>
      </c>
      <c r="B112" s="95">
        <v>30631</v>
      </c>
    </row>
    <row r="113" spans="1:2" x14ac:dyDescent="0.35">
      <c r="A113" s="4" t="s">
        <v>985</v>
      </c>
      <c r="B113" s="95">
        <v>29869</v>
      </c>
    </row>
    <row r="114" spans="1:2" x14ac:dyDescent="0.35">
      <c r="A114" s="4" t="s">
        <v>986</v>
      </c>
      <c r="B114" s="95">
        <v>39724</v>
      </c>
    </row>
    <row r="115" spans="1:2" x14ac:dyDescent="0.35">
      <c r="A115" s="4" t="s">
        <v>977</v>
      </c>
      <c r="B115" s="95">
        <v>32816</v>
      </c>
    </row>
    <row r="116" spans="1:2" x14ac:dyDescent="0.35">
      <c r="A116" s="4" t="s">
        <v>978</v>
      </c>
      <c r="B116" s="95">
        <v>39872</v>
      </c>
    </row>
    <row r="117" spans="1:2" x14ac:dyDescent="0.35">
      <c r="A117" s="4" t="s">
        <v>979</v>
      </c>
      <c r="B117" s="95">
        <v>35821</v>
      </c>
    </row>
    <row r="118" spans="1:2" x14ac:dyDescent="0.35">
      <c r="A118" s="4" t="s">
        <v>980</v>
      </c>
      <c r="B118" s="95">
        <v>29582</v>
      </c>
    </row>
    <row r="119" spans="1:2" x14ac:dyDescent="0.35">
      <c r="A119" s="4" t="s">
        <v>981</v>
      </c>
      <c r="B119" s="95">
        <v>43141</v>
      </c>
    </row>
    <row r="120" spans="1:2" x14ac:dyDescent="0.35">
      <c r="A120" s="4" t="s">
        <v>986</v>
      </c>
      <c r="B120" s="95">
        <v>45932</v>
      </c>
    </row>
    <row r="121" spans="1:2" x14ac:dyDescent="0.35">
      <c r="A121" s="4" t="s">
        <v>977</v>
      </c>
      <c r="B121" s="95">
        <v>43335</v>
      </c>
    </row>
    <row r="122" spans="1:2" x14ac:dyDescent="0.35">
      <c r="A122" s="4" t="s">
        <v>978</v>
      </c>
      <c r="B122" s="95">
        <v>13270</v>
      </c>
    </row>
    <row r="123" spans="1:2" x14ac:dyDescent="0.35">
      <c r="A123" s="4" t="s">
        <v>979</v>
      </c>
      <c r="B123" s="95">
        <v>33310</v>
      </c>
    </row>
    <row r="124" spans="1:2" x14ac:dyDescent="0.35">
      <c r="A124" s="4" t="s">
        <v>980</v>
      </c>
      <c r="B124" s="95">
        <v>25766</v>
      </c>
    </row>
    <row r="125" spans="1:2" x14ac:dyDescent="0.35">
      <c r="A125" s="4" t="s">
        <v>981</v>
      </c>
      <c r="B125" s="95">
        <v>47708</v>
      </c>
    </row>
    <row r="126" spans="1:2" x14ac:dyDescent="0.35">
      <c r="A126" s="4" t="s">
        <v>979</v>
      </c>
      <c r="B126" s="95">
        <v>27459</v>
      </c>
    </row>
    <row r="127" spans="1:2" x14ac:dyDescent="0.35">
      <c r="A127" s="4" t="s">
        <v>980</v>
      </c>
      <c r="B127" s="95">
        <v>41567</v>
      </c>
    </row>
    <row r="128" spans="1:2" x14ac:dyDescent="0.35">
      <c r="A128" s="4" t="s">
        <v>981</v>
      </c>
      <c r="B128" s="95">
        <v>43704</v>
      </c>
    </row>
    <row r="129" spans="1:2" x14ac:dyDescent="0.35">
      <c r="A129" s="4" t="s">
        <v>982</v>
      </c>
      <c r="B129" s="95">
        <v>33246</v>
      </c>
    </row>
    <row r="130" spans="1:2" x14ac:dyDescent="0.35">
      <c r="A130" s="4" t="s">
        <v>983</v>
      </c>
      <c r="B130" s="95">
        <v>19530</v>
      </c>
    </row>
    <row r="131" spans="1:2" x14ac:dyDescent="0.35">
      <c r="A131" s="4" t="s">
        <v>984</v>
      </c>
      <c r="B131" s="95">
        <v>11725</v>
      </c>
    </row>
    <row r="132" spans="1:2" x14ac:dyDescent="0.35">
      <c r="A132" s="4" t="s">
        <v>985</v>
      </c>
      <c r="B132" s="95">
        <v>22830</v>
      </c>
    </row>
    <row r="133" spans="1:2" x14ac:dyDescent="0.35">
      <c r="A133" s="4" t="s">
        <v>984</v>
      </c>
      <c r="B133" s="95">
        <v>19559</v>
      </c>
    </row>
    <row r="134" spans="1:2" x14ac:dyDescent="0.35">
      <c r="A134" s="4" t="s">
        <v>985</v>
      </c>
      <c r="B134" s="95">
        <v>38786</v>
      </c>
    </row>
    <row r="135" spans="1:2" x14ac:dyDescent="0.35">
      <c r="A135" s="4" t="s">
        <v>981</v>
      </c>
      <c r="B135" s="95">
        <v>30295</v>
      </c>
    </row>
    <row r="136" spans="1:2" x14ac:dyDescent="0.35">
      <c r="A136" s="4" t="s">
        <v>982</v>
      </c>
      <c r="B136" s="95">
        <v>14575</v>
      </c>
    </row>
    <row r="137" spans="1:2" x14ac:dyDescent="0.35">
      <c r="A137" s="4" t="s">
        <v>983</v>
      </c>
      <c r="B137" s="95">
        <v>32384</v>
      </c>
    </row>
    <row r="138" spans="1:2" x14ac:dyDescent="0.35">
      <c r="A138" s="4" t="s">
        <v>984</v>
      </c>
      <c r="B138" s="95">
        <v>48438</v>
      </c>
    </row>
    <row r="139" spans="1:2" x14ac:dyDescent="0.35">
      <c r="A139" s="4" t="s">
        <v>985</v>
      </c>
      <c r="B139" s="95">
        <v>14350</v>
      </c>
    </row>
    <row r="140" spans="1:2" x14ac:dyDescent="0.35">
      <c r="A140" s="4" t="s">
        <v>986</v>
      </c>
      <c r="B140" s="95">
        <v>26033</v>
      </c>
    </row>
    <row r="141" spans="1:2" x14ac:dyDescent="0.35">
      <c r="A141" s="4" t="s">
        <v>983</v>
      </c>
      <c r="B141" s="95">
        <v>11847</v>
      </c>
    </row>
    <row r="142" spans="1:2" x14ac:dyDescent="0.35">
      <c r="A142" s="4" t="s">
        <v>984</v>
      </c>
      <c r="B142" s="95">
        <v>28036</v>
      </c>
    </row>
    <row r="143" spans="1:2" x14ac:dyDescent="0.35">
      <c r="A143" s="4" t="s">
        <v>977</v>
      </c>
      <c r="B143" s="95">
        <v>10099</v>
      </c>
    </row>
    <row r="144" spans="1:2" x14ac:dyDescent="0.35">
      <c r="A144" s="4" t="s">
        <v>978</v>
      </c>
      <c r="B144" s="95">
        <v>23342</v>
      </c>
    </row>
    <row r="145" spans="1:2" x14ac:dyDescent="0.35">
      <c r="A145" s="4" t="s">
        <v>979</v>
      </c>
      <c r="B145" s="95">
        <v>20455</v>
      </c>
    </row>
    <row r="146" spans="1:2" x14ac:dyDescent="0.35">
      <c r="A146" s="4" t="s">
        <v>980</v>
      </c>
      <c r="B146" s="95">
        <v>12388</v>
      </c>
    </row>
    <row r="147" spans="1:2" x14ac:dyDescent="0.35">
      <c r="A147" s="4" t="s">
        <v>981</v>
      </c>
      <c r="B147" s="95">
        <v>32446</v>
      </c>
    </row>
    <row r="148" spans="1:2" x14ac:dyDescent="0.35">
      <c r="A148" s="4" t="s">
        <v>982</v>
      </c>
      <c r="B148" s="95">
        <v>23384</v>
      </c>
    </row>
    <row r="149" spans="1:2" x14ac:dyDescent="0.35">
      <c r="A149" s="4" t="s">
        <v>983</v>
      </c>
      <c r="B149" s="95">
        <v>19615</v>
      </c>
    </row>
    <row r="150" spans="1:2" x14ac:dyDescent="0.35">
      <c r="A150" s="4" t="s">
        <v>984</v>
      </c>
      <c r="B150" s="95">
        <v>34904</v>
      </c>
    </row>
    <row r="151" spans="1:2" x14ac:dyDescent="0.35">
      <c r="A151" s="4" t="s">
        <v>985</v>
      </c>
      <c r="B151" s="95">
        <v>25741</v>
      </c>
    </row>
    <row r="152" spans="1:2" x14ac:dyDescent="0.35">
      <c r="A152" s="4" t="s">
        <v>986</v>
      </c>
      <c r="B152" s="95">
        <v>45785</v>
      </c>
    </row>
    <row r="153" spans="1:2" x14ac:dyDescent="0.35">
      <c r="A153" s="4" t="s">
        <v>977</v>
      </c>
      <c r="B153" s="95">
        <v>12504</v>
      </c>
    </row>
    <row r="154" spans="1:2" x14ac:dyDescent="0.35">
      <c r="A154" s="4" t="s">
        <v>978</v>
      </c>
      <c r="B154" s="95">
        <v>28781</v>
      </c>
    </row>
    <row r="155" spans="1:2" x14ac:dyDescent="0.35">
      <c r="A155" s="4" t="s">
        <v>979</v>
      </c>
      <c r="B155" s="95">
        <v>29930</v>
      </c>
    </row>
    <row r="156" spans="1:2" x14ac:dyDescent="0.35">
      <c r="A156" s="4" t="s">
        <v>980</v>
      </c>
      <c r="B156" s="95">
        <v>12839</v>
      </c>
    </row>
    <row r="157" spans="1:2" x14ac:dyDescent="0.35">
      <c r="A157" s="4" t="s">
        <v>981</v>
      </c>
      <c r="B157" s="95">
        <v>44415</v>
      </c>
    </row>
    <row r="158" spans="1:2" x14ac:dyDescent="0.35">
      <c r="A158" s="4" t="s">
        <v>979</v>
      </c>
      <c r="B158" s="95">
        <v>10558</v>
      </c>
    </row>
    <row r="159" spans="1:2" x14ac:dyDescent="0.35">
      <c r="A159" s="4" t="s">
        <v>980</v>
      </c>
      <c r="B159" s="95">
        <v>32395</v>
      </c>
    </row>
    <row r="160" spans="1:2" x14ac:dyDescent="0.35">
      <c r="A160" s="4" t="s">
        <v>981</v>
      </c>
      <c r="B160" s="95">
        <v>16249</v>
      </c>
    </row>
    <row r="161" spans="1:2" x14ac:dyDescent="0.35">
      <c r="A161" s="4" t="s">
        <v>982</v>
      </c>
      <c r="B161" s="95">
        <v>31021</v>
      </c>
    </row>
    <row r="162" spans="1:2" x14ac:dyDescent="0.35">
      <c r="A162" s="4" t="s">
        <v>983</v>
      </c>
      <c r="B162" s="95">
        <v>32653</v>
      </c>
    </row>
    <row r="163" spans="1:2" x14ac:dyDescent="0.35">
      <c r="A163" s="4" t="s">
        <v>984</v>
      </c>
      <c r="B163" s="95">
        <v>25706</v>
      </c>
    </row>
    <row r="164" spans="1:2" x14ac:dyDescent="0.35">
      <c r="A164" s="4" t="s">
        <v>985</v>
      </c>
      <c r="B164" s="95">
        <v>16254</v>
      </c>
    </row>
    <row r="165" spans="1:2" x14ac:dyDescent="0.35">
      <c r="A165" s="4" t="s">
        <v>986</v>
      </c>
      <c r="B165" s="95">
        <v>45823</v>
      </c>
    </row>
    <row r="166" spans="1:2" x14ac:dyDescent="0.35">
      <c r="A166" s="4" t="s">
        <v>983</v>
      </c>
      <c r="B166" s="95">
        <v>39866</v>
      </c>
    </row>
    <row r="167" spans="1:2" x14ac:dyDescent="0.35">
      <c r="A167" s="4" t="s">
        <v>984</v>
      </c>
      <c r="B167" s="95">
        <v>13910</v>
      </c>
    </row>
    <row r="168" spans="1:2" x14ac:dyDescent="0.35">
      <c r="A168" s="4" t="s">
        <v>985</v>
      </c>
      <c r="B168" s="95">
        <v>15325</v>
      </c>
    </row>
    <row r="169" spans="1:2" x14ac:dyDescent="0.35">
      <c r="A169" s="4" t="s">
        <v>986</v>
      </c>
      <c r="B169" s="95">
        <v>23082</v>
      </c>
    </row>
    <row r="170" spans="1:2" x14ac:dyDescent="0.35">
      <c r="A170" s="4" t="s">
        <v>977</v>
      </c>
      <c r="B170" s="95">
        <v>36260</v>
      </c>
    </row>
    <row r="171" spans="1:2" x14ac:dyDescent="0.35">
      <c r="A171" s="4" t="s">
        <v>978</v>
      </c>
      <c r="B171" s="95">
        <v>23582</v>
      </c>
    </row>
    <row r="172" spans="1:2" x14ac:dyDescent="0.35">
      <c r="A172" s="4" t="s">
        <v>979</v>
      </c>
      <c r="B172" s="95">
        <v>15344</v>
      </c>
    </row>
    <row r="173" spans="1:2" x14ac:dyDescent="0.35">
      <c r="A173" s="4" t="s">
        <v>980</v>
      </c>
      <c r="B173" s="95">
        <v>43046</v>
      </c>
    </row>
    <row r="174" spans="1:2" x14ac:dyDescent="0.35">
      <c r="A174" s="4" t="s">
        <v>981</v>
      </c>
      <c r="B174" s="95">
        <v>41573</v>
      </c>
    </row>
    <row r="175" spans="1:2" x14ac:dyDescent="0.35">
      <c r="A175" s="4" t="s">
        <v>985</v>
      </c>
      <c r="B175" s="95">
        <v>16779</v>
      </c>
    </row>
    <row r="176" spans="1:2" x14ac:dyDescent="0.35">
      <c r="A176" s="4" t="s">
        <v>986</v>
      </c>
      <c r="B176" s="95">
        <v>27292</v>
      </c>
    </row>
    <row r="177" spans="1:2" x14ac:dyDescent="0.35">
      <c r="A177" s="4" t="s">
        <v>977</v>
      </c>
      <c r="B177" s="95">
        <v>40299</v>
      </c>
    </row>
    <row r="178" spans="1:2" x14ac:dyDescent="0.35">
      <c r="A178" s="4" t="s">
        <v>978</v>
      </c>
      <c r="B178" s="95">
        <v>16809</v>
      </c>
    </row>
    <row r="179" spans="1:2" x14ac:dyDescent="0.35">
      <c r="A179" s="4" t="s">
        <v>979</v>
      </c>
      <c r="B179" s="95">
        <v>42622</v>
      </c>
    </row>
    <row r="180" spans="1:2" x14ac:dyDescent="0.35">
      <c r="A180" s="4" t="s">
        <v>980</v>
      </c>
      <c r="B180" s="95">
        <v>11957</v>
      </c>
    </row>
    <row r="181" spans="1:2" x14ac:dyDescent="0.35">
      <c r="A181" s="4" t="s">
        <v>981</v>
      </c>
      <c r="B181" s="95">
        <v>31607</v>
      </c>
    </row>
    <row r="182" spans="1:2" x14ac:dyDescent="0.35">
      <c r="A182" s="4" t="s">
        <v>979</v>
      </c>
      <c r="B182" s="95">
        <v>40810</v>
      </c>
    </row>
    <row r="183" spans="1:2" x14ac:dyDescent="0.35">
      <c r="A183" s="4" t="s">
        <v>980</v>
      </c>
      <c r="B183" s="95">
        <v>40448</v>
      </c>
    </row>
    <row r="184" spans="1:2" x14ac:dyDescent="0.35">
      <c r="A184" s="4" t="s">
        <v>981</v>
      </c>
      <c r="B184" s="95">
        <v>16932</v>
      </c>
    </row>
    <row r="185" spans="1:2" x14ac:dyDescent="0.35">
      <c r="A185" s="4" t="s">
        <v>982</v>
      </c>
      <c r="B185" s="95">
        <v>45994</v>
      </c>
    </row>
    <row r="186" spans="1:2" x14ac:dyDescent="0.35">
      <c r="A186" s="4" t="s">
        <v>983</v>
      </c>
      <c r="B186" s="95">
        <v>17095</v>
      </c>
    </row>
    <row r="187" spans="1:2" x14ac:dyDescent="0.35">
      <c r="A187" s="4" t="s">
        <v>984</v>
      </c>
      <c r="B187" s="95">
        <v>38369</v>
      </c>
    </row>
    <row r="188" spans="1:2" x14ac:dyDescent="0.35">
      <c r="A188" s="4" t="s">
        <v>985</v>
      </c>
      <c r="B188" s="95">
        <v>43328</v>
      </c>
    </row>
    <row r="189" spans="1:2" x14ac:dyDescent="0.35">
      <c r="A189" s="4" t="s">
        <v>981</v>
      </c>
      <c r="B189" s="95">
        <v>16547</v>
      </c>
    </row>
    <row r="190" spans="1:2" x14ac:dyDescent="0.35">
      <c r="A190" s="4" t="s">
        <v>982</v>
      </c>
      <c r="B190" s="95">
        <v>21657</v>
      </c>
    </row>
    <row r="191" spans="1:2" x14ac:dyDescent="0.35">
      <c r="A191" s="4" t="s">
        <v>983</v>
      </c>
      <c r="B191" s="95">
        <v>13051</v>
      </c>
    </row>
    <row r="192" spans="1:2" x14ac:dyDescent="0.35">
      <c r="A192" s="4" t="s">
        <v>984</v>
      </c>
      <c r="B192" s="95">
        <v>47097</v>
      </c>
    </row>
    <row r="193" spans="1:2" x14ac:dyDescent="0.35">
      <c r="A193" s="4" t="s">
        <v>985</v>
      </c>
      <c r="B193" s="95">
        <v>36776</v>
      </c>
    </row>
    <row r="194" spans="1:2" x14ac:dyDescent="0.35">
      <c r="A194" s="4" t="s">
        <v>986</v>
      </c>
      <c r="B194" s="95">
        <v>13627</v>
      </c>
    </row>
    <row r="195" spans="1:2" x14ac:dyDescent="0.35">
      <c r="A195" s="4" t="s">
        <v>983</v>
      </c>
      <c r="B195" s="95">
        <v>29181</v>
      </c>
    </row>
    <row r="196" spans="1:2" x14ac:dyDescent="0.35">
      <c r="A196" s="4" t="s">
        <v>984</v>
      </c>
      <c r="B196" s="95">
        <v>11663</v>
      </c>
    </row>
    <row r="197" spans="1:2" x14ac:dyDescent="0.35">
      <c r="A197" s="4" t="s">
        <v>985</v>
      </c>
      <c r="B197" s="95">
        <v>20177</v>
      </c>
    </row>
    <row r="198" spans="1:2" x14ac:dyDescent="0.35">
      <c r="A198" s="4" t="s">
        <v>986</v>
      </c>
      <c r="B198" s="95">
        <v>45561</v>
      </c>
    </row>
    <row r="199" spans="1:2" x14ac:dyDescent="0.35">
      <c r="A199" s="4" t="s">
        <v>977</v>
      </c>
      <c r="B199" s="95">
        <v>24261</v>
      </c>
    </row>
    <row r="200" spans="1:2" x14ac:dyDescent="0.35">
      <c r="A200" s="4" t="s">
        <v>978</v>
      </c>
      <c r="B200" s="95">
        <v>39941</v>
      </c>
    </row>
    <row r="201" spans="1:2" x14ac:dyDescent="0.35">
      <c r="A201" s="4" t="s">
        <v>979</v>
      </c>
      <c r="B201" s="95">
        <v>10122</v>
      </c>
    </row>
    <row r="202" spans="1:2" x14ac:dyDescent="0.35">
      <c r="A202" s="4" t="s">
        <v>980</v>
      </c>
      <c r="B202" s="95">
        <v>15789</v>
      </c>
    </row>
    <row r="203" spans="1:2" x14ac:dyDescent="0.35">
      <c r="A203" s="4" t="s">
        <v>981</v>
      </c>
      <c r="B203" s="95">
        <v>14969</v>
      </c>
    </row>
    <row r="204" spans="1:2" x14ac:dyDescent="0.35">
      <c r="A204" s="4" t="s">
        <v>985</v>
      </c>
      <c r="B204" s="95">
        <v>21033</v>
      </c>
    </row>
    <row r="205" spans="1:2" x14ac:dyDescent="0.35">
      <c r="A205" s="4" t="s">
        <v>986</v>
      </c>
      <c r="B205" s="95">
        <v>21895</v>
      </c>
    </row>
    <row r="206" spans="1:2" x14ac:dyDescent="0.35">
      <c r="A206" s="4" t="s">
        <v>977</v>
      </c>
      <c r="B206" s="95">
        <v>31770</v>
      </c>
    </row>
    <row r="207" spans="1:2" x14ac:dyDescent="0.35">
      <c r="A207" s="4" t="s">
        <v>978</v>
      </c>
      <c r="B207" s="95">
        <v>24061</v>
      </c>
    </row>
    <row r="208" spans="1:2" x14ac:dyDescent="0.35">
      <c r="A208" s="4" t="s">
        <v>983</v>
      </c>
      <c r="B208" s="95">
        <v>22252</v>
      </c>
    </row>
    <row r="209" spans="1:2" x14ac:dyDescent="0.35">
      <c r="A209" s="4" t="s">
        <v>984</v>
      </c>
      <c r="B209" s="95">
        <v>37478</v>
      </c>
    </row>
    <row r="210" spans="1:2" x14ac:dyDescent="0.35">
      <c r="A210" s="4" t="s">
        <v>985</v>
      </c>
      <c r="B210" s="95">
        <v>41896</v>
      </c>
    </row>
    <row r="211" spans="1:2" x14ac:dyDescent="0.35">
      <c r="A211" s="4" t="s">
        <v>986</v>
      </c>
      <c r="B211" s="95">
        <v>47230</v>
      </c>
    </row>
    <row r="212" spans="1:2" x14ac:dyDescent="0.35">
      <c r="A212" s="4" t="s">
        <v>977</v>
      </c>
      <c r="B212" s="95">
        <v>49744</v>
      </c>
    </row>
    <row r="213" spans="1:2" x14ac:dyDescent="0.35">
      <c r="A213" s="4" t="s">
        <v>978</v>
      </c>
      <c r="B213" s="95">
        <v>37982</v>
      </c>
    </row>
    <row r="214" spans="1:2" x14ac:dyDescent="0.35">
      <c r="A214" s="4" t="s">
        <v>979</v>
      </c>
      <c r="B214" s="95">
        <v>13769</v>
      </c>
    </row>
    <row r="215" spans="1:2" x14ac:dyDescent="0.35">
      <c r="A215" s="4" t="s">
        <v>980</v>
      </c>
      <c r="B215" s="95">
        <v>25501</v>
      </c>
    </row>
    <row r="216" spans="1:2" x14ac:dyDescent="0.35">
      <c r="A216" s="4" t="s">
        <v>981</v>
      </c>
      <c r="B216" s="95">
        <v>39478</v>
      </c>
    </row>
    <row r="217" spans="1:2" x14ac:dyDescent="0.35">
      <c r="A217" s="4" t="s">
        <v>985</v>
      </c>
      <c r="B217" s="95">
        <v>27425</v>
      </c>
    </row>
    <row r="218" spans="1:2" x14ac:dyDescent="0.35">
      <c r="A218" s="4" t="s">
        <v>986</v>
      </c>
      <c r="B218" s="95">
        <v>19584</v>
      </c>
    </row>
    <row r="219" spans="1:2" x14ac:dyDescent="0.35">
      <c r="A219" s="4" t="s">
        <v>977</v>
      </c>
      <c r="B219" s="95">
        <v>30612</v>
      </c>
    </row>
    <row r="220" spans="1:2" x14ac:dyDescent="0.35">
      <c r="A220" s="4" t="s">
        <v>978</v>
      </c>
      <c r="B220" s="95">
        <v>10687</v>
      </c>
    </row>
    <row r="221" spans="1:2" x14ac:dyDescent="0.35">
      <c r="A221" s="4" t="s">
        <v>979</v>
      </c>
      <c r="B221" s="95">
        <v>21088</v>
      </c>
    </row>
    <row r="222" spans="1:2" x14ac:dyDescent="0.35">
      <c r="A222" s="4" t="s">
        <v>980</v>
      </c>
      <c r="B222" s="95">
        <v>14398</v>
      </c>
    </row>
    <row r="223" spans="1:2" x14ac:dyDescent="0.35">
      <c r="A223" s="4" t="s">
        <v>981</v>
      </c>
      <c r="B223" s="95">
        <v>17759</v>
      </c>
    </row>
    <row r="224" spans="1:2" x14ac:dyDescent="0.35">
      <c r="A224" s="4" t="s">
        <v>979</v>
      </c>
      <c r="B224" s="95">
        <v>15842</v>
      </c>
    </row>
    <row r="225" spans="1:2" x14ac:dyDescent="0.35">
      <c r="A225" s="4" t="s">
        <v>980</v>
      </c>
      <c r="B225" s="95">
        <v>10342</v>
      </c>
    </row>
    <row r="226" spans="1:2" x14ac:dyDescent="0.35">
      <c r="A226" s="4" t="s">
        <v>981</v>
      </c>
      <c r="B226" s="95">
        <v>38250</v>
      </c>
    </row>
    <row r="227" spans="1:2" x14ac:dyDescent="0.35">
      <c r="A227" s="4" t="s">
        <v>982</v>
      </c>
      <c r="B227" s="95">
        <v>42390</v>
      </c>
    </row>
    <row r="228" spans="1:2" x14ac:dyDescent="0.35">
      <c r="A228" s="4" t="s">
        <v>983</v>
      </c>
      <c r="B228" s="95">
        <v>20182</v>
      </c>
    </row>
    <row r="229" spans="1:2" x14ac:dyDescent="0.35">
      <c r="A229" s="4" t="s">
        <v>984</v>
      </c>
      <c r="B229" s="95">
        <v>37677</v>
      </c>
    </row>
    <row r="230" spans="1:2" x14ac:dyDescent="0.35">
      <c r="A230" s="4" t="s">
        <v>985</v>
      </c>
      <c r="B230" s="95">
        <v>17636</v>
      </c>
    </row>
    <row r="231" spans="1:2" x14ac:dyDescent="0.35">
      <c r="A231" s="4" t="s">
        <v>984</v>
      </c>
      <c r="B231" s="95">
        <v>39126</v>
      </c>
    </row>
    <row r="232" spans="1:2" x14ac:dyDescent="0.35">
      <c r="A232" s="4" t="s">
        <v>985</v>
      </c>
      <c r="B232" s="95">
        <v>31752</v>
      </c>
    </row>
    <row r="233" spans="1:2" x14ac:dyDescent="0.35">
      <c r="A233" s="4" t="s">
        <v>981</v>
      </c>
      <c r="B233" s="95">
        <v>20588</v>
      </c>
    </row>
    <row r="234" spans="1:2" x14ac:dyDescent="0.35">
      <c r="A234" s="4" t="s">
        <v>982</v>
      </c>
      <c r="B234" s="95">
        <v>27347</v>
      </c>
    </row>
    <row r="235" spans="1:2" x14ac:dyDescent="0.35">
      <c r="A235" s="4" t="s">
        <v>983</v>
      </c>
      <c r="B235" s="95">
        <v>15509</v>
      </c>
    </row>
    <row r="236" spans="1:2" x14ac:dyDescent="0.35">
      <c r="A236" s="4" t="s">
        <v>984</v>
      </c>
      <c r="B236" s="95">
        <v>34189</v>
      </c>
    </row>
    <row r="237" spans="1:2" x14ac:dyDescent="0.35">
      <c r="A237" s="4" t="s">
        <v>985</v>
      </c>
      <c r="B237" s="95">
        <v>35675</v>
      </c>
    </row>
    <row r="238" spans="1:2" x14ac:dyDescent="0.35">
      <c r="A238" s="4" t="s">
        <v>986</v>
      </c>
      <c r="B238" s="95">
        <v>47368</v>
      </c>
    </row>
    <row r="239" spans="1:2" x14ac:dyDescent="0.35">
      <c r="A239" s="4" t="s">
        <v>983</v>
      </c>
      <c r="B239" s="95">
        <v>31132</v>
      </c>
    </row>
    <row r="240" spans="1:2" x14ac:dyDescent="0.35">
      <c r="A240" s="4" t="s">
        <v>984</v>
      </c>
      <c r="B240" s="95">
        <v>32628</v>
      </c>
    </row>
    <row r="241" spans="1:2" x14ac:dyDescent="0.35">
      <c r="A241" s="4" t="s">
        <v>985</v>
      </c>
      <c r="B241" s="95">
        <v>33998</v>
      </c>
    </row>
    <row r="242" spans="1:2" x14ac:dyDescent="0.35">
      <c r="A242" s="4" t="s">
        <v>986</v>
      </c>
      <c r="B242" s="95">
        <v>49302</v>
      </c>
    </row>
    <row r="243" spans="1:2" x14ac:dyDescent="0.35">
      <c r="A243" s="4" t="s">
        <v>977</v>
      </c>
      <c r="B243" s="95">
        <v>39128</v>
      </c>
    </row>
    <row r="244" spans="1:2" x14ac:dyDescent="0.35">
      <c r="A244" s="4" t="s">
        <v>978</v>
      </c>
      <c r="B244" s="95">
        <v>31770</v>
      </c>
    </row>
    <row r="245" spans="1:2" x14ac:dyDescent="0.35">
      <c r="A245" s="4" t="s">
        <v>979</v>
      </c>
      <c r="B245" s="95">
        <v>43124</v>
      </c>
    </row>
    <row r="246" spans="1:2" x14ac:dyDescent="0.35">
      <c r="A246" s="4" t="s">
        <v>980</v>
      </c>
      <c r="B246" s="95">
        <v>24838</v>
      </c>
    </row>
    <row r="247" spans="1:2" x14ac:dyDescent="0.35">
      <c r="A247" s="4" t="s">
        <v>981</v>
      </c>
      <c r="B247" s="95">
        <v>40139</v>
      </c>
    </row>
    <row r="248" spans="1:2" x14ac:dyDescent="0.35">
      <c r="A248" s="4" t="s">
        <v>985</v>
      </c>
      <c r="B248" s="95">
        <v>48342</v>
      </c>
    </row>
    <row r="249" spans="1:2" x14ac:dyDescent="0.35">
      <c r="A249" s="4" t="s">
        <v>986</v>
      </c>
      <c r="B249" s="95">
        <v>49708</v>
      </c>
    </row>
    <row r="250" spans="1:2" x14ac:dyDescent="0.35">
      <c r="A250" s="4" t="s">
        <v>977</v>
      </c>
      <c r="B250" s="95">
        <v>21731</v>
      </c>
    </row>
    <row r="251" spans="1:2" x14ac:dyDescent="0.35">
      <c r="A251" s="4" t="s">
        <v>978</v>
      </c>
      <c r="B251" s="95">
        <v>20945</v>
      </c>
    </row>
    <row r="252" spans="1:2" x14ac:dyDescent="0.35">
      <c r="A252" s="4" t="s">
        <v>983</v>
      </c>
      <c r="B252" s="95">
        <v>17695</v>
      </c>
    </row>
    <row r="253" spans="1:2" x14ac:dyDescent="0.35">
      <c r="A253" s="4" t="s">
        <v>984</v>
      </c>
      <c r="B253" s="95">
        <v>39910</v>
      </c>
    </row>
    <row r="254" spans="1:2" x14ac:dyDescent="0.35">
      <c r="A254" s="4" t="s">
        <v>985</v>
      </c>
      <c r="B254" s="95">
        <v>41343</v>
      </c>
    </row>
    <row r="255" spans="1:2" x14ac:dyDescent="0.35">
      <c r="A255" s="4" t="s">
        <v>986</v>
      </c>
      <c r="B255" s="95">
        <v>27332</v>
      </c>
    </row>
    <row r="256" spans="1:2" x14ac:dyDescent="0.35">
      <c r="A256" s="4" t="s">
        <v>977</v>
      </c>
      <c r="B256" s="95">
        <v>20369</v>
      </c>
    </row>
    <row r="257" spans="1:2" x14ac:dyDescent="0.35">
      <c r="A257" s="4" t="s">
        <v>978</v>
      </c>
      <c r="B257" s="95">
        <v>14410</v>
      </c>
    </row>
    <row r="258" spans="1:2" x14ac:dyDescent="0.35">
      <c r="A258" s="4" t="s">
        <v>979</v>
      </c>
      <c r="B258" s="95">
        <v>48096</v>
      </c>
    </row>
    <row r="259" spans="1:2" x14ac:dyDescent="0.35">
      <c r="A259" s="4" t="s">
        <v>980</v>
      </c>
      <c r="B259" s="95">
        <v>38356</v>
      </c>
    </row>
    <row r="260" spans="1:2" x14ac:dyDescent="0.35">
      <c r="A260" s="4" t="s">
        <v>981</v>
      </c>
      <c r="B260" s="95">
        <v>32746</v>
      </c>
    </row>
    <row r="261" spans="1:2" x14ac:dyDescent="0.35">
      <c r="A261" s="4" t="s">
        <v>986</v>
      </c>
      <c r="B261" s="95">
        <v>28332</v>
      </c>
    </row>
    <row r="262" spans="1:2" x14ac:dyDescent="0.35">
      <c r="A262" s="4" t="s">
        <v>977</v>
      </c>
      <c r="B262" s="95">
        <v>10204</v>
      </c>
    </row>
    <row r="263" spans="1:2" x14ac:dyDescent="0.35">
      <c r="A263" s="4" t="s">
        <v>978</v>
      </c>
      <c r="B263" s="95">
        <v>45279</v>
      </c>
    </row>
    <row r="264" spans="1:2" x14ac:dyDescent="0.35">
      <c r="A264" s="4" t="s">
        <v>979</v>
      </c>
      <c r="B264" s="95">
        <v>13721</v>
      </c>
    </row>
    <row r="265" spans="1:2" x14ac:dyDescent="0.35">
      <c r="A265" s="4" t="s">
        <v>980</v>
      </c>
      <c r="B265" s="95">
        <v>32756</v>
      </c>
    </row>
    <row r="266" spans="1:2" x14ac:dyDescent="0.35">
      <c r="A266" s="4" t="s">
        <v>981</v>
      </c>
      <c r="B266" s="95">
        <v>36365</v>
      </c>
    </row>
    <row r="267" spans="1:2" x14ac:dyDescent="0.35">
      <c r="A267" s="4" t="s">
        <v>979</v>
      </c>
      <c r="B267" s="95">
        <v>35142</v>
      </c>
    </row>
    <row r="268" spans="1:2" x14ac:dyDescent="0.35">
      <c r="A268" s="4" t="s">
        <v>980</v>
      </c>
      <c r="B268" s="95">
        <v>40734</v>
      </c>
    </row>
    <row r="269" spans="1:2" x14ac:dyDescent="0.35">
      <c r="A269" s="4" t="s">
        <v>981</v>
      </c>
      <c r="B269" s="95">
        <v>41724</v>
      </c>
    </row>
    <row r="270" spans="1:2" x14ac:dyDescent="0.35">
      <c r="A270" s="4" t="s">
        <v>982</v>
      </c>
      <c r="B270" s="95">
        <v>31177</v>
      </c>
    </row>
    <row r="271" spans="1:2" x14ac:dyDescent="0.35">
      <c r="A271" s="4" t="s">
        <v>983</v>
      </c>
      <c r="B271" s="95">
        <v>49069</v>
      </c>
    </row>
    <row r="272" spans="1:2" x14ac:dyDescent="0.35">
      <c r="A272" s="4" t="s">
        <v>984</v>
      </c>
      <c r="B272" s="95">
        <v>10066</v>
      </c>
    </row>
    <row r="273" spans="1:2" x14ac:dyDescent="0.35">
      <c r="A273" s="4" t="s">
        <v>985</v>
      </c>
      <c r="B273" s="95">
        <v>30532</v>
      </c>
    </row>
    <row r="274" spans="1:2" x14ac:dyDescent="0.35">
      <c r="A274" s="4" t="s">
        <v>984</v>
      </c>
      <c r="B274" s="95">
        <v>13988</v>
      </c>
    </row>
    <row r="275" spans="1:2" x14ac:dyDescent="0.35">
      <c r="A275" s="4" t="s">
        <v>985</v>
      </c>
      <c r="B275" s="95">
        <v>18210</v>
      </c>
    </row>
    <row r="276" spans="1:2" x14ac:dyDescent="0.35">
      <c r="A276" s="4" t="s">
        <v>981</v>
      </c>
      <c r="B276" s="95">
        <v>15079</v>
      </c>
    </row>
    <row r="277" spans="1:2" x14ac:dyDescent="0.35">
      <c r="A277" s="4" t="s">
        <v>982</v>
      </c>
      <c r="B277" s="95">
        <v>28495</v>
      </c>
    </row>
    <row r="278" spans="1:2" x14ac:dyDescent="0.35">
      <c r="A278" s="4" t="s">
        <v>983</v>
      </c>
      <c r="B278" s="95">
        <v>24016</v>
      </c>
    </row>
    <row r="279" spans="1:2" x14ac:dyDescent="0.35">
      <c r="A279" s="4" t="s">
        <v>984</v>
      </c>
      <c r="B279" s="95">
        <v>37495</v>
      </c>
    </row>
    <row r="280" spans="1:2" x14ac:dyDescent="0.35">
      <c r="A280" s="4" t="s">
        <v>985</v>
      </c>
      <c r="B280" s="95">
        <v>47187</v>
      </c>
    </row>
    <row r="281" spans="1:2" x14ac:dyDescent="0.35">
      <c r="A281" s="4" t="s">
        <v>986</v>
      </c>
      <c r="B281" s="95">
        <v>11713</v>
      </c>
    </row>
    <row r="282" spans="1:2" x14ac:dyDescent="0.35">
      <c r="A282" s="4" t="s">
        <v>983</v>
      </c>
      <c r="B282" s="95">
        <v>20306</v>
      </c>
    </row>
    <row r="283" spans="1:2" x14ac:dyDescent="0.35">
      <c r="A283" s="4" t="s">
        <v>984</v>
      </c>
      <c r="B283" s="95">
        <v>41776</v>
      </c>
    </row>
    <row r="284" spans="1:2" x14ac:dyDescent="0.35">
      <c r="A284" s="4" t="s">
        <v>981</v>
      </c>
      <c r="B284" s="95">
        <v>28958</v>
      </c>
    </row>
    <row r="285" spans="1:2" x14ac:dyDescent="0.35">
      <c r="A285" s="4" t="s">
        <v>985</v>
      </c>
      <c r="B285" s="95">
        <v>12651</v>
      </c>
    </row>
    <row r="286" spans="1:2" x14ac:dyDescent="0.35">
      <c r="A286" s="4" t="s">
        <v>986</v>
      </c>
      <c r="B286" s="95">
        <v>35743</v>
      </c>
    </row>
    <row r="287" spans="1:2" x14ac:dyDescent="0.35">
      <c r="A287" s="4" t="s">
        <v>977</v>
      </c>
      <c r="B287" s="95">
        <v>49184</v>
      </c>
    </row>
    <row r="288" spans="1:2" x14ac:dyDescent="0.35">
      <c r="A288" s="4" t="s">
        <v>978</v>
      </c>
      <c r="B288" s="95">
        <v>47605</v>
      </c>
    </row>
    <row r="289" spans="1:2" x14ac:dyDescent="0.35">
      <c r="A289" s="4" t="s">
        <v>983</v>
      </c>
      <c r="B289" s="95">
        <v>39843</v>
      </c>
    </row>
    <row r="290" spans="1:2" x14ac:dyDescent="0.35">
      <c r="A290" s="4" t="s">
        <v>984</v>
      </c>
      <c r="B290" s="95">
        <v>44940</v>
      </c>
    </row>
    <row r="291" spans="1:2" x14ac:dyDescent="0.35">
      <c r="A291" s="4" t="s">
        <v>985</v>
      </c>
      <c r="B291" s="95">
        <v>18856</v>
      </c>
    </row>
    <row r="292" spans="1:2" x14ac:dyDescent="0.35">
      <c r="A292" s="4" t="s">
        <v>986</v>
      </c>
      <c r="B292" s="95">
        <v>46555</v>
      </c>
    </row>
    <row r="293" spans="1:2" x14ac:dyDescent="0.35">
      <c r="A293" s="4" t="s">
        <v>977</v>
      </c>
      <c r="B293" s="95">
        <v>11676</v>
      </c>
    </row>
    <row r="294" spans="1:2" x14ac:dyDescent="0.35">
      <c r="A294" s="4" t="s">
        <v>978</v>
      </c>
      <c r="B294" s="95">
        <v>13559</v>
      </c>
    </row>
    <row r="295" spans="1:2" x14ac:dyDescent="0.35">
      <c r="A295" s="4" t="s">
        <v>979</v>
      </c>
      <c r="B295" s="95">
        <v>19977</v>
      </c>
    </row>
    <row r="296" spans="1:2" x14ac:dyDescent="0.35">
      <c r="A296" s="4" t="s">
        <v>980</v>
      </c>
      <c r="B296" s="95">
        <v>48563</v>
      </c>
    </row>
    <row r="297" spans="1:2" x14ac:dyDescent="0.35">
      <c r="A297" s="4" t="s">
        <v>981</v>
      </c>
      <c r="B297" s="95">
        <v>25518</v>
      </c>
    </row>
    <row r="298" spans="1:2" x14ac:dyDescent="0.35">
      <c r="A298" s="4" t="s">
        <v>986</v>
      </c>
      <c r="B298" s="95">
        <v>16810</v>
      </c>
    </row>
    <row r="299" spans="1:2" x14ac:dyDescent="0.35">
      <c r="A299" s="4" t="s">
        <v>977</v>
      </c>
      <c r="B299" s="95">
        <v>48887</v>
      </c>
    </row>
    <row r="300" spans="1:2" x14ac:dyDescent="0.35">
      <c r="A300" s="4" t="s">
        <v>978</v>
      </c>
      <c r="B300" s="95">
        <v>20635</v>
      </c>
    </row>
    <row r="301" spans="1:2" x14ac:dyDescent="0.35">
      <c r="A301" s="4" t="s">
        <v>979</v>
      </c>
      <c r="B301" s="95">
        <v>30355</v>
      </c>
    </row>
    <row r="302" spans="1:2" x14ac:dyDescent="0.35">
      <c r="A302" s="4" t="s">
        <v>980</v>
      </c>
      <c r="B302" s="95">
        <v>29663</v>
      </c>
    </row>
    <row r="303" spans="1:2" x14ac:dyDescent="0.35">
      <c r="A303" s="4" t="s">
        <v>981</v>
      </c>
      <c r="B303" s="95">
        <v>47600</v>
      </c>
    </row>
    <row r="304" spans="1:2" x14ac:dyDescent="0.35">
      <c r="A304" s="4" t="s">
        <v>979</v>
      </c>
      <c r="B304" s="95">
        <v>15188</v>
      </c>
    </row>
    <row r="305" spans="1:2" x14ac:dyDescent="0.35">
      <c r="A305" s="4" t="s">
        <v>980</v>
      </c>
      <c r="B305" s="95">
        <v>16956</v>
      </c>
    </row>
    <row r="306" spans="1:2" x14ac:dyDescent="0.35">
      <c r="A306" s="4" t="s">
        <v>981</v>
      </c>
      <c r="B306" s="95">
        <v>34358</v>
      </c>
    </row>
    <row r="307" spans="1:2" x14ac:dyDescent="0.35">
      <c r="A307" s="4" t="s">
        <v>982</v>
      </c>
      <c r="B307" s="95">
        <v>27631</v>
      </c>
    </row>
    <row r="308" spans="1:2" x14ac:dyDescent="0.35">
      <c r="A308" s="4" t="s">
        <v>983</v>
      </c>
      <c r="B308" s="95">
        <v>47612</v>
      </c>
    </row>
    <row r="309" spans="1:2" x14ac:dyDescent="0.35">
      <c r="A309" s="4" t="s">
        <v>984</v>
      </c>
      <c r="B309" s="95">
        <v>39588</v>
      </c>
    </row>
    <row r="310" spans="1:2" x14ac:dyDescent="0.35">
      <c r="A310" s="4" t="s">
        <v>985</v>
      </c>
      <c r="B310" s="95">
        <v>45762</v>
      </c>
    </row>
    <row r="311" spans="1:2" x14ac:dyDescent="0.35">
      <c r="A311" s="4" t="s">
        <v>984</v>
      </c>
      <c r="B311" s="95">
        <v>14956</v>
      </c>
    </row>
    <row r="312" spans="1:2" x14ac:dyDescent="0.35">
      <c r="A312" s="4" t="s">
        <v>985</v>
      </c>
      <c r="B312" s="95">
        <v>12043</v>
      </c>
    </row>
    <row r="313" spans="1:2" x14ac:dyDescent="0.35">
      <c r="A313" s="4" t="s">
        <v>979</v>
      </c>
      <c r="B313" s="95">
        <v>35779</v>
      </c>
    </row>
    <row r="314" spans="1:2" x14ac:dyDescent="0.35">
      <c r="A314" s="4" t="s">
        <v>980</v>
      </c>
      <c r="B314" s="95">
        <v>28911</v>
      </c>
    </row>
    <row r="315" spans="1:2" x14ac:dyDescent="0.35">
      <c r="A315" s="4" t="s">
        <v>981</v>
      </c>
      <c r="B315" s="95">
        <v>40259</v>
      </c>
    </row>
    <row r="316" spans="1:2" x14ac:dyDescent="0.35">
      <c r="A316" s="4" t="s">
        <v>979</v>
      </c>
      <c r="B316" s="95">
        <v>38130</v>
      </c>
    </row>
    <row r="317" spans="1:2" x14ac:dyDescent="0.35">
      <c r="A317" s="4" t="s">
        <v>980</v>
      </c>
      <c r="B317" s="95">
        <v>47927</v>
      </c>
    </row>
    <row r="318" spans="1:2" x14ac:dyDescent="0.35">
      <c r="A318" s="4" t="s">
        <v>981</v>
      </c>
      <c r="B318" s="95">
        <v>31163</v>
      </c>
    </row>
    <row r="319" spans="1:2" x14ac:dyDescent="0.35">
      <c r="A319" s="4" t="s">
        <v>982</v>
      </c>
      <c r="B319" s="95">
        <v>30947</v>
      </c>
    </row>
    <row r="320" spans="1:2" x14ac:dyDescent="0.35">
      <c r="A320" s="4" t="s">
        <v>983</v>
      </c>
      <c r="B320" s="95">
        <v>38705</v>
      </c>
    </row>
    <row r="321" spans="1:2" x14ac:dyDescent="0.35">
      <c r="A321" s="4" t="s">
        <v>984</v>
      </c>
      <c r="B321" s="95">
        <v>38169</v>
      </c>
    </row>
    <row r="322" spans="1:2" x14ac:dyDescent="0.35">
      <c r="A322" s="4" t="s">
        <v>985</v>
      </c>
      <c r="B322" s="95">
        <v>49076</v>
      </c>
    </row>
    <row r="323" spans="1:2" x14ac:dyDescent="0.35">
      <c r="A323" s="4" t="s">
        <v>984</v>
      </c>
      <c r="B323" s="95">
        <v>19936</v>
      </c>
    </row>
    <row r="324" spans="1:2" x14ac:dyDescent="0.35">
      <c r="A324" s="4" t="s">
        <v>985</v>
      </c>
      <c r="B324" s="95">
        <v>27984</v>
      </c>
    </row>
    <row r="325" spans="1:2" x14ac:dyDescent="0.35">
      <c r="A325" s="4" t="s">
        <v>981</v>
      </c>
      <c r="B325" s="95">
        <v>22725</v>
      </c>
    </row>
    <row r="326" spans="1:2" x14ac:dyDescent="0.35">
      <c r="A326" s="4" t="s">
        <v>982</v>
      </c>
      <c r="B326" s="95">
        <v>37339</v>
      </c>
    </row>
    <row r="327" spans="1:2" x14ac:dyDescent="0.35">
      <c r="A327" s="4" t="s">
        <v>983</v>
      </c>
      <c r="B327" s="95">
        <v>27028</v>
      </c>
    </row>
    <row r="328" spans="1:2" x14ac:dyDescent="0.35">
      <c r="A328" s="4" t="s">
        <v>984</v>
      </c>
      <c r="B328" s="95">
        <v>39053</v>
      </c>
    </row>
    <row r="329" spans="1:2" x14ac:dyDescent="0.35">
      <c r="A329" s="4" t="s">
        <v>985</v>
      </c>
      <c r="B329" s="95">
        <v>48584</v>
      </c>
    </row>
    <row r="330" spans="1:2" x14ac:dyDescent="0.35">
      <c r="A330" s="4" t="s">
        <v>986</v>
      </c>
      <c r="B330" s="95">
        <v>21921</v>
      </c>
    </row>
    <row r="331" spans="1:2" x14ac:dyDescent="0.35">
      <c r="A331" s="4" t="s">
        <v>983</v>
      </c>
      <c r="B331" s="95">
        <v>23454</v>
      </c>
    </row>
    <row r="332" spans="1:2" x14ac:dyDescent="0.35">
      <c r="A332" s="4" t="s">
        <v>984</v>
      </c>
      <c r="B332" s="95">
        <v>15679</v>
      </c>
    </row>
    <row r="333" spans="1:2" x14ac:dyDescent="0.35">
      <c r="A333" s="4" t="s">
        <v>981</v>
      </c>
      <c r="B333" s="95">
        <v>39227</v>
      </c>
    </row>
    <row r="334" spans="1:2" x14ac:dyDescent="0.35">
      <c r="A334" s="4" t="s">
        <v>985</v>
      </c>
      <c r="B334" s="95">
        <v>48146</v>
      </c>
    </row>
    <row r="335" spans="1:2" x14ac:dyDescent="0.35">
      <c r="A335" s="4" t="s">
        <v>986</v>
      </c>
      <c r="B335" s="95">
        <v>30630</v>
      </c>
    </row>
    <row r="336" spans="1:2" x14ac:dyDescent="0.35">
      <c r="A336" s="4" t="s">
        <v>977</v>
      </c>
      <c r="B336" s="95">
        <v>23313</v>
      </c>
    </row>
    <row r="337" spans="1:2" x14ac:dyDescent="0.35">
      <c r="A337" s="4" t="s">
        <v>978</v>
      </c>
      <c r="B337" s="95">
        <v>40274</v>
      </c>
    </row>
    <row r="338" spans="1:2" x14ac:dyDescent="0.35">
      <c r="A338" s="4" t="s">
        <v>983</v>
      </c>
      <c r="B338" s="95">
        <v>44467</v>
      </c>
    </row>
    <row r="339" spans="1:2" ht="15" thickBot="1" x14ac:dyDescent="0.4">
      <c r="A339" s="7" t="s">
        <v>984</v>
      </c>
      <c r="B339" s="96">
        <v>17811</v>
      </c>
    </row>
    <row r="340" spans="1:2" x14ac:dyDescent="0.35">
      <c r="B340">
        <f>SUBTOTAL(9,B2:B339)</f>
        <v>10175331</v>
      </c>
    </row>
  </sheetData>
  <autoFilter ref="A1:B339" xr:uid="{2904891B-148A-4D5E-9D60-2F450B12939C}"/>
  <mergeCells count="2">
    <mergeCell ref="K2:S2"/>
    <mergeCell ref="K14:S14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01E0-B87A-43C6-B05E-17ED12A9D5B0}">
  <sheetPr>
    <tabColor theme="1"/>
  </sheetPr>
  <dimension ref="A1:M297"/>
  <sheetViews>
    <sheetView zoomScale="175" zoomScaleNormal="175" workbookViewId="0">
      <selection activeCell="C12" sqref="A1:M296"/>
    </sheetView>
  </sheetViews>
  <sheetFormatPr defaultRowHeight="14.5" x14ac:dyDescent="0.35"/>
  <cols>
    <col min="1" max="1" width="4.36328125" bestFit="1" customWidth="1"/>
    <col min="2" max="3" width="12.453125" customWidth="1"/>
    <col min="4" max="4" width="25.54296875" bestFit="1" customWidth="1"/>
    <col min="5" max="5" width="14" bestFit="1" customWidth="1"/>
    <col min="6" max="6" width="9" bestFit="1" customWidth="1"/>
    <col min="7" max="7" width="19" bestFit="1" customWidth="1"/>
    <col min="8" max="8" width="13.453125" bestFit="1" customWidth="1"/>
    <col min="9" max="9" width="15.6328125" bestFit="1" customWidth="1"/>
    <col min="10" max="10" width="6.90625" bestFit="1" customWidth="1"/>
    <col min="11" max="11" width="8" bestFit="1" customWidth="1"/>
    <col min="12" max="12" width="4.6328125" bestFit="1" customWidth="1"/>
    <col min="13" max="13" width="16.36328125" bestFit="1" customWidth="1"/>
  </cols>
  <sheetData>
    <row r="1" spans="1:13" x14ac:dyDescent="0.35">
      <c r="A1" s="238" t="s">
        <v>0</v>
      </c>
      <c r="B1" s="239" t="s">
        <v>905</v>
      </c>
      <c r="C1" s="239" t="s">
        <v>907</v>
      </c>
      <c r="D1" s="239" t="s">
        <v>1005</v>
      </c>
      <c r="E1" s="239" t="s">
        <v>1006</v>
      </c>
      <c r="F1" s="239" t="s">
        <v>1007</v>
      </c>
      <c r="G1" s="239" t="s">
        <v>1008</v>
      </c>
      <c r="H1" s="239" t="s">
        <v>1009</v>
      </c>
      <c r="I1" s="239" t="s">
        <v>1010</v>
      </c>
      <c r="J1" s="239" t="s">
        <v>1011</v>
      </c>
      <c r="K1" s="239" t="s">
        <v>1012</v>
      </c>
      <c r="L1" s="239" t="s">
        <v>1013</v>
      </c>
      <c r="M1" s="234" t="s">
        <v>1014</v>
      </c>
    </row>
    <row r="2" spans="1:13" x14ac:dyDescent="0.35">
      <c r="A2" s="235">
        <v>1</v>
      </c>
      <c r="B2" s="243">
        <v>46061</v>
      </c>
      <c r="C2" s="243" t="str">
        <f>TEXT(B2,"mmm")</f>
        <v>Feb</v>
      </c>
      <c r="D2" s="236" t="s">
        <v>1015</v>
      </c>
      <c r="E2" s="236" t="s">
        <v>1016</v>
      </c>
      <c r="F2" s="236" t="s">
        <v>1017</v>
      </c>
      <c r="G2" s="236" t="s">
        <v>1018</v>
      </c>
      <c r="H2" s="236" t="s">
        <v>1019</v>
      </c>
      <c r="I2" s="236" t="s">
        <v>1019</v>
      </c>
      <c r="J2" s="236" t="s">
        <v>1020</v>
      </c>
      <c r="K2" s="236">
        <v>4292</v>
      </c>
      <c r="L2" s="236">
        <v>783</v>
      </c>
      <c r="M2" s="237">
        <v>3360636</v>
      </c>
    </row>
    <row r="3" spans="1:13" x14ac:dyDescent="0.35">
      <c r="A3" s="235">
        <v>2</v>
      </c>
      <c r="B3" s="243">
        <v>45800</v>
      </c>
      <c r="C3" s="243" t="str">
        <f t="shared" ref="C3:C66" si="0">TEXT(B3,"mmm")</f>
        <v>May</v>
      </c>
      <c r="D3" s="236" t="s">
        <v>1021</v>
      </c>
      <c r="E3" s="236" t="s">
        <v>1022</v>
      </c>
      <c r="F3" s="236" t="s">
        <v>1017</v>
      </c>
      <c r="G3" s="236" t="s">
        <v>1023</v>
      </c>
      <c r="H3" s="236" t="s">
        <v>1024</v>
      </c>
      <c r="I3" s="236" t="s">
        <v>1025</v>
      </c>
      <c r="J3" s="236" t="s">
        <v>1020</v>
      </c>
      <c r="K3" s="236">
        <v>8037</v>
      </c>
      <c r="L3" s="236">
        <v>578</v>
      </c>
      <c r="M3" s="237">
        <v>4645386</v>
      </c>
    </row>
    <row r="4" spans="1:13" x14ac:dyDescent="0.35">
      <c r="A4" s="235">
        <f t="shared" ref="A4:M4" si="1">A3</f>
        <v>2</v>
      </c>
      <c r="B4" s="243">
        <f t="shared" si="1"/>
        <v>45800</v>
      </c>
      <c r="C4" s="243" t="str">
        <f t="shared" si="0"/>
        <v>May</v>
      </c>
      <c r="D4" s="236" t="str">
        <f>D3</f>
        <v>Green Leaf Enterprises</v>
      </c>
      <c r="E4" s="236" t="str">
        <f t="shared" si="1"/>
        <v>Earbuds</v>
      </c>
      <c r="F4" s="236" t="str">
        <f t="shared" si="1"/>
        <v>Electronic</v>
      </c>
      <c r="G4" s="236" t="str">
        <f t="shared" si="1"/>
        <v>West</v>
      </c>
      <c r="H4" s="236" t="str">
        <f t="shared" si="1"/>
        <v>Mumbai</v>
      </c>
      <c r="I4" s="236" t="str">
        <f t="shared" si="1"/>
        <v>Maharashtra</v>
      </c>
      <c r="J4" s="236" t="str">
        <f t="shared" si="1"/>
        <v>Male</v>
      </c>
      <c r="K4" s="236">
        <f t="shared" si="1"/>
        <v>8037</v>
      </c>
      <c r="L4" s="236">
        <f t="shared" si="1"/>
        <v>578</v>
      </c>
      <c r="M4" s="237">
        <f t="shared" si="1"/>
        <v>4645386</v>
      </c>
    </row>
    <row r="5" spans="1:13" x14ac:dyDescent="0.35">
      <c r="A5" s="235">
        <v>4</v>
      </c>
      <c r="B5" s="243">
        <v>46051</v>
      </c>
      <c r="C5" s="243" t="str">
        <f t="shared" si="0"/>
        <v>Jan</v>
      </c>
      <c r="D5" s="236" t="s">
        <v>1029</v>
      </c>
      <c r="E5" s="236" t="s">
        <v>1022</v>
      </c>
      <c r="F5" s="236" t="s">
        <v>1017</v>
      </c>
      <c r="G5" s="236" t="s">
        <v>1030</v>
      </c>
      <c r="H5" s="236" t="s">
        <v>1031</v>
      </c>
      <c r="I5" s="236" t="s">
        <v>1032</v>
      </c>
      <c r="J5" s="236" t="s">
        <v>1020</v>
      </c>
      <c r="K5" s="236">
        <v>3941</v>
      </c>
      <c r="L5" s="236">
        <v>905</v>
      </c>
      <c r="M5" s="237">
        <v>3566605</v>
      </c>
    </row>
    <row r="6" spans="1:13" x14ac:dyDescent="0.35">
      <c r="A6" s="235">
        <f t="shared" ref="A6:M6" si="2">A5</f>
        <v>4</v>
      </c>
      <c r="B6" s="243">
        <f t="shared" si="2"/>
        <v>46051</v>
      </c>
      <c r="C6" s="243" t="str">
        <f t="shared" si="0"/>
        <v>Jan</v>
      </c>
      <c r="D6" s="236" t="s">
        <v>1021</v>
      </c>
      <c r="E6" s="236" t="str">
        <f t="shared" si="2"/>
        <v>Earbuds</v>
      </c>
      <c r="F6" s="236" t="str">
        <f t="shared" si="2"/>
        <v>Electronic</v>
      </c>
      <c r="G6" s="236" t="str">
        <f t="shared" si="2"/>
        <v>South</v>
      </c>
      <c r="H6" s="236" t="str">
        <f t="shared" si="2"/>
        <v>Chennai</v>
      </c>
      <c r="I6" s="236" t="str">
        <f t="shared" si="2"/>
        <v>Tamil Nadu</v>
      </c>
      <c r="J6" s="236" t="str">
        <f t="shared" si="2"/>
        <v>Male</v>
      </c>
      <c r="K6" s="236">
        <f t="shared" si="2"/>
        <v>3941</v>
      </c>
      <c r="L6" s="236">
        <f t="shared" si="2"/>
        <v>905</v>
      </c>
      <c r="M6" s="237">
        <f t="shared" si="2"/>
        <v>3566605</v>
      </c>
    </row>
    <row r="7" spans="1:13" x14ac:dyDescent="0.35">
      <c r="A7" s="235">
        <v>6</v>
      </c>
      <c r="B7" s="243">
        <v>45802</v>
      </c>
      <c r="C7" s="243" t="str">
        <f t="shared" si="0"/>
        <v>May</v>
      </c>
      <c r="D7" s="236" t="s">
        <v>1021</v>
      </c>
      <c r="E7" s="236" t="s">
        <v>1033</v>
      </c>
      <c r="F7" s="236" t="s">
        <v>1034</v>
      </c>
      <c r="G7" s="236" t="s">
        <v>1030</v>
      </c>
      <c r="H7" s="236" t="s">
        <v>1037</v>
      </c>
      <c r="I7" s="236" t="s">
        <v>1038</v>
      </c>
      <c r="J7" s="236" t="s">
        <v>1020</v>
      </c>
      <c r="K7" s="236">
        <v>4261</v>
      </c>
      <c r="L7" s="236">
        <v>954</v>
      </c>
      <c r="M7" s="237">
        <v>4064994</v>
      </c>
    </row>
    <row r="8" spans="1:13" x14ac:dyDescent="0.35">
      <c r="A8" s="235">
        <f t="shared" ref="A8:M8" si="3">A7</f>
        <v>6</v>
      </c>
      <c r="B8" s="243">
        <f t="shared" si="3"/>
        <v>45802</v>
      </c>
      <c r="C8" s="243" t="str">
        <f t="shared" si="0"/>
        <v>May</v>
      </c>
      <c r="D8" s="236" t="s">
        <v>1021</v>
      </c>
      <c r="E8" s="236" t="str">
        <f t="shared" si="3"/>
        <v>Women dress</v>
      </c>
      <c r="F8" s="236" t="str">
        <f t="shared" si="3"/>
        <v xml:space="preserve">Fashion </v>
      </c>
      <c r="G8" s="236" t="str">
        <f t="shared" si="3"/>
        <v>South</v>
      </c>
      <c r="H8" s="236" t="str">
        <f t="shared" si="3"/>
        <v>Hyderabad</v>
      </c>
      <c r="I8" s="236" t="str">
        <f t="shared" si="3"/>
        <v>Telangana</v>
      </c>
      <c r="J8" s="236" t="str">
        <f t="shared" si="3"/>
        <v>Male</v>
      </c>
      <c r="K8" s="236">
        <f t="shared" si="3"/>
        <v>4261</v>
      </c>
      <c r="L8" s="236">
        <f t="shared" si="3"/>
        <v>954</v>
      </c>
      <c r="M8" s="237">
        <f t="shared" si="3"/>
        <v>4064994</v>
      </c>
    </row>
    <row r="9" spans="1:13" x14ac:dyDescent="0.35">
      <c r="A9" s="235">
        <v>8</v>
      </c>
      <c r="B9" s="243">
        <v>45907</v>
      </c>
      <c r="C9" s="243" t="str">
        <f t="shared" si="0"/>
        <v>Sep</v>
      </c>
      <c r="D9" s="236" t="s">
        <v>1045</v>
      </c>
      <c r="E9" s="236" t="s">
        <v>1016</v>
      </c>
      <c r="F9" s="236" t="s">
        <v>1017</v>
      </c>
      <c r="G9" s="236" t="s">
        <v>1023</v>
      </c>
      <c r="H9" s="236" t="s">
        <v>1046</v>
      </c>
      <c r="I9" s="236" t="s">
        <v>1040</v>
      </c>
      <c r="J9" s="236" t="s">
        <v>1044</v>
      </c>
      <c r="K9" s="236">
        <v>1631</v>
      </c>
      <c r="L9" s="236">
        <v>508</v>
      </c>
      <c r="M9" s="237">
        <v>828548</v>
      </c>
    </row>
    <row r="10" spans="1:13" x14ac:dyDescent="0.35">
      <c r="A10" s="235">
        <f t="shared" ref="A10:M10" si="4">A9</f>
        <v>8</v>
      </c>
      <c r="B10" s="243">
        <f t="shared" si="4"/>
        <v>45907</v>
      </c>
      <c r="C10" s="243" t="str">
        <f t="shared" si="0"/>
        <v>Sep</v>
      </c>
      <c r="D10" s="236" t="str">
        <f t="shared" si="4"/>
        <v>Zenith Construction Co.</v>
      </c>
      <c r="E10" s="236" t="str">
        <f t="shared" si="4"/>
        <v>Speaker</v>
      </c>
      <c r="F10" s="236" t="str">
        <f t="shared" si="4"/>
        <v>Electronic</v>
      </c>
      <c r="G10" s="236" t="str">
        <f t="shared" si="4"/>
        <v>West</v>
      </c>
      <c r="H10" s="236" t="str">
        <f t="shared" si="4"/>
        <v>Surat</v>
      </c>
      <c r="I10" s="236" t="str">
        <f t="shared" si="4"/>
        <v>Gujarat</v>
      </c>
      <c r="J10" s="236" t="str">
        <f t="shared" si="4"/>
        <v>Female</v>
      </c>
      <c r="K10" s="236">
        <f t="shared" si="4"/>
        <v>1631</v>
      </c>
      <c r="L10" s="236">
        <f t="shared" si="4"/>
        <v>508</v>
      </c>
      <c r="M10" s="237">
        <f t="shared" si="4"/>
        <v>828548</v>
      </c>
    </row>
    <row r="11" spans="1:13" x14ac:dyDescent="0.35">
      <c r="A11" s="235">
        <v>10</v>
      </c>
      <c r="B11" s="243">
        <v>46060</v>
      </c>
      <c r="C11" s="243" t="str">
        <f t="shared" si="0"/>
        <v>Feb</v>
      </c>
      <c r="D11" s="236" t="s">
        <v>1049</v>
      </c>
      <c r="E11" s="236" t="s">
        <v>1016</v>
      </c>
      <c r="F11" s="236" t="s">
        <v>1017</v>
      </c>
      <c r="G11" s="236" t="s">
        <v>1018</v>
      </c>
      <c r="H11" s="236" t="s">
        <v>1050</v>
      </c>
      <c r="I11" s="236" t="s">
        <v>1048</v>
      </c>
      <c r="J11" s="236" t="s">
        <v>1044</v>
      </c>
      <c r="K11" s="236">
        <v>4283</v>
      </c>
      <c r="L11" s="236">
        <v>804</v>
      </c>
      <c r="M11" s="237">
        <v>3443532</v>
      </c>
    </row>
    <row r="12" spans="1:13" x14ac:dyDescent="0.35">
      <c r="A12" s="235">
        <v>11</v>
      </c>
      <c r="B12" s="243">
        <v>45831</v>
      </c>
      <c r="C12" s="243" t="str">
        <f t="shared" si="0"/>
        <v>Jun</v>
      </c>
      <c r="D12" s="236" t="s">
        <v>1051</v>
      </c>
      <c r="E12" s="236" t="s">
        <v>1016</v>
      </c>
      <c r="F12" s="236" t="s">
        <v>1017</v>
      </c>
      <c r="G12" s="236" t="s">
        <v>1023</v>
      </c>
      <c r="H12" s="236" t="s">
        <v>1052</v>
      </c>
      <c r="I12" s="236" t="s">
        <v>1025</v>
      </c>
      <c r="J12" s="236" t="s">
        <v>1044</v>
      </c>
      <c r="K12" s="236">
        <v>4249</v>
      </c>
      <c r="L12" s="236">
        <v>842</v>
      </c>
      <c r="M12" s="237">
        <v>3577658</v>
      </c>
    </row>
    <row r="13" spans="1:13" x14ac:dyDescent="0.35">
      <c r="A13" s="235">
        <v>12</v>
      </c>
      <c r="B13" s="243">
        <v>45941</v>
      </c>
      <c r="C13" s="243" t="str">
        <f t="shared" si="0"/>
        <v>Oct</v>
      </c>
      <c r="D13" s="236" t="s">
        <v>1053</v>
      </c>
      <c r="E13" s="236" t="s">
        <v>1016</v>
      </c>
      <c r="F13" s="236" t="s">
        <v>1017</v>
      </c>
      <c r="G13" s="236" t="s">
        <v>1054</v>
      </c>
      <c r="H13" s="236" t="s">
        <v>1055</v>
      </c>
      <c r="I13" s="236" t="s">
        <v>1056</v>
      </c>
      <c r="J13" s="236" t="s">
        <v>1044</v>
      </c>
      <c r="K13" s="236">
        <v>1902</v>
      </c>
      <c r="L13" s="236">
        <v>671</v>
      </c>
      <c r="M13" s="237">
        <v>1276242</v>
      </c>
    </row>
    <row r="14" spans="1:13" x14ac:dyDescent="0.35">
      <c r="A14" s="235">
        <v>13</v>
      </c>
      <c r="B14" s="243">
        <v>45976</v>
      </c>
      <c r="C14" s="243" t="str">
        <f t="shared" si="0"/>
        <v>Nov</v>
      </c>
      <c r="D14" s="236" t="s">
        <v>1021</v>
      </c>
      <c r="E14" s="236" t="s">
        <v>1057</v>
      </c>
      <c r="F14" s="236" t="s">
        <v>1034</v>
      </c>
      <c r="G14" s="236" t="s">
        <v>1023</v>
      </c>
      <c r="H14" s="236" t="s">
        <v>1058</v>
      </c>
      <c r="I14" s="236" t="s">
        <v>1025</v>
      </c>
      <c r="J14" s="236" t="s">
        <v>1044</v>
      </c>
      <c r="K14" s="236">
        <v>6166</v>
      </c>
      <c r="L14" s="236">
        <v>894</v>
      </c>
      <c r="M14" s="237">
        <v>5512404</v>
      </c>
    </row>
    <row r="15" spans="1:13" x14ac:dyDescent="0.35">
      <c r="A15" s="235">
        <v>14</v>
      </c>
      <c r="B15" s="243">
        <v>46049</v>
      </c>
      <c r="C15" s="243" t="str">
        <f t="shared" si="0"/>
        <v>Jan</v>
      </c>
      <c r="D15" s="236" t="s">
        <v>1021</v>
      </c>
      <c r="E15" s="236" t="s">
        <v>1057</v>
      </c>
      <c r="F15" s="236" t="s">
        <v>1034</v>
      </c>
      <c r="G15" s="236" t="s">
        <v>1059</v>
      </c>
      <c r="H15" s="236" t="s">
        <v>1060</v>
      </c>
      <c r="I15" s="236" t="s">
        <v>1060</v>
      </c>
      <c r="J15" s="236" t="s">
        <v>1044</v>
      </c>
      <c r="K15" s="236">
        <v>3669</v>
      </c>
      <c r="L15" s="236">
        <v>541</v>
      </c>
      <c r="M15" s="237">
        <v>1984929</v>
      </c>
    </row>
    <row r="16" spans="1:13" x14ac:dyDescent="0.35">
      <c r="A16" s="235">
        <v>15</v>
      </c>
      <c r="B16" s="243">
        <v>46078</v>
      </c>
      <c r="C16" s="243" t="str">
        <f t="shared" si="0"/>
        <v>Feb</v>
      </c>
      <c r="D16" s="236" t="s">
        <v>1021</v>
      </c>
      <c r="E16" s="236" t="s">
        <v>1057</v>
      </c>
      <c r="F16" s="236" t="s">
        <v>1034</v>
      </c>
      <c r="G16" s="236" t="s">
        <v>1054</v>
      </c>
      <c r="H16" s="236" t="s">
        <v>1061</v>
      </c>
      <c r="I16" s="236" t="s">
        <v>1056</v>
      </c>
      <c r="J16" s="236" t="s">
        <v>1044</v>
      </c>
      <c r="K16" s="236">
        <v>4667</v>
      </c>
      <c r="L16" s="236">
        <v>646</v>
      </c>
      <c r="M16" s="237">
        <v>3014882</v>
      </c>
    </row>
    <row r="17" spans="1:13" x14ac:dyDescent="0.35">
      <c r="A17" s="235">
        <v>16</v>
      </c>
      <c r="B17" s="243">
        <v>46033</v>
      </c>
      <c r="C17" s="243" t="str">
        <f t="shared" si="0"/>
        <v>Jan</v>
      </c>
      <c r="D17" s="236" t="s">
        <v>1062</v>
      </c>
      <c r="E17" s="236" t="s">
        <v>1057</v>
      </c>
      <c r="F17" s="236" t="s">
        <v>1034</v>
      </c>
      <c r="G17" s="236" t="s">
        <v>1030</v>
      </c>
      <c r="H17" s="236" t="s">
        <v>1063</v>
      </c>
      <c r="I17" s="236" t="s">
        <v>1064</v>
      </c>
      <c r="J17" s="236" t="s">
        <v>1044</v>
      </c>
      <c r="K17" s="236">
        <v>6722</v>
      </c>
      <c r="L17" s="236">
        <v>671</v>
      </c>
      <c r="M17" s="237">
        <v>4510462</v>
      </c>
    </row>
    <row r="18" spans="1:13" x14ac:dyDescent="0.35">
      <c r="A18" s="235">
        <v>17</v>
      </c>
      <c r="B18" s="243">
        <v>45865</v>
      </c>
      <c r="C18" s="243" t="str">
        <f t="shared" si="0"/>
        <v>Jul</v>
      </c>
      <c r="D18" s="236" t="s">
        <v>1065</v>
      </c>
      <c r="E18" s="236" t="s">
        <v>1057</v>
      </c>
      <c r="F18" s="236" t="s">
        <v>1034</v>
      </c>
      <c r="G18" s="236" t="s">
        <v>1026</v>
      </c>
      <c r="H18" s="236" t="s">
        <v>1066</v>
      </c>
      <c r="I18" s="236" t="s">
        <v>1067</v>
      </c>
      <c r="J18" s="236" t="s">
        <v>1044</v>
      </c>
      <c r="K18" s="236">
        <v>8821</v>
      </c>
      <c r="L18" s="236">
        <v>611</v>
      </c>
      <c r="M18" s="237">
        <v>5389631</v>
      </c>
    </row>
    <row r="19" spans="1:13" x14ac:dyDescent="0.35">
      <c r="A19" s="235">
        <f t="shared" ref="A19:M19" si="5">A18</f>
        <v>17</v>
      </c>
      <c r="B19" s="243">
        <f t="shared" si="5"/>
        <v>45865</v>
      </c>
      <c r="C19" s="243" t="str">
        <f t="shared" si="0"/>
        <v>Jul</v>
      </c>
      <c r="D19" s="236" t="str">
        <f t="shared" si="5"/>
        <v>Stellar Design Studio</v>
      </c>
      <c r="E19" s="236" t="str">
        <f t="shared" si="5"/>
        <v>Male dress</v>
      </c>
      <c r="F19" s="236" t="str">
        <f t="shared" si="5"/>
        <v xml:space="preserve">Fashion </v>
      </c>
      <c r="G19" s="236" t="str">
        <f t="shared" si="5"/>
        <v>East</v>
      </c>
      <c r="H19" s="236" t="str">
        <f t="shared" si="5"/>
        <v>Patna</v>
      </c>
      <c r="I19" s="236" t="str">
        <f t="shared" si="5"/>
        <v>Bihar</v>
      </c>
      <c r="J19" s="236" t="str">
        <f t="shared" si="5"/>
        <v>Female</v>
      </c>
      <c r="K19" s="236">
        <f t="shared" si="5"/>
        <v>8821</v>
      </c>
      <c r="L19" s="236">
        <f t="shared" si="5"/>
        <v>611</v>
      </c>
      <c r="M19" s="237">
        <f t="shared" si="5"/>
        <v>5389631</v>
      </c>
    </row>
    <row r="20" spans="1:13" x14ac:dyDescent="0.35">
      <c r="A20" s="235">
        <v>19</v>
      </c>
      <c r="B20" s="243">
        <v>46031</v>
      </c>
      <c r="C20" s="243" t="str">
        <f t="shared" si="0"/>
        <v>Jan</v>
      </c>
      <c r="D20" s="236" t="s">
        <v>1021</v>
      </c>
      <c r="E20" s="236" t="s">
        <v>1057</v>
      </c>
      <c r="F20" s="236" t="s">
        <v>1034</v>
      </c>
      <c r="G20" s="236" t="s">
        <v>1018</v>
      </c>
      <c r="H20" s="236" t="s">
        <v>1069</v>
      </c>
      <c r="I20" s="236" t="s">
        <v>1048</v>
      </c>
      <c r="J20" s="236" t="s">
        <v>1020</v>
      </c>
      <c r="K20" s="236">
        <v>9513</v>
      </c>
      <c r="L20" s="236">
        <v>632</v>
      </c>
      <c r="M20" s="237">
        <v>6012216</v>
      </c>
    </row>
    <row r="21" spans="1:13" x14ac:dyDescent="0.35">
      <c r="A21" s="235">
        <f t="shared" ref="A21:M21" si="6">A20</f>
        <v>19</v>
      </c>
      <c r="B21" s="243">
        <f t="shared" si="6"/>
        <v>46031</v>
      </c>
      <c r="C21" s="243" t="str">
        <f t="shared" si="0"/>
        <v>Jan</v>
      </c>
      <c r="D21" s="236" t="s">
        <v>1021</v>
      </c>
      <c r="E21" s="236" t="str">
        <f t="shared" si="6"/>
        <v>Male dress</v>
      </c>
      <c r="F21" s="236" t="str">
        <f t="shared" si="6"/>
        <v xml:space="preserve">Fashion </v>
      </c>
      <c r="G21" s="236" t="str">
        <f t="shared" si="6"/>
        <v>North</v>
      </c>
      <c r="H21" s="236" t="str">
        <f t="shared" si="6"/>
        <v>Agra</v>
      </c>
      <c r="I21" s="236" t="str">
        <f t="shared" si="6"/>
        <v>Uttar Pradesh</v>
      </c>
      <c r="J21" s="236" t="str">
        <f t="shared" si="6"/>
        <v>Male</v>
      </c>
      <c r="K21" s="236">
        <f t="shared" si="6"/>
        <v>9513</v>
      </c>
      <c r="L21" s="236">
        <f t="shared" si="6"/>
        <v>632</v>
      </c>
      <c r="M21" s="237">
        <f t="shared" si="6"/>
        <v>6012216</v>
      </c>
    </row>
    <row r="22" spans="1:13" x14ac:dyDescent="0.35">
      <c r="A22" s="235">
        <v>21</v>
      </c>
      <c r="B22" s="243">
        <v>45821</v>
      </c>
      <c r="C22" s="243" t="str">
        <f t="shared" si="0"/>
        <v>Jun</v>
      </c>
      <c r="D22" s="236" t="s">
        <v>1021</v>
      </c>
      <c r="E22" s="236" t="s">
        <v>1070</v>
      </c>
      <c r="F22" s="236" t="s">
        <v>1017</v>
      </c>
      <c r="G22" s="236" t="s">
        <v>1030</v>
      </c>
      <c r="H22" s="236" t="s">
        <v>1072</v>
      </c>
      <c r="I22" s="236" t="s">
        <v>1032</v>
      </c>
      <c r="J22" s="236" t="s">
        <v>1020</v>
      </c>
      <c r="K22" s="236">
        <v>4332</v>
      </c>
      <c r="L22" s="236">
        <v>858</v>
      </c>
      <c r="M22" s="237">
        <v>3716856</v>
      </c>
    </row>
    <row r="23" spans="1:13" x14ac:dyDescent="0.35">
      <c r="A23" s="235">
        <f t="shared" ref="A23:M23" si="7">A22</f>
        <v>21</v>
      </c>
      <c r="B23" s="243">
        <f t="shared" si="7"/>
        <v>45821</v>
      </c>
      <c r="C23" s="243" t="str">
        <f t="shared" si="0"/>
        <v>Jun</v>
      </c>
      <c r="D23" s="236" t="str">
        <f t="shared" si="7"/>
        <v>Green Leaf Enterprises</v>
      </c>
      <c r="E23" s="236" t="str">
        <f t="shared" si="7"/>
        <v>TV</v>
      </c>
      <c r="F23" s="236" t="str">
        <f t="shared" si="7"/>
        <v>Electronic</v>
      </c>
      <c r="G23" s="236" t="str">
        <f t="shared" si="7"/>
        <v>South</v>
      </c>
      <c r="H23" s="236" t="str">
        <f t="shared" si="7"/>
        <v>Coimbatore</v>
      </c>
      <c r="I23" s="236" t="str">
        <f t="shared" si="7"/>
        <v>Tamil Nadu</v>
      </c>
      <c r="J23" s="236" t="str">
        <f t="shared" si="7"/>
        <v>Male</v>
      </c>
      <c r="K23" s="236">
        <f t="shared" si="7"/>
        <v>4332</v>
      </c>
      <c r="L23" s="236">
        <f t="shared" si="7"/>
        <v>858</v>
      </c>
      <c r="M23" s="237">
        <f t="shared" si="7"/>
        <v>3716856</v>
      </c>
    </row>
    <row r="24" spans="1:13" ht="17.5" customHeight="1" x14ac:dyDescent="0.35">
      <c r="A24" s="235">
        <v>23</v>
      </c>
      <c r="B24" s="243">
        <v>45982</v>
      </c>
      <c r="C24" s="243" t="str">
        <f t="shared" si="0"/>
        <v>Nov</v>
      </c>
      <c r="D24" s="236" t="s">
        <v>1074</v>
      </c>
      <c r="E24" s="236" t="s">
        <v>1070</v>
      </c>
      <c r="F24" s="236" t="s">
        <v>1017</v>
      </c>
      <c r="G24" s="236" t="s">
        <v>1018</v>
      </c>
      <c r="H24" s="236" t="s">
        <v>1075</v>
      </c>
      <c r="I24" s="236" t="s">
        <v>1043</v>
      </c>
      <c r="J24" s="236" t="s">
        <v>1044</v>
      </c>
      <c r="K24" s="236">
        <v>3691</v>
      </c>
      <c r="L24" s="236">
        <v>940</v>
      </c>
      <c r="M24" s="237">
        <v>3469540</v>
      </c>
    </row>
    <row r="25" spans="1:13" x14ac:dyDescent="0.35">
      <c r="A25" s="235">
        <f>A24</f>
        <v>23</v>
      </c>
      <c r="B25" s="243">
        <v>46078</v>
      </c>
      <c r="C25" s="243" t="str">
        <f t="shared" si="0"/>
        <v>Feb</v>
      </c>
      <c r="D25" s="236" t="s">
        <v>1076</v>
      </c>
      <c r="E25" s="236" t="s">
        <v>1070</v>
      </c>
      <c r="F25" s="236" t="s">
        <v>1017</v>
      </c>
      <c r="G25" s="236" t="s">
        <v>1018</v>
      </c>
      <c r="H25" s="236" t="s">
        <v>1077</v>
      </c>
      <c r="I25" s="236" t="s">
        <v>1048</v>
      </c>
      <c r="J25" s="236" t="s">
        <v>1044</v>
      </c>
      <c r="K25" s="236">
        <v>2570</v>
      </c>
      <c r="L25" s="236">
        <v>704</v>
      </c>
      <c r="M25" s="237">
        <v>1809280</v>
      </c>
    </row>
    <row r="26" spans="1:13" x14ac:dyDescent="0.35">
      <c r="A26" s="235">
        <v>25</v>
      </c>
      <c r="B26" s="243">
        <v>46077</v>
      </c>
      <c r="C26" s="243" t="str">
        <f t="shared" si="0"/>
        <v>Feb</v>
      </c>
      <c r="D26" s="236" t="s">
        <v>1021</v>
      </c>
      <c r="E26" s="236" t="s">
        <v>1070</v>
      </c>
      <c r="F26" s="236" t="s">
        <v>1017</v>
      </c>
      <c r="G26" s="236" t="s">
        <v>1030</v>
      </c>
      <c r="H26" s="236" t="s">
        <v>1081</v>
      </c>
      <c r="I26" s="236" t="s">
        <v>1082</v>
      </c>
      <c r="J26" s="236" t="s">
        <v>1044</v>
      </c>
      <c r="K26" s="236">
        <v>1992</v>
      </c>
      <c r="L26" s="236">
        <v>538</v>
      </c>
      <c r="M26" s="237">
        <v>1071696</v>
      </c>
    </row>
    <row r="27" spans="1:13" x14ac:dyDescent="0.35">
      <c r="A27" s="235">
        <v>26</v>
      </c>
      <c r="B27" s="243">
        <v>46077</v>
      </c>
      <c r="C27" s="243" t="str">
        <f t="shared" si="0"/>
        <v>Feb</v>
      </c>
      <c r="D27" s="236" t="s">
        <v>1021</v>
      </c>
      <c r="E27" s="236" t="s">
        <v>1070</v>
      </c>
      <c r="F27" s="236" t="s">
        <v>1017</v>
      </c>
      <c r="G27" s="236" t="s">
        <v>1023</v>
      </c>
      <c r="H27" s="236" t="s">
        <v>1083</v>
      </c>
      <c r="I27" s="236" t="s">
        <v>1025</v>
      </c>
      <c r="J27" s="236" t="s">
        <v>1044</v>
      </c>
      <c r="K27" s="236">
        <v>2907</v>
      </c>
      <c r="L27" s="236">
        <v>750</v>
      </c>
      <c r="M27" s="237">
        <v>2180250</v>
      </c>
    </row>
    <row r="28" spans="1:13" x14ac:dyDescent="0.35">
      <c r="A28" s="235">
        <v>27</v>
      </c>
      <c r="B28" s="243">
        <v>46031</v>
      </c>
      <c r="C28" s="243" t="str">
        <f t="shared" si="0"/>
        <v>Jan</v>
      </c>
      <c r="D28" s="236" t="s">
        <v>1080</v>
      </c>
      <c r="E28" s="236" t="s">
        <v>1070</v>
      </c>
      <c r="F28" s="236" t="s">
        <v>1017</v>
      </c>
      <c r="G28" s="236" t="s">
        <v>1018</v>
      </c>
      <c r="H28" s="236" t="s">
        <v>1084</v>
      </c>
      <c r="I28" s="236" t="s">
        <v>1085</v>
      </c>
      <c r="J28" s="236" t="s">
        <v>1044</v>
      </c>
      <c r="K28" s="236">
        <v>2936</v>
      </c>
      <c r="L28" s="236">
        <v>558</v>
      </c>
      <c r="M28" s="237">
        <v>1638288</v>
      </c>
    </row>
    <row r="29" spans="1:13" x14ac:dyDescent="0.35">
      <c r="A29" s="235">
        <f t="shared" ref="A29:M29" si="8">A28</f>
        <v>27</v>
      </c>
      <c r="B29" s="243">
        <f t="shared" si="8"/>
        <v>46031</v>
      </c>
      <c r="C29" s="243" t="str">
        <f t="shared" si="0"/>
        <v>Jan</v>
      </c>
      <c r="D29" s="236" t="s">
        <v>1080</v>
      </c>
      <c r="E29" s="236" t="str">
        <f t="shared" si="8"/>
        <v>TV</v>
      </c>
      <c r="F29" s="236" t="str">
        <f t="shared" si="8"/>
        <v>Electronic</v>
      </c>
      <c r="G29" s="236" t="str">
        <f t="shared" si="8"/>
        <v>North</v>
      </c>
      <c r="H29" s="236" t="str">
        <f t="shared" si="8"/>
        <v>Shimla</v>
      </c>
      <c r="I29" s="236" t="str">
        <f t="shared" si="8"/>
        <v>Himachal Pradesh</v>
      </c>
      <c r="J29" s="236" t="str">
        <f t="shared" si="8"/>
        <v>Female</v>
      </c>
      <c r="K29" s="236">
        <f t="shared" si="8"/>
        <v>2936</v>
      </c>
      <c r="L29" s="236">
        <f t="shared" si="8"/>
        <v>558</v>
      </c>
      <c r="M29" s="237">
        <f t="shared" si="8"/>
        <v>1638288</v>
      </c>
    </row>
    <row r="30" spans="1:13" x14ac:dyDescent="0.35">
      <c r="A30" s="235">
        <v>29</v>
      </c>
      <c r="B30" s="243">
        <v>45986</v>
      </c>
      <c r="C30" s="243" t="str">
        <f t="shared" si="0"/>
        <v>Nov</v>
      </c>
      <c r="D30" s="236" t="s">
        <v>1080</v>
      </c>
      <c r="E30" s="236" t="s">
        <v>1070</v>
      </c>
      <c r="F30" s="236" t="s">
        <v>1017</v>
      </c>
      <c r="G30" s="236" t="s">
        <v>1054</v>
      </c>
      <c r="H30" s="236" t="s">
        <v>1093</v>
      </c>
      <c r="I30" s="236" t="s">
        <v>1094</v>
      </c>
      <c r="J30" s="236" t="s">
        <v>1020</v>
      </c>
      <c r="K30" s="236">
        <v>7291</v>
      </c>
      <c r="L30" s="236">
        <v>837</v>
      </c>
      <c r="M30" s="237">
        <v>6102567</v>
      </c>
    </row>
    <row r="31" spans="1:13" x14ac:dyDescent="0.35">
      <c r="A31" s="235">
        <v>30</v>
      </c>
      <c r="B31" s="243">
        <v>46003</v>
      </c>
      <c r="C31" s="243" t="str">
        <f t="shared" si="0"/>
        <v>Dec</v>
      </c>
      <c r="D31" s="236" t="s">
        <v>1080</v>
      </c>
      <c r="E31" s="236" t="s">
        <v>1070</v>
      </c>
      <c r="F31" s="236" t="s">
        <v>1017</v>
      </c>
      <c r="G31" s="236" t="s">
        <v>1026</v>
      </c>
      <c r="H31" s="236" t="s">
        <v>1095</v>
      </c>
      <c r="I31" s="236" t="s">
        <v>1028</v>
      </c>
      <c r="J31" s="236" t="s">
        <v>1020</v>
      </c>
      <c r="K31" s="236">
        <v>3141</v>
      </c>
      <c r="L31" s="236">
        <v>834</v>
      </c>
      <c r="M31" s="237">
        <v>2619594</v>
      </c>
    </row>
    <row r="32" spans="1:13" x14ac:dyDescent="0.35">
      <c r="A32" s="235">
        <v>31</v>
      </c>
      <c r="B32" s="243">
        <v>45898</v>
      </c>
      <c r="C32" s="243" t="str">
        <f t="shared" si="0"/>
        <v>Aug</v>
      </c>
      <c r="D32" s="236" t="s">
        <v>1096</v>
      </c>
      <c r="E32" s="236" t="s">
        <v>1070</v>
      </c>
      <c r="F32" s="236" t="s">
        <v>1017</v>
      </c>
      <c r="G32" s="236" t="s">
        <v>1026</v>
      </c>
      <c r="H32" s="236" t="s">
        <v>1027</v>
      </c>
      <c r="I32" s="236" t="s">
        <v>1028</v>
      </c>
      <c r="J32" s="236" t="s">
        <v>1044</v>
      </c>
      <c r="K32" s="236">
        <v>7170</v>
      </c>
      <c r="L32" s="236">
        <v>521</v>
      </c>
      <c r="M32" s="237">
        <v>3735570</v>
      </c>
    </row>
    <row r="33" spans="1:13" x14ac:dyDescent="0.35">
      <c r="A33" s="235">
        <v>32</v>
      </c>
      <c r="B33" s="243">
        <v>45959</v>
      </c>
      <c r="C33" s="243" t="str">
        <f t="shared" si="0"/>
        <v>Oct</v>
      </c>
      <c r="D33" s="236" t="s">
        <v>1021</v>
      </c>
      <c r="E33" s="236" t="s">
        <v>1097</v>
      </c>
      <c r="F33" s="236" t="s">
        <v>1017</v>
      </c>
      <c r="G33" s="236" t="s">
        <v>1026</v>
      </c>
      <c r="H33" s="236" t="s">
        <v>1099</v>
      </c>
      <c r="I33" s="236" t="s">
        <v>1079</v>
      </c>
      <c r="J33" s="236" t="s">
        <v>1044</v>
      </c>
      <c r="K33" s="236">
        <v>5398</v>
      </c>
      <c r="L33" s="236">
        <v>832</v>
      </c>
      <c r="M33" s="237">
        <v>4491136</v>
      </c>
    </row>
    <row r="34" spans="1:13" x14ac:dyDescent="0.35">
      <c r="A34" s="235">
        <v>33</v>
      </c>
      <c r="B34" s="243">
        <v>45977</v>
      </c>
      <c r="C34" s="243" t="str">
        <f t="shared" si="0"/>
        <v>Nov</v>
      </c>
      <c r="D34" s="236" t="s">
        <v>1080</v>
      </c>
      <c r="E34" s="236" t="s">
        <v>1097</v>
      </c>
      <c r="F34" s="236" t="s">
        <v>1017</v>
      </c>
      <c r="G34" s="236" t="s">
        <v>1026</v>
      </c>
      <c r="H34" s="236" t="s">
        <v>1100</v>
      </c>
      <c r="I34" s="236" t="s">
        <v>1028</v>
      </c>
      <c r="J34" s="236" t="s">
        <v>1044</v>
      </c>
      <c r="K34" s="236">
        <v>9466</v>
      </c>
      <c r="L34" s="236">
        <v>933</v>
      </c>
      <c r="M34" s="237">
        <v>8831778</v>
      </c>
    </row>
    <row r="35" spans="1:13" x14ac:dyDescent="0.35">
      <c r="A35" s="235">
        <v>34</v>
      </c>
      <c r="B35" s="243">
        <v>46028</v>
      </c>
      <c r="C35" s="243" t="str">
        <f t="shared" si="0"/>
        <v>Jan</v>
      </c>
      <c r="D35" s="236" t="s">
        <v>1080</v>
      </c>
      <c r="E35" s="236" t="s">
        <v>1097</v>
      </c>
      <c r="F35" s="236" t="s">
        <v>1017</v>
      </c>
      <c r="G35" s="236" t="s">
        <v>1030</v>
      </c>
      <c r="H35" s="236" t="s">
        <v>1101</v>
      </c>
      <c r="I35" s="236" t="s">
        <v>1036</v>
      </c>
      <c r="J35" s="236" t="s">
        <v>1044</v>
      </c>
      <c r="K35" s="236">
        <v>4168</v>
      </c>
      <c r="L35" s="236">
        <v>769</v>
      </c>
      <c r="M35" s="237">
        <v>3205192</v>
      </c>
    </row>
    <row r="36" spans="1:13" x14ac:dyDescent="0.35">
      <c r="A36" s="235">
        <v>35</v>
      </c>
      <c r="B36" s="243">
        <v>46001</v>
      </c>
      <c r="C36" s="243" t="str">
        <f t="shared" si="0"/>
        <v>Dec</v>
      </c>
      <c r="D36" s="236" t="s">
        <v>1102</v>
      </c>
      <c r="E36" s="236" t="s">
        <v>1097</v>
      </c>
      <c r="F36" s="236" t="s">
        <v>1017</v>
      </c>
      <c r="G36" s="236" t="s">
        <v>1018</v>
      </c>
      <c r="H36" s="236" t="s">
        <v>1019</v>
      </c>
      <c r="I36" s="236" t="s">
        <v>1019</v>
      </c>
      <c r="J36" s="236" t="s">
        <v>1044</v>
      </c>
      <c r="K36" s="236">
        <v>5773</v>
      </c>
      <c r="L36" s="236">
        <v>627</v>
      </c>
      <c r="M36" s="237">
        <v>3619671</v>
      </c>
    </row>
    <row r="37" spans="1:13" x14ac:dyDescent="0.35">
      <c r="A37" s="235">
        <f t="shared" ref="A37:M37" si="9">A36</f>
        <v>35</v>
      </c>
      <c r="B37" s="243">
        <f t="shared" si="9"/>
        <v>46001</v>
      </c>
      <c r="C37" s="243" t="str">
        <f t="shared" si="0"/>
        <v>Dec</v>
      </c>
      <c r="D37" s="236" t="s">
        <v>1021</v>
      </c>
      <c r="E37" s="236" t="str">
        <f t="shared" si="9"/>
        <v>Laptop</v>
      </c>
      <c r="F37" s="236" t="str">
        <f t="shared" si="9"/>
        <v>Electronic</v>
      </c>
      <c r="G37" s="236" t="str">
        <f t="shared" si="9"/>
        <v>North</v>
      </c>
      <c r="H37" s="236" t="str">
        <f t="shared" si="9"/>
        <v>Delhi</v>
      </c>
      <c r="I37" s="236" t="str">
        <f t="shared" si="9"/>
        <v>Delhi</v>
      </c>
      <c r="J37" s="236" t="str">
        <f t="shared" si="9"/>
        <v>Female</v>
      </c>
      <c r="K37" s="236">
        <f t="shared" si="9"/>
        <v>5773</v>
      </c>
      <c r="L37" s="236">
        <f t="shared" si="9"/>
        <v>627</v>
      </c>
      <c r="M37" s="237">
        <f t="shared" si="9"/>
        <v>3619671</v>
      </c>
    </row>
    <row r="38" spans="1:13" x14ac:dyDescent="0.35">
      <c r="A38" s="235">
        <v>37</v>
      </c>
      <c r="B38" s="243">
        <v>45762</v>
      </c>
      <c r="C38" s="243" t="str">
        <f t="shared" si="0"/>
        <v>Apr</v>
      </c>
      <c r="D38" s="236" t="s">
        <v>1021</v>
      </c>
      <c r="E38" s="236" t="s">
        <v>1097</v>
      </c>
      <c r="F38" s="236" t="s">
        <v>1017</v>
      </c>
      <c r="G38" s="236" t="s">
        <v>1026</v>
      </c>
      <c r="H38" s="236" t="s">
        <v>1027</v>
      </c>
      <c r="I38" s="236" t="s">
        <v>1028</v>
      </c>
      <c r="J38" s="236" t="s">
        <v>1044</v>
      </c>
      <c r="K38" s="236">
        <v>4691</v>
      </c>
      <c r="L38" s="236">
        <v>901</v>
      </c>
      <c r="M38" s="237">
        <v>4226591</v>
      </c>
    </row>
    <row r="39" spans="1:13" x14ac:dyDescent="0.35">
      <c r="A39" s="235">
        <v>38</v>
      </c>
      <c r="B39" s="243">
        <v>45773</v>
      </c>
      <c r="C39" s="243" t="str">
        <f t="shared" si="0"/>
        <v>Apr</v>
      </c>
      <c r="D39" s="236" t="s">
        <v>1021</v>
      </c>
      <c r="E39" s="236" t="s">
        <v>1097</v>
      </c>
      <c r="F39" s="236" t="s">
        <v>1017</v>
      </c>
      <c r="G39" s="236" t="s">
        <v>1030</v>
      </c>
      <c r="H39" s="236" t="s">
        <v>1031</v>
      </c>
      <c r="I39" s="236" t="s">
        <v>1032</v>
      </c>
      <c r="J39" s="236" t="s">
        <v>1044</v>
      </c>
      <c r="K39" s="236">
        <v>5945</v>
      </c>
      <c r="L39" s="236">
        <v>887</v>
      </c>
      <c r="M39" s="237">
        <v>5273215</v>
      </c>
    </row>
    <row r="40" spans="1:13" x14ac:dyDescent="0.35">
      <c r="A40" s="235">
        <v>39</v>
      </c>
      <c r="B40" s="243">
        <v>46064</v>
      </c>
      <c r="C40" s="243" t="str">
        <f t="shared" si="0"/>
        <v>Feb</v>
      </c>
      <c r="D40" s="236" t="s">
        <v>1021</v>
      </c>
      <c r="E40" s="236" t="s">
        <v>1097</v>
      </c>
      <c r="F40" s="236" t="s">
        <v>1017</v>
      </c>
      <c r="G40" s="236" t="s">
        <v>1030</v>
      </c>
      <c r="H40" s="236" t="s">
        <v>1035</v>
      </c>
      <c r="I40" s="236" t="s">
        <v>1036</v>
      </c>
      <c r="J40" s="236" t="s">
        <v>1044</v>
      </c>
      <c r="K40" s="236">
        <v>6807</v>
      </c>
      <c r="L40" s="236">
        <v>607</v>
      </c>
      <c r="M40" s="237">
        <v>4131849</v>
      </c>
    </row>
    <row r="41" spans="1:13" x14ac:dyDescent="0.35">
      <c r="A41" s="235">
        <v>40</v>
      </c>
      <c r="B41" s="243">
        <v>46043</v>
      </c>
      <c r="C41" s="243" t="str">
        <f t="shared" si="0"/>
        <v>Jan</v>
      </c>
      <c r="D41" s="236" t="s">
        <v>1021</v>
      </c>
      <c r="E41" s="236" t="s">
        <v>1097</v>
      </c>
      <c r="F41" s="236" t="s">
        <v>1017</v>
      </c>
      <c r="G41" s="236" t="s">
        <v>1030</v>
      </c>
      <c r="H41" s="236" t="s">
        <v>1037</v>
      </c>
      <c r="I41" s="236" t="s">
        <v>1038</v>
      </c>
      <c r="J41" s="236" t="s">
        <v>1020</v>
      </c>
      <c r="K41" s="236">
        <v>3546</v>
      </c>
      <c r="L41" s="236">
        <v>562</v>
      </c>
      <c r="M41" s="237">
        <v>1992852</v>
      </c>
    </row>
    <row r="42" spans="1:13" ht="12.5" customHeight="1" x14ac:dyDescent="0.35">
      <c r="A42" s="235">
        <v>41</v>
      </c>
      <c r="B42" s="243">
        <v>46016</v>
      </c>
      <c r="C42" s="243" t="str">
        <f t="shared" si="0"/>
        <v>Dec</v>
      </c>
      <c r="D42" s="236" t="s">
        <v>1021</v>
      </c>
      <c r="E42" s="236" t="s">
        <v>1097</v>
      </c>
      <c r="F42" s="236" t="s">
        <v>1017</v>
      </c>
      <c r="G42" s="236" t="s">
        <v>1023</v>
      </c>
      <c r="H42" s="236" t="s">
        <v>1039</v>
      </c>
      <c r="I42" s="236" t="s">
        <v>1040</v>
      </c>
      <c r="J42" s="236" t="s">
        <v>1020</v>
      </c>
      <c r="K42" s="236">
        <v>9463</v>
      </c>
      <c r="L42" s="236">
        <v>615</v>
      </c>
      <c r="M42" s="237">
        <v>5819745</v>
      </c>
    </row>
    <row r="43" spans="1:13" x14ac:dyDescent="0.35">
      <c r="A43" s="235">
        <v>42</v>
      </c>
      <c r="B43" s="243">
        <v>46057</v>
      </c>
      <c r="C43" s="243" t="str">
        <f t="shared" si="0"/>
        <v>Feb</v>
      </c>
      <c r="D43" s="236" t="s">
        <v>1021</v>
      </c>
      <c r="E43" s="236" t="s">
        <v>1097</v>
      </c>
      <c r="F43" s="236" t="s">
        <v>1017</v>
      </c>
      <c r="G43" s="236" t="s">
        <v>1023</v>
      </c>
      <c r="H43" s="236" t="s">
        <v>1041</v>
      </c>
      <c r="I43" s="236" t="s">
        <v>1025</v>
      </c>
      <c r="J43" s="236" t="s">
        <v>1020</v>
      </c>
      <c r="K43" s="236">
        <v>9927</v>
      </c>
      <c r="L43" s="236">
        <v>631</v>
      </c>
      <c r="M43" s="237">
        <v>6263937</v>
      </c>
    </row>
    <row r="44" spans="1:13" x14ac:dyDescent="0.35">
      <c r="A44" s="235">
        <v>43</v>
      </c>
      <c r="B44" s="243">
        <v>46081</v>
      </c>
      <c r="C44" s="243" t="str">
        <f t="shared" si="0"/>
        <v>Feb</v>
      </c>
      <c r="D44" s="236" t="s">
        <v>1103</v>
      </c>
      <c r="E44" s="236" t="s">
        <v>1104</v>
      </c>
      <c r="F44" s="236" t="s">
        <v>1034</v>
      </c>
      <c r="G44" s="236" t="s">
        <v>1018</v>
      </c>
      <c r="H44" s="236" t="s">
        <v>1042</v>
      </c>
      <c r="I44" s="236" t="s">
        <v>1043</v>
      </c>
      <c r="J44" s="236" t="s">
        <v>1020</v>
      </c>
      <c r="K44" s="236">
        <v>1666</v>
      </c>
      <c r="L44" s="236">
        <v>714</v>
      </c>
      <c r="M44" s="237">
        <v>1189524</v>
      </c>
    </row>
    <row r="45" spans="1:13" ht="12.5" customHeight="1" x14ac:dyDescent="0.35">
      <c r="A45" s="235">
        <f t="shared" ref="A45:M45" si="10">A44</f>
        <v>43</v>
      </c>
      <c r="B45" s="243">
        <f t="shared" si="10"/>
        <v>46081</v>
      </c>
      <c r="C45" s="243" t="str">
        <f t="shared" si="0"/>
        <v>Feb</v>
      </c>
      <c r="D45" s="236" t="str">
        <f t="shared" si="10"/>
        <v>Radiance Spa</v>
      </c>
      <c r="E45" s="236" t="str">
        <f t="shared" si="10"/>
        <v>Saree</v>
      </c>
      <c r="F45" s="236" t="str">
        <f t="shared" si="10"/>
        <v xml:space="preserve">Fashion </v>
      </c>
      <c r="G45" s="236" t="str">
        <f t="shared" si="10"/>
        <v>North</v>
      </c>
      <c r="H45" s="236" t="str">
        <f t="shared" si="10"/>
        <v>Jaipur</v>
      </c>
      <c r="I45" s="236" t="str">
        <f t="shared" si="10"/>
        <v>Rajasthan</v>
      </c>
      <c r="J45" s="236" t="str">
        <f t="shared" si="10"/>
        <v>Male</v>
      </c>
      <c r="K45" s="236">
        <f t="shared" si="10"/>
        <v>1666</v>
      </c>
      <c r="L45" s="236">
        <f t="shared" si="10"/>
        <v>714</v>
      </c>
      <c r="M45" s="237">
        <f t="shared" si="10"/>
        <v>1189524</v>
      </c>
    </row>
    <row r="46" spans="1:13" ht="12.5" customHeight="1" x14ac:dyDescent="0.35">
      <c r="A46" s="235">
        <v>45</v>
      </c>
      <c r="B46" s="243">
        <v>45852</v>
      </c>
      <c r="C46" s="243" t="str">
        <f t="shared" si="0"/>
        <v>Jul</v>
      </c>
      <c r="D46" s="236" t="s">
        <v>1105</v>
      </c>
      <c r="E46" s="236" t="s">
        <v>1104</v>
      </c>
      <c r="F46" s="236" t="s">
        <v>1034</v>
      </c>
      <c r="G46" s="236" t="s">
        <v>1018</v>
      </c>
      <c r="H46" s="236" t="s">
        <v>1047</v>
      </c>
      <c r="I46" s="236" t="s">
        <v>1048</v>
      </c>
      <c r="J46" s="236" t="s">
        <v>1044</v>
      </c>
      <c r="K46" s="236">
        <v>7124</v>
      </c>
      <c r="L46" s="236">
        <v>693</v>
      </c>
      <c r="M46" s="237">
        <v>4936932</v>
      </c>
    </row>
    <row r="47" spans="1:13" ht="20.5" customHeight="1" x14ac:dyDescent="0.35">
      <c r="A47" s="235">
        <v>46</v>
      </c>
      <c r="B47" s="243">
        <v>46064</v>
      </c>
      <c r="C47" s="243" t="str">
        <f t="shared" si="0"/>
        <v>Feb</v>
      </c>
      <c r="D47" s="236" t="s">
        <v>1080</v>
      </c>
      <c r="E47" s="236" t="s">
        <v>1104</v>
      </c>
      <c r="F47" s="236" t="s">
        <v>1034</v>
      </c>
      <c r="G47" s="236" t="s">
        <v>1018</v>
      </c>
      <c r="H47" s="236" t="s">
        <v>1050</v>
      </c>
      <c r="I47" s="236" t="s">
        <v>1048</v>
      </c>
      <c r="J47" s="236" t="s">
        <v>1044</v>
      </c>
      <c r="K47" s="236">
        <v>9636</v>
      </c>
      <c r="L47" s="236">
        <v>873</v>
      </c>
      <c r="M47" s="237">
        <v>8412228</v>
      </c>
    </row>
    <row r="48" spans="1:13" x14ac:dyDescent="0.35">
      <c r="A48" s="235">
        <v>47</v>
      </c>
      <c r="B48" s="243">
        <v>45839</v>
      </c>
      <c r="C48" s="243" t="str">
        <f t="shared" si="0"/>
        <v>Jul</v>
      </c>
      <c r="D48" s="236" t="s">
        <v>1080</v>
      </c>
      <c r="E48" s="236" t="s">
        <v>1104</v>
      </c>
      <c r="F48" s="236" t="s">
        <v>1034</v>
      </c>
      <c r="G48" s="236" t="s">
        <v>1054</v>
      </c>
      <c r="H48" s="236" t="s">
        <v>1055</v>
      </c>
      <c r="I48" s="236" t="s">
        <v>1056</v>
      </c>
      <c r="J48" s="236" t="s">
        <v>1044</v>
      </c>
      <c r="K48" s="236">
        <v>6338</v>
      </c>
      <c r="L48" s="236">
        <v>540</v>
      </c>
      <c r="M48" s="237">
        <v>3422520</v>
      </c>
    </row>
    <row r="49" spans="1:13" x14ac:dyDescent="0.35">
      <c r="A49" s="235">
        <v>48</v>
      </c>
      <c r="B49" s="243">
        <v>45800</v>
      </c>
      <c r="C49" s="243" t="str">
        <f t="shared" si="0"/>
        <v>May</v>
      </c>
      <c r="D49" s="236" t="s">
        <v>1106</v>
      </c>
      <c r="E49" s="236" t="s">
        <v>1104</v>
      </c>
      <c r="F49" s="236" t="s">
        <v>1034</v>
      </c>
      <c r="G49" s="236" t="s">
        <v>1023</v>
      </c>
      <c r="H49" s="236" t="s">
        <v>1058</v>
      </c>
      <c r="I49" s="236" t="s">
        <v>1025</v>
      </c>
      <c r="J49" s="236" t="s">
        <v>1044</v>
      </c>
      <c r="K49" s="236">
        <v>8446</v>
      </c>
      <c r="L49" s="236">
        <v>812</v>
      </c>
      <c r="M49" s="237">
        <v>6858152</v>
      </c>
    </row>
    <row r="50" spans="1:13" x14ac:dyDescent="0.35">
      <c r="A50" s="235">
        <f t="shared" ref="A50:M50" si="11">A49</f>
        <v>48</v>
      </c>
      <c r="B50" s="243">
        <f t="shared" si="11"/>
        <v>45800</v>
      </c>
      <c r="C50" s="243" t="str">
        <f t="shared" si="0"/>
        <v>May</v>
      </c>
      <c r="D50" s="236" t="str">
        <f t="shared" si="11"/>
        <v>Dynamic Events Management</v>
      </c>
      <c r="E50" s="236" t="str">
        <f t="shared" si="11"/>
        <v>Saree</v>
      </c>
      <c r="F50" s="236" t="str">
        <f t="shared" si="11"/>
        <v xml:space="preserve">Fashion </v>
      </c>
      <c r="G50" s="236" t="str">
        <f t="shared" si="11"/>
        <v>West</v>
      </c>
      <c r="H50" s="236" t="str">
        <f t="shared" si="11"/>
        <v>Thane</v>
      </c>
      <c r="I50" s="236" t="str">
        <f t="shared" si="11"/>
        <v>Maharashtra</v>
      </c>
      <c r="J50" s="236" t="str">
        <f t="shared" si="11"/>
        <v>Female</v>
      </c>
      <c r="K50" s="236">
        <f t="shared" si="11"/>
        <v>8446</v>
      </c>
      <c r="L50" s="236">
        <f t="shared" si="11"/>
        <v>812</v>
      </c>
      <c r="M50" s="237">
        <f t="shared" si="11"/>
        <v>6858152</v>
      </c>
    </row>
    <row r="51" spans="1:13" x14ac:dyDescent="0.35">
      <c r="A51" s="235">
        <v>50</v>
      </c>
      <c r="B51" s="243">
        <v>45963</v>
      </c>
      <c r="C51" s="243" t="str">
        <f t="shared" si="0"/>
        <v>Nov</v>
      </c>
      <c r="D51" s="236" t="s">
        <v>1080</v>
      </c>
      <c r="E51" s="236" t="s">
        <v>1104</v>
      </c>
      <c r="F51" s="236" t="s">
        <v>1034</v>
      </c>
      <c r="G51" s="236" t="s">
        <v>1054</v>
      </c>
      <c r="H51" s="236" t="s">
        <v>1061</v>
      </c>
      <c r="I51" s="236" t="s">
        <v>1056</v>
      </c>
      <c r="J51" s="236" t="s">
        <v>1044</v>
      </c>
      <c r="K51" s="236">
        <v>3887</v>
      </c>
      <c r="L51" s="236">
        <v>912</v>
      </c>
      <c r="M51" s="237">
        <v>3544944</v>
      </c>
    </row>
    <row r="52" spans="1:13" x14ac:dyDescent="0.35">
      <c r="A52" s="235">
        <v>51</v>
      </c>
      <c r="B52" s="243">
        <v>45828</v>
      </c>
      <c r="C52" s="243" t="str">
        <f t="shared" si="0"/>
        <v>Jun</v>
      </c>
      <c r="D52" s="236" t="s">
        <v>1080</v>
      </c>
      <c r="E52" s="236" t="s">
        <v>1104</v>
      </c>
      <c r="F52" s="236" t="s">
        <v>1034</v>
      </c>
      <c r="G52" s="236" t="s">
        <v>1030</v>
      </c>
      <c r="H52" s="236" t="s">
        <v>1063</v>
      </c>
      <c r="I52" s="236" t="s">
        <v>1064</v>
      </c>
      <c r="J52" s="236" t="s">
        <v>1020</v>
      </c>
      <c r="K52" s="236">
        <v>9519</v>
      </c>
      <c r="L52" s="236">
        <v>970</v>
      </c>
      <c r="M52" s="237">
        <v>9233430</v>
      </c>
    </row>
    <row r="53" spans="1:13" x14ac:dyDescent="0.35">
      <c r="A53" s="235">
        <v>52</v>
      </c>
      <c r="B53" s="243">
        <v>45877</v>
      </c>
      <c r="C53" s="243" t="str">
        <f t="shared" si="0"/>
        <v>Aug</v>
      </c>
      <c r="D53" s="236" t="s">
        <v>1080</v>
      </c>
      <c r="E53" s="236" t="s">
        <v>1104</v>
      </c>
      <c r="F53" s="236" t="s">
        <v>1034</v>
      </c>
      <c r="G53" s="236" t="s">
        <v>1026</v>
      </c>
      <c r="H53" s="236" t="s">
        <v>1066</v>
      </c>
      <c r="I53" s="236" t="s">
        <v>1067</v>
      </c>
      <c r="J53" s="236" t="s">
        <v>1020</v>
      </c>
      <c r="K53" s="236">
        <v>8983</v>
      </c>
      <c r="L53" s="236">
        <v>840</v>
      </c>
      <c r="M53" s="237">
        <v>7545720</v>
      </c>
    </row>
    <row r="54" spans="1:13" ht="20.5" customHeight="1" x14ac:dyDescent="0.35">
      <c r="A54" s="235">
        <v>53</v>
      </c>
      <c r="B54" s="243">
        <v>46027</v>
      </c>
      <c r="C54" s="243" t="str">
        <f t="shared" si="0"/>
        <v>Jan</v>
      </c>
      <c r="D54" s="236" t="s">
        <v>1107</v>
      </c>
      <c r="E54" s="236" t="s">
        <v>1104</v>
      </c>
      <c r="F54" s="236" t="s">
        <v>1034</v>
      </c>
      <c r="G54" s="236" t="s">
        <v>1023</v>
      </c>
      <c r="H54" s="236" t="s">
        <v>1068</v>
      </c>
      <c r="I54" s="236" t="s">
        <v>1040</v>
      </c>
      <c r="J54" s="236" t="s">
        <v>1020</v>
      </c>
      <c r="K54" s="236">
        <v>6892</v>
      </c>
      <c r="L54" s="236">
        <v>643</v>
      </c>
      <c r="M54" s="237">
        <v>4431556</v>
      </c>
    </row>
    <row r="55" spans="1:13" ht="12.5" customHeight="1" x14ac:dyDescent="0.35">
      <c r="A55" s="235">
        <v>54</v>
      </c>
      <c r="B55" s="243">
        <v>46075</v>
      </c>
      <c r="C55" s="243" t="str">
        <f t="shared" si="0"/>
        <v>Feb</v>
      </c>
      <c r="D55" s="236" t="s">
        <v>1109</v>
      </c>
      <c r="E55" s="236" t="s">
        <v>1108</v>
      </c>
      <c r="F55" s="236" t="s">
        <v>1034</v>
      </c>
      <c r="G55" s="236" t="s">
        <v>1018</v>
      </c>
      <c r="H55" s="236" t="s">
        <v>1071</v>
      </c>
      <c r="I55" s="236" t="s">
        <v>1048</v>
      </c>
      <c r="J55" s="236" t="s">
        <v>1044</v>
      </c>
      <c r="K55" s="236">
        <v>8990</v>
      </c>
      <c r="L55" s="236">
        <v>666</v>
      </c>
      <c r="M55" s="237">
        <v>5987340</v>
      </c>
    </row>
    <row r="56" spans="1:13" x14ac:dyDescent="0.35">
      <c r="A56" s="235">
        <v>55</v>
      </c>
      <c r="B56" s="243">
        <v>45838</v>
      </c>
      <c r="C56" s="243" t="str">
        <f t="shared" si="0"/>
        <v>Jun</v>
      </c>
      <c r="D56" s="236" t="s">
        <v>1110</v>
      </c>
      <c r="E56" s="236" t="s">
        <v>1108</v>
      </c>
      <c r="F56" s="236" t="s">
        <v>1034</v>
      </c>
      <c r="G56" s="236" t="s">
        <v>1030</v>
      </c>
      <c r="H56" s="236" t="s">
        <v>1072</v>
      </c>
      <c r="I56" s="236" t="s">
        <v>1032</v>
      </c>
      <c r="J56" s="236" t="s">
        <v>1020</v>
      </c>
      <c r="K56" s="236">
        <v>5594</v>
      </c>
      <c r="L56" s="236">
        <v>615</v>
      </c>
      <c r="M56" s="237">
        <v>3440310</v>
      </c>
    </row>
    <row r="57" spans="1:13" x14ac:dyDescent="0.35">
      <c r="A57" s="235">
        <v>56</v>
      </c>
      <c r="B57" s="243">
        <v>45877</v>
      </c>
      <c r="C57" s="243" t="str">
        <f t="shared" si="0"/>
        <v>Aug</v>
      </c>
      <c r="D57" s="236" t="s">
        <v>1111</v>
      </c>
      <c r="E57" s="236" t="s">
        <v>1108</v>
      </c>
      <c r="F57" s="236" t="s">
        <v>1034</v>
      </c>
      <c r="G57" s="236" t="s">
        <v>1030</v>
      </c>
      <c r="H57" s="236" t="s">
        <v>1073</v>
      </c>
      <c r="I57" s="236" t="s">
        <v>1032</v>
      </c>
      <c r="J57" s="236" t="s">
        <v>1020</v>
      </c>
      <c r="K57" s="236">
        <v>5491</v>
      </c>
      <c r="L57" s="236">
        <v>601</v>
      </c>
      <c r="M57" s="237">
        <v>3300091</v>
      </c>
    </row>
    <row r="58" spans="1:13" x14ac:dyDescent="0.35">
      <c r="A58" s="235">
        <f t="shared" ref="A58:M58" si="12">A57</f>
        <v>56</v>
      </c>
      <c r="B58" s="243">
        <f t="shared" si="12"/>
        <v>45877</v>
      </c>
      <c r="C58" s="243" t="str">
        <f t="shared" si="0"/>
        <v>Aug</v>
      </c>
      <c r="D58" s="236" t="str">
        <f t="shared" si="12"/>
        <v>Future Vision Tech</v>
      </c>
      <c r="E58" s="236" t="str">
        <f t="shared" si="12"/>
        <v>Suit</v>
      </c>
      <c r="F58" s="236" t="str">
        <f t="shared" si="12"/>
        <v xml:space="preserve">Fashion </v>
      </c>
      <c r="G58" s="236" t="str">
        <f t="shared" si="12"/>
        <v>South</v>
      </c>
      <c r="H58" s="236" t="str">
        <f t="shared" si="12"/>
        <v>Madurai</v>
      </c>
      <c r="I58" s="236" t="str">
        <f t="shared" si="12"/>
        <v>Tamil Nadu</v>
      </c>
      <c r="J58" s="236" t="str">
        <f t="shared" si="12"/>
        <v>Male</v>
      </c>
      <c r="K58" s="236">
        <f t="shared" si="12"/>
        <v>5491</v>
      </c>
      <c r="L58" s="236">
        <f t="shared" si="12"/>
        <v>601</v>
      </c>
      <c r="M58" s="237">
        <f t="shared" si="12"/>
        <v>3300091</v>
      </c>
    </row>
    <row r="59" spans="1:13" x14ac:dyDescent="0.35">
      <c r="A59" s="235">
        <v>58</v>
      </c>
      <c r="B59" s="243">
        <v>45987</v>
      </c>
      <c r="C59" s="243" t="str">
        <f t="shared" si="0"/>
        <v>Nov</v>
      </c>
      <c r="D59" s="236" t="s">
        <v>1112</v>
      </c>
      <c r="E59" s="236" t="s">
        <v>1108</v>
      </c>
      <c r="F59" s="236" t="s">
        <v>1034</v>
      </c>
      <c r="G59" s="236" t="s">
        <v>1026</v>
      </c>
      <c r="H59" s="236" t="s">
        <v>1078</v>
      </c>
      <c r="I59" s="236" t="s">
        <v>1079</v>
      </c>
      <c r="J59" s="236" t="s">
        <v>1044</v>
      </c>
      <c r="K59" s="236">
        <v>2421</v>
      </c>
      <c r="L59" s="236">
        <v>765</v>
      </c>
      <c r="M59" s="237">
        <v>1852065</v>
      </c>
    </row>
    <row r="60" spans="1:13" ht="12.5" customHeight="1" x14ac:dyDescent="0.35">
      <c r="A60" s="235">
        <v>59</v>
      </c>
      <c r="B60" s="243">
        <v>45905</v>
      </c>
      <c r="C60" s="243" t="str">
        <f t="shared" si="0"/>
        <v>Sep</v>
      </c>
      <c r="D60" s="236" t="s">
        <v>1113</v>
      </c>
      <c r="E60" s="236" t="s">
        <v>1108</v>
      </c>
      <c r="F60" s="236" t="s">
        <v>1034</v>
      </c>
      <c r="G60" s="236" t="s">
        <v>1030</v>
      </c>
      <c r="H60" s="236" t="s">
        <v>1081</v>
      </c>
      <c r="I60" s="236" t="s">
        <v>1082</v>
      </c>
      <c r="J60" s="236" t="s">
        <v>1044</v>
      </c>
      <c r="K60" s="236">
        <v>8893</v>
      </c>
      <c r="L60" s="236">
        <v>848</v>
      </c>
      <c r="M60" s="237">
        <v>7541264</v>
      </c>
    </row>
    <row r="61" spans="1:13" x14ac:dyDescent="0.35">
      <c r="A61" s="235">
        <v>60</v>
      </c>
      <c r="B61" s="243">
        <v>45900</v>
      </c>
      <c r="C61" s="243" t="str">
        <f t="shared" si="0"/>
        <v>Aug</v>
      </c>
      <c r="D61" s="236" t="s">
        <v>1114</v>
      </c>
      <c r="E61" s="236" t="s">
        <v>1108</v>
      </c>
      <c r="F61" s="236" t="s">
        <v>1034</v>
      </c>
      <c r="G61" s="236" t="s">
        <v>1023</v>
      </c>
      <c r="H61" s="236" t="s">
        <v>1083</v>
      </c>
      <c r="I61" s="236" t="s">
        <v>1025</v>
      </c>
      <c r="J61" s="236" t="s">
        <v>1044</v>
      </c>
      <c r="K61" s="236">
        <v>4938</v>
      </c>
      <c r="L61" s="236">
        <v>726</v>
      </c>
      <c r="M61" s="237">
        <v>3584988</v>
      </c>
    </row>
    <row r="62" spans="1:13" x14ac:dyDescent="0.35">
      <c r="A62" s="235">
        <v>61</v>
      </c>
      <c r="B62" s="243">
        <v>45960</v>
      </c>
      <c r="C62" s="243" t="str">
        <f t="shared" si="0"/>
        <v>Oct</v>
      </c>
      <c r="D62" s="236" t="s">
        <v>1115</v>
      </c>
      <c r="E62" s="236" t="s">
        <v>1108</v>
      </c>
      <c r="F62" s="236" t="s">
        <v>1034</v>
      </c>
      <c r="G62" s="236" t="s">
        <v>1018</v>
      </c>
      <c r="H62" s="236" t="s">
        <v>1084</v>
      </c>
      <c r="I62" s="236" t="s">
        <v>1085</v>
      </c>
      <c r="J62" s="236" t="s">
        <v>1044</v>
      </c>
      <c r="K62" s="236">
        <v>4836</v>
      </c>
      <c r="L62" s="236">
        <v>783</v>
      </c>
      <c r="M62" s="237">
        <v>3786588</v>
      </c>
    </row>
    <row r="63" spans="1:13" x14ac:dyDescent="0.35">
      <c r="A63" s="235">
        <v>62</v>
      </c>
      <c r="B63" s="243">
        <v>45777</v>
      </c>
      <c r="C63" s="243" t="str">
        <f t="shared" si="0"/>
        <v>Apr</v>
      </c>
      <c r="D63" s="236" t="s">
        <v>1116</v>
      </c>
      <c r="E63" s="236" t="s">
        <v>1108</v>
      </c>
      <c r="F63" s="236" t="s">
        <v>1034</v>
      </c>
      <c r="G63" s="236" t="s">
        <v>1018</v>
      </c>
      <c r="H63" s="236" t="s">
        <v>1086</v>
      </c>
      <c r="I63" s="236" t="s">
        <v>1087</v>
      </c>
      <c r="J63" s="236" t="s">
        <v>1044</v>
      </c>
      <c r="K63" s="236">
        <v>3490</v>
      </c>
      <c r="L63" s="236">
        <v>889</v>
      </c>
      <c r="M63" s="237">
        <v>3102610</v>
      </c>
    </row>
    <row r="64" spans="1:13" x14ac:dyDescent="0.35">
      <c r="A64" s="235">
        <v>63</v>
      </c>
      <c r="B64" s="243">
        <v>45855</v>
      </c>
      <c r="C64" s="243" t="str">
        <f t="shared" si="0"/>
        <v>Jul</v>
      </c>
      <c r="D64" s="236" t="s">
        <v>1117</v>
      </c>
      <c r="E64" s="236" t="s">
        <v>1118</v>
      </c>
      <c r="F64" s="236" t="s">
        <v>1119</v>
      </c>
      <c r="G64" s="236" t="s">
        <v>1088</v>
      </c>
      <c r="H64" s="236" t="s">
        <v>1089</v>
      </c>
      <c r="I64" s="236" t="s">
        <v>1090</v>
      </c>
      <c r="J64" s="236" t="s">
        <v>1044</v>
      </c>
      <c r="K64" s="236">
        <v>1921</v>
      </c>
      <c r="L64" s="236">
        <v>568</v>
      </c>
      <c r="M64" s="237">
        <v>1091128</v>
      </c>
    </row>
    <row r="65" spans="1:13" x14ac:dyDescent="0.35">
      <c r="A65" s="235">
        <v>64</v>
      </c>
      <c r="B65" s="243">
        <v>45996</v>
      </c>
      <c r="C65" s="243" t="str">
        <f t="shared" si="0"/>
        <v>Dec</v>
      </c>
      <c r="D65" s="236" t="s">
        <v>1120</v>
      </c>
      <c r="E65" s="236" t="s">
        <v>1118</v>
      </c>
      <c r="F65" s="236" t="s">
        <v>1119</v>
      </c>
      <c r="G65" s="236" t="s">
        <v>1018</v>
      </c>
      <c r="H65" s="236" t="s">
        <v>1091</v>
      </c>
      <c r="I65" s="236" t="s">
        <v>1092</v>
      </c>
      <c r="J65" s="236" t="s">
        <v>1044</v>
      </c>
      <c r="K65" s="236">
        <v>5036</v>
      </c>
      <c r="L65" s="236">
        <v>745</v>
      </c>
      <c r="M65" s="237">
        <v>3751820</v>
      </c>
    </row>
    <row r="66" spans="1:13" x14ac:dyDescent="0.35">
      <c r="A66" s="235">
        <f t="shared" ref="A66:M66" si="13">A65</f>
        <v>64</v>
      </c>
      <c r="B66" s="243">
        <f t="shared" si="13"/>
        <v>45996</v>
      </c>
      <c r="C66" s="243" t="str">
        <f t="shared" si="0"/>
        <v>Dec</v>
      </c>
      <c r="D66" s="236" t="str">
        <f t="shared" si="13"/>
        <v>True Value Electronics</v>
      </c>
      <c r="E66" s="236" t="str">
        <f t="shared" si="13"/>
        <v>Car accessories</v>
      </c>
      <c r="F66" s="236" t="str">
        <f t="shared" si="13"/>
        <v>Decor</v>
      </c>
      <c r="G66" s="236" t="str">
        <f t="shared" si="13"/>
        <v>North</v>
      </c>
      <c r="H66" s="236" t="str">
        <f t="shared" si="13"/>
        <v>Amritsar</v>
      </c>
      <c r="I66" s="236" t="str">
        <f t="shared" si="13"/>
        <v>Punjab</v>
      </c>
      <c r="J66" s="236" t="str">
        <f t="shared" si="13"/>
        <v>Female</v>
      </c>
      <c r="K66" s="236">
        <f t="shared" si="13"/>
        <v>5036</v>
      </c>
      <c r="L66" s="236">
        <f t="shared" si="13"/>
        <v>745</v>
      </c>
      <c r="M66" s="237">
        <f t="shared" si="13"/>
        <v>3751820</v>
      </c>
    </row>
    <row r="67" spans="1:13" x14ac:dyDescent="0.35">
      <c r="A67" s="235">
        <v>66</v>
      </c>
      <c r="B67" s="243">
        <v>46040</v>
      </c>
      <c r="C67" s="243" t="str">
        <f t="shared" ref="C67:C130" si="14">TEXT(B67,"mmm")</f>
        <v>Jan</v>
      </c>
      <c r="D67" s="236" t="s">
        <v>1121</v>
      </c>
      <c r="E67" s="236" t="s">
        <v>1118</v>
      </c>
      <c r="F67" s="236" t="s">
        <v>1119</v>
      </c>
      <c r="G67" s="236" t="s">
        <v>1026</v>
      </c>
      <c r="H67" s="236" t="s">
        <v>1095</v>
      </c>
      <c r="I67" s="236" t="s">
        <v>1028</v>
      </c>
      <c r="J67" s="236" t="s">
        <v>1044</v>
      </c>
      <c r="K67" s="236">
        <v>6233</v>
      </c>
      <c r="L67" s="236">
        <v>675</v>
      </c>
      <c r="M67" s="237">
        <v>4207275</v>
      </c>
    </row>
    <row r="68" spans="1:13" ht="13" customHeight="1" x14ac:dyDescent="0.35">
      <c r="A68" s="235">
        <v>67</v>
      </c>
      <c r="B68" s="243">
        <v>45801</v>
      </c>
      <c r="C68" s="243" t="str">
        <f t="shared" si="14"/>
        <v>May</v>
      </c>
      <c r="D68" s="236" t="s">
        <v>1122</v>
      </c>
      <c r="E68" s="236" t="s">
        <v>1118</v>
      </c>
      <c r="F68" s="236" t="s">
        <v>1119</v>
      </c>
      <c r="G68" s="236" t="s">
        <v>1026</v>
      </c>
      <c r="H68" s="236" t="s">
        <v>1027</v>
      </c>
      <c r="I68" s="236" t="s">
        <v>1028</v>
      </c>
      <c r="J68" s="236" t="s">
        <v>1044</v>
      </c>
      <c r="K68" s="236">
        <v>9156</v>
      </c>
      <c r="L68" s="236">
        <v>778</v>
      </c>
      <c r="M68" s="237">
        <v>7123368</v>
      </c>
    </row>
    <row r="69" spans="1:13" x14ac:dyDescent="0.35">
      <c r="A69" s="235">
        <v>68</v>
      </c>
      <c r="B69" s="243">
        <v>45816</v>
      </c>
      <c r="C69" s="243" t="str">
        <f t="shared" si="14"/>
        <v>Jun</v>
      </c>
      <c r="D69" s="236" t="s">
        <v>1123</v>
      </c>
      <c r="E69" s="236" t="s">
        <v>1118</v>
      </c>
      <c r="F69" s="236" t="s">
        <v>1119</v>
      </c>
      <c r="G69" s="236" t="s">
        <v>1054</v>
      </c>
      <c r="H69" s="236" t="s">
        <v>1098</v>
      </c>
      <c r="I69" s="236" t="s">
        <v>1056</v>
      </c>
      <c r="J69" s="236" t="s">
        <v>1020</v>
      </c>
      <c r="K69" s="236">
        <v>3687</v>
      </c>
      <c r="L69" s="236">
        <v>867</v>
      </c>
      <c r="M69" s="237">
        <v>3196629</v>
      </c>
    </row>
    <row r="70" spans="1:13" x14ac:dyDescent="0.35">
      <c r="A70" s="235">
        <v>69</v>
      </c>
      <c r="B70" s="243">
        <v>45880</v>
      </c>
      <c r="C70" s="243" t="str">
        <f t="shared" si="14"/>
        <v>Aug</v>
      </c>
      <c r="D70" s="236" t="s">
        <v>1124</v>
      </c>
      <c r="E70" s="236" t="s">
        <v>1118</v>
      </c>
      <c r="F70" s="236" t="s">
        <v>1119</v>
      </c>
      <c r="G70" s="236" t="s">
        <v>1026</v>
      </c>
      <c r="H70" s="236" t="s">
        <v>1099</v>
      </c>
      <c r="I70" s="236" t="s">
        <v>1079</v>
      </c>
      <c r="J70" s="236" t="s">
        <v>1020</v>
      </c>
      <c r="K70" s="236">
        <v>3165</v>
      </c>
      <c r="L70" s="236">
        <v>903</v>
      </c>
      <c r="M70" s="237">
        <v>2857995</v>
      </c>
    </row>
    <row r="71" spans="1:13" x14ac:dyDescent="0.35">
      <c r="A71" s="235">
        <v>70</v>
      </c>
      <c r="B71" s="243">
        <v>45993</v>
      </c>
      <c r="C71" s="243" t="str">
        <f t="shared" si="14"/>
        <v>Dec</v>
      </c>
      <c r="D71" s="236" t="s">
        <v>1125</v>
      </c>
      <c r="E71" s="236" t="s">
        <v>1104</v>
      </c>
      <c r="F71" s="236" t="s">
        <v>1034</v>
      </c>
      <c r="G71" s="236" t="s">
        <v>1026</v>
      </c>
      <c r="H71" s="236" t="s">
        <v>1100</v>
      </c>
      <c r="I71" s="236" t="s">
        <v>1028</v>
      </c>
      <c r="J71" s="236" t="s">
        <v>1020</v>
      </c>
      <c r="K71" s="236">
        <v>1580</v>
      </c>
      <c r="L71" s="236">
        <v>718</v>
      </c>
      <c r="M71" s="237">
        <v>1134440</v>
      </c>
    </row>
    <row r="72" spans="1:13" x14ac:dyDescent="0.35">
      <c r="A72" s="235">
        <v>71</v>
      </c>
      <c r="B72" s="243">
        <v>45862</v>
      </c>
      <c r="C72" s="243" t="str">
        <f t="shared" si="14"/>
        <v>Jul</v>
      </c>
      <c r="D72" s="236" t="s">
        <v>1126</v>
      </c>
      <c r="E72" s="236" t="s">
        <v>1104</v>
      </c>
      <c r="F72" s="236" t="s">
        <v>1034</v>
      </c>
      <c r="G72" s="236" t="s">
        <v>1023</v>
      </c>
      <c r="H72" s="236" t="s">
        <v>1024</v>
      </c>
      <c r="I72" s="236" t="s">
        <v>1025</v>
      </c>
      <c r="J72" s="236" t="s">
        <v>1044</v>
      </c>
      <c r="K72" s="236">
        <v>7609</v>
      </c>
      <c r="L72" s="236">
        <v>636</v>
      </c>
      <c r="M72" s="237">
        <v>4839324</v>
      </c>
    </row>
    <row r="73" spans="1:13" ht="17" customHeight="1" x14ac:dyDescent="0.35">
      <c r="A73" s="235">
        <v>72</v>
      </c>
      <c r="B73" s="243">
        <v>46060</v>
      </c>
      <c r="C73" s="243" t="str">
        <f t="shared" si="14"/>
        <v>Feb</v>
      </c>
      <c r="D73" s="236" t="s">
        <v>1127</v>
      </c>
      <c r="E73" s="236" t="s">
        <v>1104</v>
      </c>
      <c r="F73" s="236" t="s">
        <v>1034</v>
      </c>
      <c r="G73" s="236" t="s">
        <v>1026</v>
      </c>
      <c r="H73" s="236" t="s">
        <v>1027</v>
      </c>
      <c r="I73" s="236" t="s">
        <v>1028</v>
      </c>
      <c r="J73" s="236" t="s">
        <v>1044</v>
      </c>
      <c r="K73" s="236">
        <v>2460</v>
      </c>
      <c r="L73" s="236">
        <v>571</v>
      </c>
      <c r="M73" s="237">
        <v>1404660</v>
      </c>
    </row>
    <row r="74" spans="1:13" x14ac:dyDescent="0.35">
      <c r="A74" s="235">
        <v>73</v>
      </c>
      <c r="B74" s="243">
        <v>46039</v>
      </c>
      <c r="C74" s="243" t="str">
        <f t="shared" si="14"/>
        <v>Jan</v>
      </c>
      <c r="D74" s="236" t="s">
        <v>1128</v>
      </c>
      <c r="E74" s="236" t="s">
        <v>1108</v>
      </c>
      <c r="F74" s="236" t="s">
        <v>1034</v>
      </c>
      <c r="G74" s="236" t="s">
        <v>1030</v>
      </c>
      <c r="H74" s="236" t="s">
        <v>1031</v>
      </c>
      <c r="I74" s="236" t="s">
        <v>1032</v>
      </c>
      <c r="J74" s="236" t="s">
        <v>1044</v>
      </c>
      <c r="K74" s="236">
        <v>8048</v>
      </c>
      <c r="L74" s="236">
        <v>648</v>
      </c>
      <c r="M74" s="237">
        <v>5215104</v>
      </c>
    </row>
    <row r="75" spans="1:13" x14ac:dyDescent="0.35">
      <c r="A75" s="235">
        <v>74</v>
      </c>
      <c r="B75" s="243">
        <v>45944</v>
      </c>
      <c r="C75" s="243" t="str">
        <f t="shared" si="14"/>
        <v>Oct</v>
      </c>
      <c r="D75" s="236" t="s">
        <v>1129</v>
      </c>
      <c r="E75" s="236" t="s">
        <v>1108</v>
      </c>
      <c r="F75" s="236" t="s">
        <v>1034</v>
      </c>
      <c r="G75" s="236" t="s">
        <v>1030</v>
      </c>
      <c r="H75" s="236" t="s">
        <v>1035</v>
      </c>
      <c r="I75" s="236" t="s">
        <v>1036</v>
      </c>
      <c r="J75" s="236" t="s">
        <v>1020</v>
      </c>
      <c r="K75" s="236">
        <v>6821</v>
      </c>
      <c r="L75" s="236">
        <v>871</v>
      </c>
      <c r="M75" s="237">
        <v>5941091</v>
      </c>
    </row>
    <row r="76" spans="1:13" x14ac:dyDescent="0.35">
      <c r="A76" s="235">
        <v>75</v>
      </c>
      <c r="B76" s="243">
        <v>46042</v>
      </c>
      <c r="C76" s="243" t="str">
        <f t="shared" si="14"/>
        <v>Jan</v>
      </c>
      <c r="D76" s="236" t="s">
        <v>1130</v>
      </c>
      <c r="E76" s="236" t="s">
        <v>1108</v>
      </c>
      <c r="F76" s="236" t="s">
        <v>1034</v>
      </c>
      <c r="G76" s="236" t="s">
        <v>1030</v>
      </c>
      <c r="H76" s="236" t="s">
        <v>1037</v>
      </c>
      <c r="I76" s="236" t="s">
        <v>1038</v>
      </c>
      <c r="J76" s="236" t="s">
        <v>1020</v>
      </c>
      <c r="K76" s="236">
        <v>1898</v>
      </c>
      <c r="L76" s="236">
        <v>726</v>
      </c>
      <c r="M76" s="237">
        <v>1377948</v>
      </c>
    </row>
    <row r="77" spans="1:13" ht="12.5" customHeight="1" x14ac:dyDescent="0.35">
      <c r="A77" s="235">
        <v>76</v>
      </c>
      <c r="B77" s="243">
        <v>45944</v>
      </c>
      <c r="C77" s="243" t="str">
        <f t="shared" si="14"/>
        <v>Oct</v>
      </c>
      <c r="D77" s="236" t="s">
        <v>1131</v>
      </c>
      <c r="E77" s="236" t="s">
        <v>1108</v>
      </c>
      <c r="F77" s="236" t="s">
        <v>1034</v>
      </c>
      <c r="G77" s="236" t="s">
        <v>1023</v>
      </c>
      <c r="H77" s="236" t="s">
        <v>1039</v>
      </c>
      <c r="I77" s="236" t="s">
        <v>1040</v>
      </c>
      <c r="J77" s="236" t="s">
        <v>1020</v>
      </c>
      <c r="K77" s="236">
        <v>8320</v>
      </c>
      <c r="L77" s="236">
        <v>701</v>
      </c>
      <c r="M77" s="237">
        <v>5832320</v>
      </c>
    </row>
    <row r="78" spans="1:13" x14ac:dyDescent="0.35">
      <c r="A78" s="235">
        <v>77</v>
      </c>
      <c r="B78" s="243">
        <v>45962</v>
      </c>
      <c r="C78" s="243" t="str">
        <f t="shared" si="14"/>
        <v>Nov</v>
      </c>
      <c r="D78" s="236" t="s">
        <v>1132</v>
      </c>
      <c r="E78" s="236" t="s">
        <v>1108</v>
      </c>
      <c r="F78" s="236" t="s">
        <v>1034</v>
      </c>
      <c r="G78" s="236" t="s">
        <v>1023</v>
      </c>
      <c r="H78" s="236" t="s">
        <v>1041</v>
      </c>
      <c r="I78" s="236" t="s">
        <v>1025</v>
      </c>
      <c r="J78" s="236" t="s">
        <v>1020</v>
      </c>
      <c r="K78" s="236">
        <v>7085</v>
      </c>
      <c r="L78" s="236">
        <v>980</v>
      </c>
      <c r="M78" s="237">
        <v>6943300</v>
      </c>
    </row>
    <row r="79" spans="1:13" x14ac:dyDescent="0.35">
      <c r="A79" s="235">
        <v>78</v>
      </c>
      <c r="B79" s="243">
        <v>45871</v>
      </c>
      <c r="C79" s="243" t="str">
        <f t="shared" si="14"/>
        <v>Aug</v>
      </c>
      <c r="D79" s="236" t="s">
        <v>1133</v>
      </c>
      <c r="E79" s="236" t="s">
        <v>1108</v>
      </c>
      <c r="F79" s="236" t="s">
        <v>1034</v>
      </c>
      <c r="G79" s="236" t="s">
        <v>1018</v>
      </c>
      <c r="H79" s="236" t="s">
        <v>1042</v>
      </c>
      <c r="I79" s="236" t="s">
        <v>1043</v>
      </c>
      <c r="J79" s="236" t="s">
        <v>1020</v>
      </c>
      <c r="K79" s="236">
        <v>7382</v>
      </c>
      <c r="L79" s="236">
        <v>866</v>
      </c>
      <c r="M79" s="237">
        <v>6392812</v>
      </c>
    </row>
    <row r="80" spans="1:13" x14ac:dyDescent="0.35">
      <c r="A80" s="235">
        <f t="shared" ref="A80:M80" si="15">A79</f>
        <v>78</v>
      </c>
      <c r="B80" s="243">
        <f t="shared" si="15"/>
        <v>45871</v>
      </c>
      <c r="C80" s="243" t="str">
        <f t="shared" si="14"/>
        <v>Aug</v>
      </c>
      <c r="D80" s="236" t="str">
        <f t="shared" si="15"/>
        <v>Urban Pulse Consulting</v>
      </c>
      <c r="E80" s="236" t="str">
        <f t="shared" si="15"/>
        <v>Suit</v>
      </c>
      <c r="F80" s="236" t="str">
        <f t="shared" si="15"/>
        <v xml:space="preserve">Fashion </v>
      </c>
      <c r="G80" s="236" t="str">
        <f t="shared" si="15"/>
        <v>North</v>
      </c>
      <c r="H80" s="236" t="str">
        <f t="shared" si="15"/>
        <v>Jaipur</v>
      </c>
      <c r="I80" s="236" t="str">
        <f t="shared" si="15"/>
        <v>Rajasthan</v>
      </c>
      <c r="J80" s="236" t="str">
        <f t="shared" si="15"/>
        <v>Male</v>
      </c>
      <c r="K80" s="236">
        <f t="shared" si="15"/>
        <v>7382</v>
      </c>
      <c r="L80" s="236">
        <f t="shared" si="15"/>
        <v>866</v>
      </c>
      <c r="M80" s="237">
        <f t="shared" si="15"/>
        <v>6392812</v>
      </c>
    </row>
    <row r="81" spans="1:13" x14ac:dyDescent="0.35">
      <c r="A81" s="235">
        <v>80</v>
      </c>
      <c r="B81" s="243">
        <v>46017</v>
      </c>
      <c r="C81" s="243" t="str">
        <f t="shared" si="14"/>
        <v>Dec</v>
      </c>
      <c r="D81" s="236" t="s">
        <v>1135</v>
      </c>
      <c r="E81" s="236" t="s">
        <v>1134</v>
      </c>
      <c r="F81" s="236" t="s">
        <v>1119</v>
      </c>
      <c r="G81" s="236" t="s">
        <v>1018</v>
      </c>
      <c r="H81" s="236" t="s">
        <v>1047</v>
      </c>
      <c r="I81" s="236" t="s">
        <v>1048</v>
      </c>
      <c r="J81" s="236" t="s">
        <v>1044</v>
      </c>
      <c r="K81" s="236">
        <v>2540</v>
      </c>
      <c r="L81" s="236">
        <v>735</v>
      </c>
      <c r="M81" s="237">
        <v>1866900</v>
      </c>
    </row>
    <row r="82" spans="1:13" x14ac:dyDescent="0.35">
      <c r="A82" s="235">
        <v>81</v>
      </c>
      <c r="B82" s="243">
        <v>45784</v>
      </c>
      <c r="C82" s="243" t="str">
        <f t="shared" si="14"/>
        <v>May</v>
      </c>
      <c r="D82" s="236" t="s">
        <v>1136</v>
      </c>
      <c r="E82" s="236" t="s">
        <v>1134</v>
      </c>
      <c r="F82" s="236" t="s">
        <v>1119</v>
      </c>
      <c r="G82" s="236" t="s">
        <v>1018</v>
      </c>
      <c r="H82" s="236" t="s">
        <v>1050</v>
      </c>
      <c r="I82" s="236" t="s">
        <v>1048</v>
      </c>
      <c r="J82" s="236" t="s">
        <v>1044</v>
      </c>
      <c r="K82" s="236">
        <v>6995</v>
      </c>
      <c r="L82" s="236">
        <v>959</v>
      </c>
      <c r="M82" s="237">
        <v>6708205</v>
      </c>
    </row>
    <row r="83" spans="1:13" ht="12.5" customHeight="1" x14ac:dyDescent="0.35">
      <c r="A83" s="235">
        <f t="shared" ref="A83:M83" si="16">A82</f>
        <v>81</v>
      </c>
      <c r="B83" s="243">
        <f t="shared" si="16"/>
        <v>45784</v>
      </c>
      <c r="C83" s="243" t="str">
        <f t="shared" si="14"/>
        <v>May</v>
      </c>
      <c r="D83" s="236" t="str">
        <f t="shared" si="16"/>
        <v>Bright Future Academy</v>
      </c>
      <c r="E83" s="236" t="str">
        <f t="shared" si="16"/>
        <v>Home décor</v>
      </c>
      <c r="F83" s="236" t="str">
        <f t="shared" si="16"/>
        <v>Decor</v>
      </c>
      <c r="G83" s="236" t="str">
        <f t="shared" si="16"/>
        <v>North</v>
      </c>
      <c r="H83" s="236" t="str">
        <f t="shared" si="16"/>
        <v>Kanpur</v>
      </c>
      <c r="I83" s="236" t="str">
        <f t="shared" si="16"/>
        <v>Uttar Pradesh</v>
      </c>
      <c r="J83" s="236" t="str">
        <f t="shared" si="16"/>
        <v>Female</v>
      </c>
      <c r="K83" s="236">
        <f t="shared" si="16"/>
        <v>6995</v>
      </c>
      <c r="L83" s="236">
        <f t="shared" si="16"/>
        <v>959</v>
      </c>
      <c r="M83" s="237">
        <f t="shared" si="16"/>
        <v>6708205</v>
      </c>
    </row>
    <row r="84" spans="1:13" x14ac:dyDescent="0.35">
      <c r="A84" s="235">
        <v>83</v>
      </c>
      <c r="B84" s="243">
        <v>45966</v>
      </c>
      <c r="C84" s="243" t="str">
        <f t="shared" si="14"/>
        <v>Nov</v>
      </c>
      <c r="D84" s="236" t="s">
        <v>1137</v>
      </c>
      <c r="E84" s="236" t="s">
        <v>1134</v>
      </c>
      <c r="F84" s="236" t="s">
        <v>1119</v>
      </c>
      <c r="G84" s="236" t="s">
        <v>1023</v>
      </c>
      <c r="H84" s="236" t="s">
        <v>1058</v>
      </c>
      <c r="I84" s="236" t="s">
        <v>1025</v>
      </c>
      <c r="J84" s="236" t="s">
        <v>1044</v>
      </c>
      <c r="K84" s="236">
        <v>2645</v>
      </c>
      <c r="L84" s="236">
        <v>513</v>
      </c>
      <c r="M84" s="237">
        <v>1356885</v>
      </c>
    </row>
    <row r="85" spans="1:13" x14ac:dyDescent="0.35">
      <c r="A85" s="235">
        <v>84</v>
      </c>
      <c r="B85" s="243">
        <v>45795</v>
      </c>
      <c r="C85" s="243" t="str">
        <f t="shared" si="14"/>
        <v>May</v>
      </c>
      <c r="D85" s="236" t="s">
        <v>1138</v>
      </c>
      <c r="E85" s="236" t="s">
        <v>1134</v>
      </c>
      <c r="F85" s="236" t="s">
        <v>1119</v>
      </c>
      <c r="G85" s="236" t="s">
        <v>1059</v>
      </c>
      <c r="H85" s="236" t="s">
        <v>1060</v>
      </c>
      <c r="I85" s="236" t="s">
        <v>1060</v>
      </c>
      <c r="J85" s="236" t="s">
        <v>1044</v>
      </c>
      <c r="K85" s="236">
        <v>4794</v>
      </c>
      <c r="L85" s="236">
        <v>703</v>
      </c>
      <c r="M85" s="237">
        <v>3370182</v>
      </c>
    </row>
    <row r="86" spans="1:13" ht="18.5" customHeight="1" x14ac:dyDescent="0.35">
      <c r="A86" s="235">
        <v>85</v>
      </c>
      <c r="B86" s="243">
        <v>45770</v>
      </c>
      <c r="C86" s="243" t="str">
        <f t="shared" si="14"/>
        <v>Apr</v>
      </c>
      <c r="D86" s="236" t="s">
        <v>1139</v>
      </c>
      <c r="E86" s="236" t="s">
        <v>1134</v>
      </c>
      <c r="F86" s="236" t="s">
        <v>1119</v>
      </c>
      <c r="G86" s="236" t="s">
        <v>1030</v>
      </c>
      <c r="H86" s="236" t="s">
        <v>1063</v>
      </c>
      <c r="I86" s="236" t="s">
        <v>1064</v>
      </c>
      <c r="J86" s="236" t="s">
        <v>1020</v>
      </c>
      <c r="K86" s="236">
        <v>9519</v>
      </c>
      <c r="L86" s="236">
        <v>949</v>
      </c>
      <c r="M86" s="237">
        <v>9033531</v>
      </c>
    </row>
    <row r="87" spans="1:13" ht="12.5" customHeight="1" x14ac:dyDescent="0.35">
      <c r="A87" s="235">
        <f t="shared" ref="A87:M87" si="17">A86</f>
        <v>85</v>
      </c>
      <c r="B87" s="243">
        <f t="shared" si="17"/>
        <v>45770</v>
      </c>
      <c r="C87" s="243" t="str">
        <f t="shared" si="14"/>
        <v>Apr</v>
      </c>
      <c r="D87" s="236" t="str">
        <f t="shared" si="17"/>
        <v>Harmony Ventures</v>
      </c>
      <c r="E87" s="236" t="str">
        <f t="shared" si="17"/>
        <v>Home décor</v>
      </c>
      <c r="F87" s="236" t="str">
        <f t="shared" si="17"/>
        <v>Decor</v>
      </c>
      <c r="G87" s="236" t="str">
        <f t="shared" si="17"/>
        <v>South</v>
      </c>
      <c r="H87" s="236" t="str">
        <f t="shared" si="17"/>
        <v>Visakhapatnam</v>
      </c>
      <c r="I87" s="236" t="str">
        <f t="shared" si="17"/>
        <v>Andhra Pradesh</v>
      </c>
      <c r="J87" s="236" t="str">
        <f t="shared" si="17"/>
        <v>Male</v>
      </c>
      <c r="K87" s="236">
        <f t="shared" si="17"/>
        <v>9519</v>
      </c>
      <c r="L87" s="236">
        <f t="shared" si="17"/>
        <v>949</v>
      </c>
      <c r="M87" s="237">
        <f t="shared" si="17"/>
        <v>9033531</v>
      </c>
    </row>
    <row r="88" spans="1:13" x14ac:dyDescent="0.35">
      <c r="A88" s="235">
        <v>87</v>
      </c>
      <c r="B88" s="243">
        <v>45918</v>
      </c>
      <c r="C88" s="243" t="str">
        <f t="shared" si="14"/>
        <v>Sep</v>
      </c>
      <c r="D88" s="236" t="s">
        <v>1140</v>
      </c>
      <c r="E88" s="236" t="s">
        <v>1134</v>
      </c>
      <c r="F88" s="236" t="s">
        <v>1119</v>
      </c>
      <c r="G88" s="236" t="s">
        <v>1023</v>
      </c>
      <c r="H88" s="236" t="s">
        <v>1068</v>
      </c>
      <c r="I88" s="236" t="s">
        <v>1040</v>
      </c>
      <c r="J88" s="236" t="s">
        <v>1020</v>
      </c>
      <c r="K88" s="236">
        <v>1885</v>
      </c>
      <c r="L88" s="236">
        <v>811</v>
      </c>
      <c r="M88" s="237">
        <v>1528735</v>
      </c>
    </row>
    <row r="89" spans="1:13" x14ac:dyDescent="0.35">
      <c r="A89" s="235">
        <v>88</v>
      </c>
      <c r="B89" s="243">
        <v>45774</v>
      </c>
      <c r="C89" s="243" t="str">
        <f t="shared" si="14"/>
        <v>Apr</v>
      </c>
      <c r="D89" s="236" t="s">
        <v>1141</v>
      </c>
      <c r="E89" s="236" t="s">
        <v>1097</v>
      </c>
      <c r="F89" s="236" t="s">
        <v>1017</v>
      </c>
      <c r="G89" s="236" t="s">
        <v>1018</v>
      </c>
      <c r="H89" s="236" t="s">
        <v>1071</v>
      </c>
      <c r="I89" s="236" t="s">
        <v>1048</v>
      </c>
      <c r="J89" s="236" t="s">
        <v>1020</v>
      </c>
      <c r="K89" s="236">
        <v>6596</v>
      </c>
      <c r="L89" s="236">
        <v>501</v>
      </c>
      <c r="M89" s="237">
        <v>3304596</v>
      </c>
    </row>
    <row r="90" spans="1:13" x14ac:dyDescent="0.35">
      <c r="A90" s="235">
        <v>89</v>
      </c>
      <c r="B90" s="243">
        <v>46059</v>
      </c>
      <c r="C90" s="243" t="str">
        <f t="shared" si="14"/>
        <v>Feb</v>
      </c>
      <c r="D90" s="236" t="s">
        <v>1142</v>
      </c>
      <c r="E90" s="236" t="s">
        <v>1097</v>
      </c>
      <c r="F90" s="236" t="s">
        <v>1017</v>
      </c>
      <c r="G90" s="236" t="s">
        <v>1030</v>
      </c>
      <c r="H90" s="236" t="s">
        <v>1072</v>
      </c>
      <c r="I90" s="236" t="s">
        <v>1032</v>
      </c>
      <c r="J90" s="236" t="s">
        <v>1020</v>
      </c>
      <c r="K90" s="236">
        <v>3074</v>
      </c>
      <c r="L90" s="236">
        <v>869</v>
      </c>
      <c r="M90" s="237">
        <v>2671306</v>
      </c>
    </row>
    <row r="91" spans="1:13" x14ac:dyDescent="0.35">
      <c r="A91" s="235">
        <v>90</v>
      </c>
      <c r="B91" s="243">
        <v>45761</v>
      </c>
      <c r="C91" s="243" t="str">
        <f t="shared" si="14"/>
        <v>Apr</v>
      </c>
      <c r="D91" s="236" t="s">
        <v>1143</v>
      </c>
      <c r="E91" s="236" t="s">
        <v>1097</v>
      </c>
      <c r="F91" s="236" t="s">
        <v>1017</v>
      </c>
      <c r="G91" s="236" t="s">
        <v>1030</v>
      </c>
      <c r="H91" s="236" t="s">
        <v>1073</v>
      </c>
      <c r="I91" s="236" t="s">
        <v>1032</v>
      </c>
      <c r="J91" s="236" t="s">
        <v>1020</v>
      </c>
      <c r="K91" s="236">
        <v>6116</v>
      </c>
      <c r="L91" s="236">
        <v>699</v>
      </c>
      <c r="M91" s="237">
        <v>4275084</v>
      </c>
    </row>
    <row r="92" spans="1:13" x14ac:dyDescent="0.35">
      <c r="A92" s="235">
        <v>91</v>
      </c>
      <c r="B92" s="243">
        <v>45814</v>
      </c>
      <c r="C92" s="243" t="str">
        <f t="shared" si="14"/>
        <v>Jun</v>
      </c>
      <c r="D92" s="236" t="s">
        <v>1144</v>
      </c>
      <c r="E92" s="236" t="s">
        <v>1097</v>
      </c>
      <c r="F92" s="236" t="s">
        <v>1017</v>
      </c>
      <c r="G92" s="236" t="s">
        <v>1018</v>
      </c>
      <c r="H92" s="236" t="s">
        <v>1075</v>
      </c>
      <c r="I92" s="236" t="s">
        <v>1043</v>
      </c>
      <c r="J92" s="236" t="s">
        <v>1020</v>
      </c>
      <c r="K92" s="236">
        <v>5729</v>
      </c>
      <c r="L92" s="236">
        <v>753</v>
      </c>
      <c r="M92" s="237">
        <v>4313937</v>
      </c>
    </row>
    <row r="93" spans="1:13" x14ac:dyDescent="0.35">
      <c r="A93" s="235">
        <v>92</v>
      </c>
      <c r="B93" s="243">
        <v>46018</v>
      </c>
      <c r="C93" s="243" t="str">
        <f t="shared" si="14"/>
        <v>Dec</v>
      </c>
      <c r="D93" s="236" t="s">
        <v>1145</v>
      </c>
      <c r="E93" s="236" t="s">
        <v>1097</v>
      </c>
      <c r="F93" s="236" t="s">
        <v>1017</v>
      </c>
      <c r="G93" s="236" t="s">
        <v>1018</v>
      </c>
      <c r="H93" s="236" t="s">
        <v>1077</v>
      </c>
      <c r="I93" s="236" t="s">
        <v>1048</v>
      </c>
      <c r="J93" s="236" t="s">
        <v>1044</v>
      </c>
      <c r="K93" s="236">
        <v>7181</v>
      </c>
      <c r="L93" s="236">
        <v>668</v>
      </c>
      <c r="M93" s="237">
        <v>4796908</v>
      </c>
    </row>
    <row r="94" spans="1:13" x14ac:dyDescent="0.35">
      <c r="A94" s="235">
        <v>93</v>
      </c>
      <c r="B94" s="243">
        <v>46010</v>
      </c>
      <c r="C94" s="243" t="str">
        <f t="shared" si="14"/>
        <v>Dec</v>
      </c>
      <c r="D94" s="236" t="s">
        <v>1146</v>
      </c>
      <c r="E94" s="236" t="s">
        <v>1097</v>
      </c>
      <c r="F94" s="236" t="s">
        <v>1017</v>
      </c>
      <c r="G94" s="236" t="s">
        <v>1026</v>
      </c>
      <c r="H94" s="236" t="s">
        <v>1078</v>
      </c>
      <c r="I94" s="236" t="s">
        <v>1079</v>
      </c>
      <c r="J94" s="236" t="s">
        <v>1044</v>
      </c>
      <c r="K94" s="236">
        <v>9034</v>
      </c>
      <c r="L94" s="236">
        <v>730</v>
      </c>
      <c r="M94" s="237">
        <v>6594820</v>
      </c>
    </row>
    <row r="95" spans="1:13" ht="12.5" customHeight="1" x14ac:dyDescent="0.35">
      <c r="A95" s="235">
        <v>94</v>
      </c>
      <c r="B95" s="243">
        <v>46035</v>
      </c>
      <c r="C95" s="243" t="str">
        <f t="shared" si="14"/>
        <v>Jan</v>
      </c>
      <c r="D95" s="236" t="s">
        <v>1147</v>
      </c>
      <c r="E95" s="236" t="s">
        <v>1097</v>
      </c>
      <c r="F95" s="236" t="s">
        <v>1017</v>
      </c>
      <c r="G95" s="236" t="s">
        <v>1030</v>
      </c>
      <c r="H95" s="236" t="s">
        <v>1081</v>
      </c>
      <c r="I95" s="236" t="s">
        <v>1082</v>
      </c>
      <c r="J95" s="236" t="s">
        <v>1044</v>
      </c>
      <c r="K95" s="236">
        <v>6005</v>
      </c>
      <c r="L95" s="236">
        <v>739</v>
      </c>
      <c r="M95" s="237">
        <v>4437695</v>
      </c>
    </row>
    <row r="96" spans="1:13" x14ac:dyDescent="0.35">
      <c r="A96" s="235">
        <v>95</v>
      </c>
      <c r="B96" s="243">
        <v>45963</v>
      </c>
      <c r="C96" s="243" t="str">
        <f t="shared" si="14"/>
        <v>Nov</v>
      </c>
      <c r="D96" s="236" t="s">
        <v>1147</v>
      </c>
      <c r="E96" s="236" t="s">
        <v>1097</v>
      </c>
      <c r="F96" s="236" t="s">
        <v>1017</v>
      </c>
      <c r="G96" s="236" t="s">
        <v>1023</v>
      </c>
      <c r="H96" s="236" t="s">
        <v>1083</v>
      </c>
      <c r="I96" s="236" t="s">
        <v>1025</v>
      </c>
      <c r="J96" s="236" t="s">
        <v>1044</v>
      </c>
      <c r="K96" s="236">
        <v>5261</v>
      </c>
      <c r="L96" s="236">
        <v>626</v>
      </c>
      <c r="M96" s="237">
        <v>3293386</v>
      </c>
    </row>
    <row r="97" spans="1:13" x14ac:dyDescent="0.35">
      <c r="A97" s="235">
        <v>96</v>
      </c>
      <c r="B97" s="243">
        <v>45774</v>
      </c>
      <c r="C97" s="243" t="str">
        <f t="shared" si="14"/>
        <v>Apr</v>
      </c>
      <c r="D97" s="236" t="s">
        <v>1147</v>
      </c>
      <c r="E97" s="236" t="s">
        <v>1097</v>
      </c>
      <c r="F97" s="236" t="s">
        <v>1017</v>
      </c>
      <c r="G97" s="236" t="s">
        <v>1018</v>
      </c>
      <c r="H97" s="236" t="s">
        <v>1084</v>
      </c>
      <c r="I97" s="236" t="s">
        <v>1085</v>
      </c>
      <c r="J97" s="236" t="s">
        <v>1044</v>
      </c>
      <c r="K97" s="236">
        <v>5989</v>
      </c>
      <c r="L97" s="236">
        <v>889</v>
      </c>
      <c r="M97" s="237">
        <v>5324221</v>
      </c>
    </row>
    <row r="98" spans="1:13" ht="12.5" customHeight="1" x14ac:dyDescent="0.35">
      <c r="A98" s="235">
        <v>97</v>
      </c>
      <c r="B98" s="243">
        <v>45972</v>
      </c>
      <c r="C98" s="243" t="str">
        <f t="shared" si="14"/>
        <v>Nov</v>
      </c>
      <c r="D98" s="236" t="s">
        <v>1147</v>
      </c>
      <c r="E98" s="236" t="s">
        <v>1097</v>
      </c>
      <c r="F98" s="236" t="s">
        <v>1017</v>
      </c>
      <c r="G98" s="236" t="s">
        <v>1018</v>
      </c>
      <c r="H98" s="236" t="s">
        <v>1086</v>
      </c>
      <c r="I98" s="236" t="s">
        <v>1087</v>
      </c>
      <c r="J98" s="236" t="s">
        <v>1044</v>
      </c>
      <c r="K98" s="236">
        <v>6350</v>
      </c>
      <c r="L98" s="236">
        <v>615</v>
      </c>
      <c r="M98" s="237">
        <v>3905250</v>
      </c>
    </row>
    <row r="99" spans="1:13" x14ac:dyDescent="0.35">
      <c r="A99" s="235">
        <v>98</v>
      </c>
      <c r="B99" s="243">
        <v>46047</v>
      </c>
      <c r="C99" s="243" t="str">
        <f t="shared" si="14"/>
        <v>Jan</v>
      </c>
      <c r="D99" s="236" t="s">
        <v>1148</v>
      </c>
      <c r="E99" s="236" t="s">
        <v>1097</v>
      </c>
      <c r="F99" s="236" t="s">
        <v>1017</v>
      </c>
      <c r="G99" s="236" t="s">
        <v>1088</v>
      </c>
      <c r="H99" s="236" t="s">
        <v>1089</v>
      </c>
      <c r="I99" s="236" t="s">
        <v>1090</v>
      </c>
      <c r="J99" s="236" t="s">
        <v>1044</v>
      </c>
      <c r="K99" s="236">
        <v>9014</v>
      </c>
      <c r="L99" s="236">
        <v>687</v>
      </c>
      <c r="M99" s="237">
        <v>6192618</v>
      </c>
    </row>
    <row r="100" spans="1:13" x14ac:dyDescent="0.35">
      <c r="A100" s="235">
        <v>99</v>
      </c>
      <c r="B100" s="243">
        <v>45938</v>
      </c>
      <c r="C100" s="243" t="str">
        <f t="shared" si="14"/>
        <v>Oct</v>
      </c>
      <c r="D100" s="236" t="s">
        <v>1149</v>
      </c>
      <c r="E100" s="236" t="s">
        <v>1104</v>
      </c>
      <c r="F100" s="236" t="s">
        <v>1034</v>
      </c>
      <c r="G100" s="236" t="s">
        <v>1018</v>
      </c>
      <c r="H100" s="236" t="s">
        <v>1091</v>
      </c>
      <c r="I100" s="236" t="s">
        <v>1092</v>
      </c>
      <c r="J100" s="236" t="s">
        <v>1044</v>
      </c>
      <c r="K100" s="236">
        <v>9418</v>
      </c>
      <c r="L100" s="236">
        <v>558</v>
      </c>
      <c r="M100" s="237">
        <v>5255244</v>
      </c>
    </row>
    <row r="101" spans="1:13" x14ac:dyDescent="0.35">
      <c r="A101" s="235">
        <v>100</v>
      </c>
      <c r="B101" s="243">
        <v>45923</v>
      </c>
      <c r="C101" s="243" t="str">
        <f t="shared" si="14"/>
        <v>Sep</v>
      </c>
      <c r="D101" s="236" t="s">
        <v>1150</v>
      </c>
      <c r="E101" s="236" t="s">
        <v>1104</v>
      </c>
      <c r="F101" s="236" t="s">
        <v>1034</v>
      </c>
      <c r="G101" s="236" t="s">
        <v>1054</v>
      </c>
      <c r="H101" s="236" t="s">
        <v>1093</v>
      </c>
      <c r="I101" s="236" t="s">
        <v>1094</v>
      </c>
      <c r="J101" s="236" t="s">
        <v>1044</v>
      </c>
      <c r="K101" s="236">
        <v>8665</v>
      </c>
      <c r="L101" s="236">
        <v>743</v>
      </c>
      <c r="M101" s="237">
        <v>6438095</v>
      </c>
    </row>
    <row r="102" spans="1:13" x14ac:dyDescent="0.35">
      <c r="A102" s="235">
        <v>101</v>
      </c>
      <c r="B102" s="243">
        <v>46002</v>
      </c>
      <c r="C102" s="243" t="str">
        <f t="shared" si="14"/>
        <v>Dec</v>
      </c>
      <c r="D102" s="236" t="s">
        <v>1151</v>
      </c>
      <c r="E102" s="236" t="s">
        <v>1104</v>
      </c>
      <c r="F102" s="236" t="s">
        <v>1034</v>
      </c>
      <c r="G102" s="236" t="s">
        <v>1026</v>
      </c>
      <c r="H102" s="236" t="s">
        <v>1095</v>
      </c>
      <c r="I102" s="236" t="s">
        <v>1028</v>
      </c>
      <c r="J102" s="236" t="s">
        <v>1044</v>
      </c>
      <c r="K102" s="236">
        <v>5344</v>
      </c>
      <c r="L102" s="236">
        <v>500</v>
      </c>
      <c r="M102" s="237">
        <v>2672000</v>
      </c>
    </row>
    <row r="103" spans="1:13" x14ac:dyDescent="0.35">
      <c r="A103" s="235">
        <v>102</v>
      </c>
      <c r="B103" s="243">
        <v>45981</v>
      </c>
      <c r="C103" s="243" t="str">
        <f t="shared" si="14"/>
        <v>Nov</v>
      </c>
      <c r="D103" s="236" t="s">
        <v>1152</v>
      </c>
      <c r="E103" s="236" t="s">
        <v>1104</v>
      </c>
      <c r="F103" s="236" t="s">
        <v>1034</v>
      </c>
      <c r="G103" s="236" t="s">
        <v>1026</v>
      </c>
      <c r="H103" s="236" t="s">
        <v>1027</v>
      </c>
      <c r="I103" s="236" t="s">
        <v>1028</v>
      </c>
      <c r="J103" s="236" t="s">
        <v>1044</v>
      </c>
      <c r="K103" s="236">
        <v>7204</v>
      </c>
      <c r="L103" s="236">
        <v>944</v>
      </c>
      <c r="M103" s="237">
        <v>6800576</v>
      </c>
    </row>
    <row r="104" spans="1:13" ht="12.5" customHeight="1" x14ac:dyDescent="0.35">
      <c r="A104" s="235">
        <v>103</v>
      </c>
      <c r="B104" s="243">
        <v>46019</v>
      </c>
      <c r="C104" s="243" t="str">
        <f t="shared" si="14"/>
        <v>Dec</v>
      </c>
      <c r="D104" s="236" t="s">
        <v>1153</v>
      </c>
      <c r="E104" s="236" t="s">
        <v>1104</v>
      </c>
      <c r="F104" s="236" t="s">
        <v>1034</v>
      </c>
      <c r="G104" s="236" t="s">
        <v>1026</v>
      </c>
      <c r="H104" s="236" t="s">
        <v>1099</v>
      </c>
      <c r="I104" s="236" t="s">
        <v>1079</v>
      </c>
      <c r="J104" s="236" t="s">
        <v>1044</v>
      </c>
      <c r="K104" s="236">
        <v>2162</v>
      </c>
      <c r="L104" s="236">
        <v>880</v>
      </c>
      <c r="M104" s="237">
        <v>1902560</v>
      </c>
    </row>
    <row r="105" spans="1:13" x14ac:dyDescent="0.35">
      <c r="A105" s="235">
        <v>104</v>
      </c>
      <c r="B105" s="243">
        <v>46053</v>
      </c>
      <c r="C105" s="243" t="str">
        <f t="shared" si="14"/>
        <v>Jan</v>
      </c>
      <c r="D105" s="236" t="s">
        <v>1154</v>
      </c>
      <c r="E105" s="236" t="s">
        <v>1104</v>
      </c>
      <c r="F105" s="236" t="s">
        <v>1034</v>
      </c>
      <c r="G105" s="236" t="s">
        <v>1026</v>
      </c>
      <c r="H105" s="236" t="s">
        <v>1100</v>
      </c>
      <c r="I105" s="236" t="s">
        <v>1028</v>
      </c>
      <c r="J105" s="236" t="s">
        <v>1044</v>
      </c>
      <c r="K105" s="236">
        <v>6223</v>
      </c>
      <c r="L105" s="236">
        <v>783</v>
      </c>
      <c r="M105" s="237">
        <v>4872609</v>
      </c>
    </row>
    <row r="106" spans="1:13" ht="12.5" customHeight="1" x14ac:dyDescent="0.35">
      <c r="A106" s="235">
        <v>105</v>
      </c>
      <c r="B106" s="243">
        <v>45821</v>
      </c>
      <c r="C106" s="243" t="str">
        <f t="shared" si="14"/>
        <v>Jun</v>
      </c>
      <c r="D106" s="236" t="s">
        <v>1155</v>
      </c>
      <c r="E106" s="236" t="s">
        <v>1104</v>
      </c>
      <c r="F106" s="236" t="s">
        <v>1034</v>
      </c>
      <c r="G106" s="236" t="s">
        <v>1030</v>
      </c>
      <c r="H106" s="236" t="s">
        <v>1101</v>
      </c>
      <c r="I106" s="236" t="s">
        <v>1036</v>
      </c>
      <c r="J106" s="236" t="s">
        <v>1044</v>
      </c>
      <c r="K106" s="236">
        <v>5481</v>
      </c>
      <c r="L106" s="236">
        <v>646</v>
      </c>
      <c r="M106" s="237">
        <v>3540726</v>
      </c>
    </row>
    <row r="107" spans="1:13" x14ac:dyDescent="0.35">
      <c r="A107" s="235">
        <v>106</v>
      </c>
      <c r="B107" s="243">
        <v>45807</v>
      </c>
      <c r="C107" s="243" t="str">
        <f t="shared" si="14"/>
        <v>May</v>
      </c>
      <c r="D107" s="236" t="s">
        <v>1155</v>
      </c>
      <c r="E107" s="236" t="s">
        <v>1104</v>
      </c>
      <c r="F107" s="236" t="s">
        <v>1034</v>
      </c>
      <c r="G107" s="236" t="s">
        <v>1018</v>
      </c>
      <c r="H107" s="236" t="s">
        <v>1019</v>
      </c>
      <c r="I107" s="236" t="s">
        <v>1019</v>
      </c>
      <c r="J107" s="236" t="s">
        <v>1020</v>
      </c>
      <c r="K107" s="236">
        <v>7362</v>
      </c>
      <c r="L107" s="236">
        <v>848</v>
      </c>
      <c r="M107" s="237">
        <v>6242976</v>
      </c>
    </row>
    <row r="108" spans="1:13" x14ac:dyDescent="0.35">
      <c r="A108" s="235">
        <v>107</v>
      </c>
      <c r="B108" s="243">
        <v>45839</v>
      </c>
      <c r="C108" s="243" t="str">
        <f t="shared" si="14"/>
        <v>Jul</v>
      </c>
      <c r="D108" s="236" t="s">
        <v>1155</v>
      </c>
      <c r="E108" s="236" t="s">
        <v>1104</v>
      </c>
      <c r="F108" s="236" t="s">
        <v>1034</v>
      </c>
      <c r="G108" s="236" t="s">
        <v>1023</v>
      </c>
      <c r="H108" s="236" t="s">
        <v>1024</v>
      </c>
      <c r="I108" s="236" t="s">
        <v>1025</v>
      </c>
      <c r="J108" s="236" t="s">
        <v>1020</v>
      </c>
      <c r="K108" s="236">
        <v>6176</v>
      </c>
      <c r="L108" s="236">
        <v>639</v>
      </c>
      <c r="M108" s="237">
        <v>3946464</v>
      </c>
    </row>
    <row r="109" spans="1:13" x14ac:dyDescent="0.35">
      <c r="A109" s="235">
        <v>108</v>
      </c>
      <c r="B109" s="243">
        <v>45763</v>
      </c>
      <c r="C109" s="243" t="str">
        <f t="shared" si="14"/>
        <v>Apr</v>
      </c>
      <c r="D109" s="236" t="s">
        <v>1156</v>
      </c>
      <c r="E109" s="236" t="s">
        <v>1104</v>
      </c>
      <c r="F109" s="236" t="s">
        <v>1034</v>
      </c>
      <c r="G109" s="236" t="s">
        <v>1026</v>
      </c>
      <c r="H109" s="236" t="s">
        <v>1027</v>
      </c>
      <c r="I109" s="236" t="s">
        <v>1028</v>
      </c>
      <c r="J109" s="236" t="s">
        <v>1020</v>
      </c>
      <c r="K109" s="236">
        <v>6492</v>
      </c>
      <c r="L109" s="236">
        <v>714</v>
      </c>
      <c r="M109" s="237">
        <v>4635288</v>
      </c>
    </row>
    <row r="110" spans="1:13" x14ac:dyDescent="0.35">
      <c r="A110" s="235">
        <v>109</v>
      </c>
      <c r="B110" s="243">
        <v>45889</v>
      </c>
      <c r="C110" s="243" t="str">
        <f t="shared" si="14"/>
        <v>Aug</v>
      </c>
      <c r="D110" s="236" t="s">
        <v>1157</v>
      </c>
      <c r="E110" s="236" t="s">
        <v>1104</v>
      </c>
      <c r="F110" s="236" t="s">
        <v>1034</v>
      </c>
      <c r="G110" s="236" t="s">
        <v>1030</v>
      </c>
      <c r="H110" s="236" t="s">
        <v>1031</v>
      </c>
      <c r="I110" s="236" t="s">
        <v>1032</v>
      </c>
      <c r="J110" s="236" t="s">
        <v>1020</v>
      </c>
      <c r="K110" s="236">
        <v>5268</v>
      </c>
      <c r="L110" s="236">
        <v>992</v>
      </c>
      <c r="M110" s="237">
        <v>5225856</v>
      </c>
    </row>
    <row r="111" spans="1:13" x14ac:dyDescent="0.35">
      <c r="A111" s="235">
        <v>110</v>
      </c>
      <c r="B111" s="243">
        <v>45976</v>
      </c>
      <c r="C111" s="243" t="str">
        <f t="shared" si="14"/>
        <v>Nov</v>
      </c>
      <c r="D111" s="236" t="s">
        <v>1158</v>
      </c>
      <c r="E111" s="236" t="s">
        <v>1108</v>
      </c>
      <c r="F111" s="236" t="s">
        <v>1034</v>
      </c>
      <c r="G111" s="236" t="s">
        <v>1030</v>
      </c>
      <c r="H111" s="236" t="s">
        <v>1037</v>
      </c>
      <c r="I111" s="236" t="s">
        <v>1038</v>
      </c>
      <c r="J111" s="236" t="s">
        <v>1044</v>
      </c>
      <c r="K111" s="236">
        <v>3530</v>
      </c>
      <c r="L111" s="236">
        <v>693</v>
      </c>
      <c r="M111" s="237">
        <v>2446290</v>
      </c>
    </row>
    <row r="112" spans="1:13" x14ac:dyDescent="0.35">
      <c r="A112" s="235">
        <v>111</v>
      </c>
      <c r="B112" s="243">
        <v>46013</v>
      </c>
      <c r="C112" s="243" t="str">
        <f t="shared" si="14"/>
        <v>Dec</v>
      </c>
      <c r="D112" s="236" t="s">
        <v>1158</v>
      </c>
      <c r="E112" s="236" t="s">
        <v>1108</v>
      </c>
      <c r="F112" s="236" t="s">
        <v>1034</v>
      </c>
      <c r="G112" s="236" t="s">
        <v>1023</v>
      </c>
      <c r="H112" s="236" t="s">
        <v>1039</v>
      </c>
      <c r="I112" s="236" t="s">
        <v>1040</v>
      </c>
      <c r="J112" s="236" t="s">
        <v>1044</v>
      </c>
      <c r="K112" s="236">
        <v>6376</v>
      </c>
      <c r="L112" s="236">
        <v>909</v>
      </c>
      <c r="M112" s="237">
        <v>5795784</v>
      </c>
    </row>
    <row r="113" spans="1:13" x14ac:dyDescent="0.35">
      <c r="A113" s="235">
        <v>112</v>
      </c>
      <c r="B113" s="243">
        <v>45760</v>
      </c>
      <c r="C113" s="243" t="str">
        <f t="shared" si="14"/>
        <v>Apr</v>
      </c>
      <c r="D113" s="236" t="s">
        <v>1080</v>
      </c>
      <c r="E113" s="236" t="s">
        <v>1134</v>
      </c>
      <c r="F113" s="236" t="s">
        <v>1119</v>
      </c>
      <c r="G113" s="236" t="s">
        <v>1023</v>
      </c>
      <c r="H113" s="236" t="s">
        <v>1041</v>
      </c>
      <c r="I113" s="236" t="s">
        <v>1025</v>
      </c>
      <c r="J113" s="236" t="s">
        <v>1044</v>
      </c>
      <c r="K113" s="236">
        <v>5087</v>
      </c>
      <c r="L113" s="236">
        <v>555</v>
      </c>
      <c r="M113" s="237">
        <v>2823285</v>
      </c>
    </row>
    <row r="114" spans="1:13" ht="12.5" customHeight="1" x14ac:dyDescent="0.35">
      <c r="A114" s="235">
        <v>113</v>
      </c>
      <c r="B114" s="243">
        <v>45878</v>
      </c>
      <c r="C114" s="243" t="str">
        <f t="shared" si="14"/>
        <v>Aug</v>
      </c>
      <c r="D114" s="236" t="s">
        <v>1158</v>
      </c>
      <c r="E114" s="236" t="s">
        <v>1134</v>
      </c>
      <c r="F114" s="236" t="s">
        <v>1119</v>
      </c>
      <c r="G114" s="236" t="s">
        <v>1018</v>
      </c>
      <c r="H114" s="236" t="s">
        <v>1042</v>
      </c>
      <c r="I114" s="236" t="s">
        <v>1043</v>
      </c>
      <c r="J114" s="236" t="s">
        <v>1044</v>
      </c>
      <c r="K114" s="236">
        <v>8044</v>
      </c>
      <c r="L114" s="236">
        <v>681</v>
      </c>
      <c r="M114" s="237">
        <v>5477964</v>
      </c>
    </row>
    <row r="115" spans="1:13" x14ac:dyDescent="0.35">
      <c r="A115" s="235">
        <v>114</v>
      </c>
      <c r="B115" s="243">
        <v>45824</v>
      </c>
      <c r="C115" s="243" t="str">
        <f t="shared" si="14"/>
        <v>Jun</v>
      </c>
      <c r="D115" s="236" t="s">
        <v>1158</v>
      </c>
      <c r="E115" s="236" t="s">
        <v>1134</v>
      </c>
      <c r="F115" s="236" t="s">
        <v>1119</v>
      </c>
      <c r="G115" s="236" t="s">
        <v>1023</v>
      </c>
      <c r="H115" s="236" t="s">
        <v>1046</v>
      </c>
      <c r="I115" s="236" t="s">
        <v>1040</v>
      </c>
      <c r="J115" s="236" t="s">
        <v>1044</v>
      </c>
      <c r="K115" s="236">
        <v>4427</v>
      </c>
      <c r="L115" s="236">
        <v>818</v>
      </c>
      <c r="M115" s="237">
        <v>3621286</v>
      </c>
    </row>
    <row r="116" spans="1:13" x14ac:dyDescent="0.35">
      <c r="A116" s="235">
        <v>115</v>
      </c>
      <c r="B116" s="243">
        <v>46070</v>
      </c>
      <c r="C116" s="243" t="str">
        <f t="shared" si="14"/>
        <v>Feb</v>
      </c>
      <c r="D116" s="236" t="s">
        <v>1159</v>
      </c>
      <c r="E116" s="236" t="s">
        <v>1134</v>
      </c>
      <c r="F116" s="236" t="s">
        <v>1119</v>
      </c>
      <c r="G116" s="236" t="s">
        <v>1018</v>
      </c>
      <c r="H116" s="236" t="s">
        <v>1047</v>
      </c>
      <c r="I116" s="236" t="s">
        <v>1048</v>
      </c>
      <c r="J116" s="236" t="s">
        <v>1044</v>
      </c>
      <c r="K116" s="236">
        <v>5689</v>
      </c>
      <c r="L116" s="236">
        <v>827</v>
      </c>
      <c r="M116" s="237">
        <v>4704803</v>
      </c>
    </row>
    <row r="117" spans="1:13" ht="12.5" customHeight="1" x14ac:dyDescent="0.35">
      <c r="A117" s="235">
        <v>116</v>
      </c>
      <c r="B117" s="243">
        <v>45967</v>
      </c>
      <c r="C117" s="243" t="str">
        <f t="shared" si="14"/>
        <v>Nov</v>
      </c>
      <c r="D117" s="236" t="s">
        <v>1160</v>
      </c>
      <c r="E117" s="236" t="s">
        <v>1134</v>
      </c>
      <c r="F117" s="236" t="s">
        <v>1119</v>
      </c>
      <c r="G117" s="236" t="s">
        <v>1018</v>
      </c>
      <c r="H117" s="236" t="s">
        <v>1050</v>
      </c>
      <c r="I117" s="236" t="s">
        <v>1048</v>
      </c>
      <c r="J117" s="236" t="s">
        <v>1044</v>
      </c>
      <c r="K117" s="236">
        <v>2431</v>
      </c>
      <c r="L117" s="236">
        <v>556</v>
      </c>
      <c r="M117" s="237">
        <v>1351636</v>
      </c>
    </row>
    <row r="118" spans="1:13" x14ac:dyDescent="0.35">
      <c r="A118" s="235">
        <v>117</v>
      </c>
      <c r="B118" s="243">
        <v>45841</v>
      </c>
      <c r="C118" s="243" t="str">
        <f t="shared" si="14"/>
        <v>Jul</v>
      </c>
      <c r="D118" s="236" t="s">
        <v>1080</v>
      </c>
      <c r="E118" s="236" t="s">
        <v>1134</v>
      </c>
      <c r="F118" s="236" t="s">
        <v>1119</v>
      </c>
      <c r="G118" s="236" t="s">
        <v>1023</v>
      </c>
      <c r="H118" s="236" t="s">
        <v>1052</v>
      </c>
      <c r="I118" s="236" t="s">
        <v>1025</v>
      </c>
      <c r="J118" s="236" t="s">
        <v>1020</v>
      </c>
      <c r="K118" s="236">
        <v>1567</v>
      </c>
      <c r="L118" s="236">
        <v>781</v>
      </c>
      <c r="M118" s="237">
        <v>1223827</v>
      </c>
    </row>
    <row r="119" spans="1:13" x14ac:dyDescent="0.35">
      <c r="A119" s="235">
        <v>118</v>
      </c>
      <c r="B119" s="243">
        <v>45970</v>
      </c>
      <c r="C119" s="243" t="str">
        <f t="shared" si="14"/>
        <v>Nov</v>
      </c>
      <c r="D119" s="236" t="s">
        <v>1080</v>
      </c>
      <c r="E119" s="236" t="s">
        <v>1134</v>
      </c>
      <c r="F119" s="236" t="s">
        <v>1119</v>
      </c>
      <c r="G119" s="236" t="s">
        <v>1054</v>
      </c>
      <c r="H119" s="236" t="s">
        <v>1055</v>
      </c>
      <c r="I119" s="236" t="s">
        <v>1056</v>
      </c>
      <c r="J119" s="236" t="s">
        <v>1020</v>
      </c>
      <c r="K119" s="236">
        <v>4760</v>
      </c>
      <c r="L119" s="236">
        <v>578</v>
      </c>
      <c r="M119" s="237">
        <v>2751280</v>
      </c>
    </row>
    <row r="120" spans="1:13" x14ac:dyDescent="0.35">
      <c r="A120" s="235">
        <v>119</v>
      </c>
      <c r="B120" s="243">
        <v>46005</v>
      </c>
      <c r="C120" s="243" t="str">
        <f t="shared" si="14"/>
        <v>Dec</v>
      </c>
      <c r="D120" s="236" t="s">
        <v>1080</v>
      </c>
      <c r="E120" s="236" t="s">
        <v>1097</v>
      </c>
      <c r="F120" s="236" t="s">
        <v>1017</v>
      </c>
      <c r="G120" s="236" t="s">
        <v>1023</v>
      </c>
      <c r="H120" s="236" t="s">
        <v>1058</v>
      </c>
      <c r="I120" s="236" t="s">
        <v>1025</v>
      </c>
      <c r="J120" s="236" t="s">
        <v>1020</v>
      </c>
      <c r="K120" s="236">
        <v>2605</v>
      </c>
      <c r="L120" s="236">
        <v>737</v>
      </c>
      <c r="M120" s="237">
        <v>1919885</v>
      </c>
    </row>
    <row r="121" spans="1:13" ht="12.5" customHeight="1" x14ac:dyDescent="0.35">
      <c r="A121" s="235">
        <v>120</v>
      </c>
      <c r="B121" s="243">
        <v>46053</v>
      </c>
      <c r="C121" s="243" t="str">
        <f t="shared" si="14"/>
        <v>Jan</v>
      </c>
      <c r="D121" s="236" t="s">
        <v>1162</v>
      </c>
      <c r="E121" s="236" t="s">
        <v>1097</v>
      </c>
      <c r="F121" s="236" t="s">
        <v>1017</v>
      </c>
      <c r="G121" s="236" t="s">
        <v>1059</v>
      </c>
      <c r="H121" s="236" t="s">
        <v>1060</v>
      </c>
      <c r="I121" s="236" t="s">
        <v>1060</v>
      </c>
      <c r="J121" s="236" t="s">
        <v>1020</v>
      </c>
      <c r="K121" s="236">
        <v>8431</v>
      </c>
      <c r="L121" s="236">
        <v>507</v>
      </c>
      <c r="M121" s="237">
        <v>4274517</v>
      </c>
    </row>
    <row r="122" spans="1:13" x14ac:dyDescent="0.35">
      <c r="A122" s="235">
        <v>121</v>
      </c>
      <c r="B122" s="243">
        <v>45991</v>
      </c>
      <c r="C122" s="243" t="str">
        <f t="shared" si="14"/>
        <v>Nov</v>
      </c>
      <c r="D122" s="236" t="s">
        <v>1161</v>
      </c>
      <c r="E122" s="236" t="s">
        <v>1097</v>
      </c>
      <c r="F122" s="236" t="s">
        <v>1017</v>
      </c>
      <c r="G122" s="236" t="s">
        <v>1054</v>
      </c>
      <c r="H122" s="236" t="s">
        <v>1061</v>
      </c>
      <c r="I122" s="236" t="s">
        <v>1056</v>
      </c>
      <c r="J122" s="236" t="s">
        <v>1044</v>
      </c>
      <c r="K122" s="236">
        <v>5487</v>
      </c>
      <c r="L122" s="236">
        <v>879</v>
      </c>
      <c r="M122" s="237">
        <v>4823073</v>
      </c>
    </row>
    <row r="123" spans="1:13" x14ac:dyDescent="0.35">
      <c r="A123" s="235">
        <v>122</v>
      </c>
      <c r="B123" s="243">
        <v>46065</v>
      </c>
      <c r="C123" s="243" t="str">
        <f t="shared" si="14"/>
        <v>Feb</v>
      </c>
      <c r="D123" s="236" t="s">
        <v>1163</v>
      </c>
      <c r="E123" s="236" t="s">
        <v>1097</v>
      </c>
      <c r="F123" s="236" t="s">
        <v>1017</v>
      </c>
      <c r="G123" s="236" t="s">
        <v>1030</v>
      </c>
      <c r="H123" s="236" t="s">
        <v>1063</v>
      </c>
      <c r="I123" s="236" t="s">
        <v>1064</v>
      </c>
      <c r="J123" s="236" t="s">
        <v>1020</v>
      </c>
      <c r="K123" s="236">
        <v>3782</v>
      </c>
      <c r="L123" s="236">
        <v>528</v>
      </c>
      <c r="M123" s="237">
        <v>1996896</v>
      </c>
    </row>
    <row r="124" spans="1:13" x14ac:dyDescent="0.35">
      <c r="A124" s="235">
        <v>123</v>
      </c>
      <c r="B124" s="243">
        <v>45981</v>
      </c>
      <c r="C124" s="243" t="str">
        <f t="shared" si="14"/>
        <v>Nov</v>
      </c>
      <c r="D124" s="236" t="s">
        <v>1164</v>
      </c>
      <c r="E124" s="236" t="s">
        <v>1097</v>
      </c>
      <c r="F124" s="236" t="s">
        <v>1017</v>
      </c>
      <c r="G124" s="236" t="s">
        <v>1026</v>
      </c>
      <c r="H124" s="236" t="s">
        <v>1066</v>
      </c>
      <c r="I124" s="236" t="s">
        <v>1067</v>
      </c>
      <c r="J124" s="236" t="s">
        <v>1020</v>
      </c>
      <c r="K124" s="236">
        <v>2743</v>
      </c>
      <c r="L124" s="236">
        <v>575</v>
      </c>
      <c r="M124" s="237">
        <v>1577225</v>
      </c>
    </row>
    <row r="125" spans="1:13" ht="12.5" customHeight="1" x14ac:dyDescent="0.35">
      <c r="A125" s="235">
        <v>124</v>
      </c>
      <c r="B125" s="243">
        <v>46029</v>
      </c>
      <c r="C125" s="243" t="str">
        <f t="shared" si="14"/>
        <v>Jan</v>
      </c>
      <c r="D125" s="236" t="s">
        <v>1165</v>
      </c>
      <c r="E125" s="236" t="s">
        <v>1097</v>
      </c>
      <c r="F125" s="236" t="s">
        <v>1017</v>
      </c>
      <c r="G125" s="236" t="s">
        <v>1018</v>
      </c>
      <c r="H125" s="236" t="s">
        <v>1071</v>
      </c>
      <c r="I125" s="236" t="s">
        <v>1048</v>
      </c>
      <c r="J125" s="236" t="s">
        <v>1044</v>
      </c>
      <c r="K125" s="236">
        <v>3400</v>
      </c>
      <c r="L125" s="236">
        <v>948</v>
      </c>
      <c r="M125" s="237">
        <v>3223200</v>
      </c>
    </row>
    <row r="126" spans="1:13" x14ac:dyDescent="0.35">
      <c r="A126" s="235">
        <v>125</v>
      </c>
      <c r="B126" s="243">
        <v>45935</v>
      </c>
      <c r="C126" s="243" t="str">
        <f t="shared" si="14"/>
        <v>Oct</v>
      </c>
      <c r="D126" s="236" t="s">
        <v>1166</v>
      </c>
      <c r="E126" s="236" t="s">
        <v>1097</v>
      </c>
      <c r="F126" s="236" t="s">
        <v>1017</v>
      </c>
      <c r="G126" s="236" t="s">
        <v>1030</v>
      </c>
      <c r="H126" s="236" t="s">
        <v>1073</v>
      </c>
      <c r="I126" s="236" t="s">
        <v>1032</v>
      </c>
      <c r="J126" s="236" t="s">
        <v>1044</v>
      </c>
      <c r="K126" s="236">
        <v>4945</v>
      </c>
      <c r="L126" s="236">
        <v>938</v>
      </c>
      <c r="M126" s="237">
        <v>4638410</v>
      </c>
    </row>
    <row r="127" spans="1:13" x14ac:dyDescent="0.35">
      <c r="A127" s="235">
        <v>126</v>
      </c>
      <c r="B127" s="243">
        <v>46069</v>
      </c>
      <c r="C127" s="243" t="str">
        <f t="shared" si="14"/>
        <v>Feb</v>
      </c>
      <c r="D127" s="236" t="s">
        <v>1166</v>
      </c>
      <c r="E127" s="236" t="s">
        <v>1097</v>
      </c>
      <c r="F127" s="236" t="s">
        <v>1017</v>
      </c>
      <c r="G127" s="236" t="s">
        <v>1018</v>
      </c>
      <c r="H127" s="236" t="s">
        <v>1075</v>
      </c>
      <c r="I127" s="236" t="s">
        <v>1043</v>
      </c>
      <c r="J127" s="236" t="s">
        <v>1044</v>
      </c>
      <c r="K127" s="236">
        <v>5530</v>
      </c>
      <c r="L127" s="236">
        <v>777</v>
      </c>
      <c r="M127" s="237">
        <v>4296810</v>
      </c>
    </row>
    <row r="128" spans="1:13" x14ac:dyDescent="0.35">
      <c r="A128" s="235">
        <v>127</v>
      </c>
      <c r="B128" s="243">
        <v>46053</v>
      </c>
      <c r="C128" s="243" t="str">
        <f t="shared" si="14"/>
        <v>Jan</v>
      </c>
      <c r="D128" s="236" t="s">
        <v>1080</v>
      </c>
      <c r="E128" s="236" t="s">
        <v>1104</v>
      </c>
      <c r="F128" s="236" t="s">
        <v>1034</v>
      </c>
      <c r="G128" s="236" t="s">
        <v>1018</v>
      </c>
      <c r="H128" s="236" t="s">
        <v>1077</v>
      </c>
      <c r="I128" s="236" t="s">
        <v>1048</v>
      </c>
      <c r="J128" s="236" t="s">
        <v>1044</v>
      </c>
      <c r="K128" s="236">
        <v>4862</v>
      </c>
      <c r="L128" s="236">
        <v>954</v>
      </c>
      <c r="M128" s="237">
        <v>4638348</v>
      </c>
    </row>
    <row r="129" spans="1:13" x14ac:dyDescent="0.35">
      <c r="A129" s="235">
        <v>128</v>
      </c>
      <c r="B129" s="243">
        <v>45838</v>
      </c>
      <c r="C129" s="243" t="str">
        <f t="shared" si="14"/>
        <v>Jun</v>
      </c>
      <c r="D129" s="236" t="s">
        <v>1080</v>
      </c>
      <c r="E129" s="236" t="s">
        <v>1104</v>
      </c>
      <c r="F129" s="236" t="s">
        <v>1034</v>
      </c>
      <c r="G129" s="236" t="s">
        <v>1026</v>
      </c>
      <c r="H129" s="236" t="s">
        <v>1078</v>
      </c>
      <c r="I129" s="236" t="s">
        <v>1079</v>
      </c>
      <c r="J129" s="236" t="s">
        <v>1044</v>
      </c>
      <c r="K129" s="236">
        <v>9354</v>
      </c>
      <c r="L129" s="236">
        <v>899</v>
      </c>
      <c r="M129" s="237">
        <v>8409246</v>
      </c>
    </row>
    <row r="130" spans="1:13" ht="12.5" customHeight="1" x14ac:dyDescent="0.35">
      <c r="A130" s="235">
        <v>129</v>
      </c>
      <c r="B130" s="243">
        <v>45867</v>
      </c>
      <c r="C130" s="243" t="str">
        <f t="shared" si="14"/>
        <v>Jul</v>
      </c>
      <c r="D130" s="236" t="s">
        <v>1080</v>
      </c>
      <c r="E130" s="236" t="s">
        <v>1104</v>
      </c>
      <c r="F130" s="236" t="s">
        <v>1034</v>
      </c>
      <c r="G130" s="236" t="s">
        <v>1030</v>
      </c>
      <c r="H130" s="236" t="s">
        <v>1081</v>
      </c>
      <c r="I130" s="236" t="s">
        <v>1082</v>
      </c>
      <c r="J130" s="236" t="s">
        <v>1044</v>
      </c>
      <c r="K130" s="236">
        <v>4121</v>
      </c>
      <c r="L130" s="236">
        <v>904</v>
      </c>
      <c r="M130" s="237">
        <v>3725384</v>
      </c>
    </row>
    <row r="131" spans="1:13" x14ac:dyDescent="0.35">
      <c r="A131" s="235">
        <v>130</v>
      </c>
      <c r="B131" s="243">
        <v>45911</v>
      </c>
      <c r="C131" s="243" t="str">
        <f t="shared" ref="C131:C194" si="18">TEXT(B131,"mmm")</f>
        <v>Sep</v>
      </c>
      <c r="D131" s="236" t="s">
        <v>1167</v>
      </c>
      <c r="E131" s="236" t="s">
        <v>1104</v>
      </c>
      <c r="F131" s="236" t="s">
        <v>1034</v>
      </c>
      <c r="G131" s="236" t="s">
        <v>1023</v>
      </c>
      <c r="H131" s="236" t="s">
        <v>1083</v>
      </c>
      <c r="I131" s="236" t="s">
        <v>1025</v>
      </c>
      <c r="J131" s="236" t="s">
        <v>1044</v>
      </c>
      <c r="K131" s="236">
        <v>9914</v>
      </c>
      <c r="L131" s="236">
        <v>615</v>
      </c>
      <c r="M131" s="237">
        <v>6097110</v>
      </c>
    </row>
    <row r="132" spans="1:13" x14ac:dyDescent="0.35">
      <c r="A132" s="235">
        <v>131</v>
      </c>
      <c r="B132" s="243">
        <v>45841</v>
      </c>
      <c r="C132" s="243" t="str">
        <f t="shared" si="18"/>
        <v>Jul</v>
      </c>
      <c r="D132" s="236" t="s">
        <v>1168</v>
      </c>
      <c r="E132" s="236" t="s">
        <v>1104</v>
      </c>
      <c r="F132" s="236" t="s">
        <v>1034</v>
      </c>
      <c r="G132" s="236" t="s">
        <v>1018</v>
      </c>
      <c r="H132" s="236" t="s">
        <v>1084</v>
      </c>
      <c r="I132" s="236" t="s">
        <v>1085</v>
      </c>
      <c r="J132" s="236" t="s">
        <v>1044</v>
      </c>
      <c r="K132" s="236">
        <v>2904</v>
      </c>
      <c r="L132" s="236">
        <v>997</v>
      </c>
      <c r="M132" s="237">
        <v>2895288</v>
      </c>
    </row>
    <row r="133" spans="1:13" x14ac:dyDescent="0.35">
      <c r="A133" s="235">
        <v>132</v>
      </c>
      <c r="B133" s="243">
        <v>46015</v>
      </c>
      <c r="C133" s="243" t="str">
        <f t="shared" si="18"/>
        <v>Dec</v>
      </c>
      <c r="D133" s="236" t="s">
        <v>1169</v>
      </c>
      <c r="E133" s="236" t="s">
        <v>1104</v>
      </c>
      <c r="F133" s="236" t="s">
        <v>1034</v>
      </c>
      <c r="G133" s="236" t="s">
        <v>1018</v>
      </c>
      <c r="H133" s="236" t="s">
        <v>1086</v>
      </c>
      <c r="I133" s="236" t="s">
        <v>1087</v>
      </c>
      <c r="J133" s="236" t="s">
        <v>1044</v>
      </c>
      <c r="K133" s="236">
        <v>9981</v>
      </c>
      <c r="L133" s="236">
        <v>833</v>
      </c>
      <c r="M133" s="237">
        <v>8314173</v>
      </c>
    </row>
    <row r="134" spans="1:13" x14ac:dyDescent="0.35">
      <c r="A134" s="235">
        <v>133</v>
      </c>
      <c r="B134" s="243">
        <v>45888</v>
      </c>
      <c r="C134" s="243" t="str">
        <f t="shared" si="18"/>
        <v>Aug</v>
      </c>
      <c r="D134" s="236" t="s">
        <v>1080</v>
      </c>
      <c r="E134" s="236" t="s">
        <v>1104</v>
      </c>
      <c r="F134" s="236" t="s">
        <v>1034</v>
      </c>
      <c r="G134" s="236" t="s">
        <v>1088</v>
      </c>
      <c r="H134" s="236" t="s">
        <v>1089</v>
      </c>
      <c r="I134" s="236" t="s">
        <v>1090</v>
      </c>
      <c r="J134" s="236" t="s">
        <v>1020</v>
      </c>
      <c r="K134" s="236">
        <v>3876</v>
      </c>
      <c r="L134" s="236">
        <v>861</v>
      </c>
      <c r="M134" s="237">
        <v>3337236</v>
      </c>
    </row>
    <row r="135" spans="1:13" x14ac:dyDescent="0.35">
      <c r="A135" s="235">
        <v>134</v>
      </c>
      <c r="B135" s="243">
        <v>45905</v>
      </c>
      <c r="C135" s="243" t="str">
        <f t="shared" si="18"/>
        <v>Sep</v>
      </c>
      <c r="D135" s="236" t="s">
        <v>1080</v>
      </c>
      <c r="E135" s="236" t="s">
        <v>1104</v>
      </c>
      <c r="F135" s="236" t="s">
        <v>1034</v>
      </c>
      <c r="G135" s="236" t="s">
        <v>1018</v>
      </c>
      <c r="H135" s="236" t="s">
        <v>1091</v>
      </c>
      <c r="I135" s="236" t="s">
        <v>1092</v>
      </c>
      <c r="J135" s="236" t="s">
        <v>1020</v>
      </c>
      <c r="K135" s="236">
        <v>8887</v>
      </c>
      <c r="L135" s="236">
        <v>717</v>
      </c>
      <c r="M135" s="237">
        <v>6371979</v>
      </c>
    </row>
    <row r="136" spans="1:13" x14ac:dyDescent="0.35">
      <c r="A136" s="235">
        <v>135</v>
      </c>
      <c r="B136" s="243">
        <v>45997</v>
      </c>
      <c r="C136" s="243" t="str">
        <f t="shared" si="18"/>
        <v>Dec</v>
      </c>
      <c r="D136" s="236" t="s">
        <v>1080</v>
      </c>
      <c r="E136" s="236" t="s">
        <v>1104</v>
      </c>
      <c r="F136" s="236" t="s">
        <v>1034</v>
      </c>
      <c r="G136" s="236" t="s">
        <v>1054</v>
      </c>
      <c r="H136" s="236" t="s">
        <v>1093</v>
      </c>
      <c r="I136" s="236" t="s">
        <v>1094</v>
      </c>
      <c r="J136" s="236" t="s">
        <v>1020</v>
      </c>
      <c r="K136" s="236">
        <v>3673</v>
      </c>
      <c r="L136" s="236">
        <v>619</v>
      </c>
      <c r="M136" s="237">
        <v>2273587</v>
      </c>
    </row>
    <row r="137" spans="1:13" x14ac:dyDescent="0.35">
      <c r="A137" s="235">
        <v>136</v>
      </c>
      <c r="B137" s="243">
        <v>45944</v>
      </c>
      <c r="C137" s="243" t="str">
        <f t="shared" si="18"/>
        <v>Oct</v>
      </c>
      <c r="D137" s="236" t="s">
        <v>1080</v>
      </c>
      <c r="E137" s="236" t="s">
        <v>1108</v>
      </c>
      <c r="F137" s="236" t="s">
        <v>1034</v>
      </c>
      <c r="G137" s="236" t="s">
        <v>1026</v>
      </c>
      <c r="H137" s="236" t="s">
        <v>1095</v>
      </c>
      <c r="I137" s="236" t="s">
        <v>1028</v>
      </c>
      <c r="J137" s="236" t="s">
        <v>1020</v>
      </c>
      <c r="K137" s="236">
        <v>7588</v>
      </c>
      <c r="L137" s="236">
        <v>607</v>
      </c>
      <c r="M137" s="237">
        <v>4605916</v>
      </c>
    </row>
    <row r="138" spans="1:13" x14ac:dyDescent="0.35">
      <c r="A138" s="235">
        <v>137</v>
      </c>
      <c r="B138" s="243">
        <v>45997</v>
      </c>
      <c r="C138" s="243" t="str">
        <f t="shared" si="18"/>
        <v>Dec</v>
      </c>
      <c r="D138" s="236" t="s">
        <v>1080</v>
      </c>
      <c r="E138" s="236" t="s">
        <v>1108</v>
      </c>
      <c r="F138" s="236" t="s">
        <v>1034</v>
      </c>
      <c r="G138" s="236" t="s">
        <v>1026</v>
      </c>
      <c r="H138" s="236" t="s">
        <v>1027</v>
      </c>
      <c r="I138" s="236" t="s">
        <v>1028</v>
      </c>
      <c r="J138" s="236" t="s">
        <v>1020</v>
      </c>
      <c r="K138" s="236">
        <v>5137</v>
      </c>
      <c r="L138" s="236">
        <v>690</v>
      </c>
      <c r="M138" s="237">
        <v>3544530</v>
      </c>
    </row>
    <row r="139" spans="1:13" x14ac:dyDescent="0.35">
      <c r="A139" s="235">
        <v>138</v>
      </c>
      <c r="B139" s="243">
        <v>46047</v>
      </c>
      <c r="C139" s="243" t="str">
        <f t="shared" si="18"/>
        <v>Jan</v>
      </c>
      <c r="D139" s="236" t="s">
        <v>1080</v>
      </c>
      <c r="E139" s="236" t="s">
        <v>1108</v>
      </c>
      <c r="F139" s="236" t="s">
        <v>1034</v>
      </c>
      <c r="G139" s="236" t="s">
        <v>1054</v>
      </c>
      <c r="H139" s="236" t="s">
        <v>1098</v>
      </c>
      <c r="I139" s="236" t="s">
        <v>1056</v>
      </c>
      <c r="J139" s="236" t="s">
        <v>1044</v>
      </c>
      <c r="K139" s="236">
        <v>5813</v>
      </c>
      <c r="L139" s="236">
        <v>673</v>
      </c>
      <c r="M139" s="237">
        <v>3912149</v>
      </c>
    </row>
    <row r="140" spans="1:13" ht="12.5" customHeight="1" x14ac:dyDescent="0.35">
      <c r="A140" s="235">
        <v>139</v>
      </c>
      <c r="B140" s="243">
        <v>45913</v>
      </c>
      <c r="C140" s="243" t="str">
        <f t="shared" si="18"/>
        <v>Sep</v>
      </c>
      <c r="D140" s="236" t="s">
        <v>1080</v>
      </c>
      <c r="E140" s="236" t="s">
        <v>1108</v>
      </c>
      <c r="F140" s="236" t="s">
        <v>1034</v>
      </c>
      <c r="G140" s="236" t="s">
        <v>1026</v>
      </c>
      <c r="H140" s="236" t="s">
        <v>1099</v>
      </c>
      <c r="I140" s="236" t="s">
        <v>1079</v>
      </c>
      <c r="J140" s="236" t="s">
        <v>1044</v>
      </c>
      <c r="K140" s="236">
        <v>7330</v>
      </c>
      <c r="L140" s="236">
        <v>599</v>
      </c>
      <c r="M140" s="237">
        <v>4390670</v>
      </c>
    </row>
    <row r="141" spans="1:13" x14ac:dyDescent="0.35">
      <c r="A141" s="235">
        <v>140</v>
      </c>
      <c r="B141" s="243">
        <v>45883</v>
      </c>
      <c r="C141" s="243" t="str">
        <f t="shared" si="18"/>
        <v>Aug</v>
      </c>
      <c r="D141" s="236" t="s">
        <v>1170</v>
      </c>
      <c r="E141" s="236" t="s">
        <v>1108</v>
      </c>
      <c r="F141" s="236" t="s">
        <v>1034</v>
      </c>
      <c r="G141" s="236" t="s">
        <v>1026</v>
      </c>
      <c r="H141" s="236" t="s">
        <v>1100</v>
      </c>
      <c r="I141" s="236" t="s">
        <v>1028</v>
      </c>
      <c r="J141" s="236" t="s">
        <v>1044</v>
      </c>
      <c r="K141" s="236">
        <v>8139</v>
      </c>
      <c r="L141" s="236">
        <v>655</v>
      </c>
      <c r="M141" s="237">
        <v>5331045</v>
      </c>
    </row>
    <row r="142" spans="1:13" x14ac:dyDescent="0.35">
      <c r="A142" s="235">
        <v>141</v>
      </c>
      <c r="B142" s="243">
        <v>45964</v>
      </c>
      <c r="C142" s="243" t="str">
        <f t="shared" si="18"/>
        <v>Nov</v>
      </c>
      <c r="D142" s="236" t="s">
        <v>1171</v>
      </c>
      <c r="E142" s="236" t="s">
        <v>1108</v>
      </c>
      <c r="F142" s="236" t="s">
        <v>1034</v>
      </c>
      <c r="G142" s="236" t="s">
        <v>1030</v>
      </c>
      <c r="H142" s="236" t="s">
        <v>1101</v>
      </c>
      <c r="I142" s="236" t="s">
        <v>1036</v>
      </c>
      <c r="J142" s="236" t="s">
        <v>1020</v>
      </c>
      <c r="K142" s="236">
        <v>8203</v>
      </c>
      <c r="L142" s="236">
        <v>918</v>
      </c>
      <c r="M142" s="237">
        <v>7530354</v>
      </c>
    </row>
    <row r="143" spans="1:13" x14ac:dyDescent="0.35">
      <c r="A143" s="235">
        <v>142</v>
      </c>
      <c r="B143" s="243">
        <v>46056</v>
      </c>
      <c r="C143" s="243" t="str">
        <f t="shared" si="18"/>
        <v>Feb</v>
      </c>
      <c r="D143" s="236" t="s">
        <v>1080</v>
      </c>
      <c r="E143" s="236" t="s">
        <v>1134</v>
      </c>
      <c r="F143" s="236" t="s">
        <v>1119</v>
      </c>
      <c r="G143" s="236" t="s">
        <v>1018</v>
      </c>
      <c r="H143" s="236" t="s">
        <v>1019</v>
      </c>
      <c r="I143" s="236" t="s">
        <v>1019</v>
      </c>
      <c r="J143" s="236" t="s">
        <v>1020</v>
      </c>
      <c r="K143" s="236">
        <v>1918</v>
      </c>
      <c r="L143" s="236">
        <v>866</v>
      </c>
      <c r="M143" s="237">
        <v>1660988</v>
      </c>
    </row>
    <row r="144" spans="1:13" x14ac:dyDescent="0.35">
      <c r="A144" s="235">
        <v>143</v>
      </c>
      <c r="B144" s="243">
        <v>45880</v>
      </c>
      <c r="C144" s="243" t="str">
        <f t="shared" si="18"/>
        <v>Aug</v>
      </c>
      <c r="D144" s="236" t="s">
        <v>1080</v>
      </c>
      <c r="E144" s="236" t="s">
        <v>1134</v>
      </c>
      <c r="F144" s="236" t="s">
        <v>1119</v>
      </c>
      <c r="G144" s="236" t="s">
        <v>1023</v>
      </c>
      <c r="H144" s="236" t="s">
        <v>1024</v>
      </c>
      <c r="I144" s="236" t="s">
        <v>1025</v>
      </c>
      <c r="J144" s="236" t="s">
        <v>1020</v>
      </c>
      <c r="K144" s="236">
        <v>7692</v>
      </c>
      <c r="L144" s="236">
        <v>958</v>
      </c>
      <c r="M144" s="237">
        <v>7368936</v>
      </c>
    </row>
    <row r="145" spans="1:13" x14ac:dyDescent="0.35">
      <c r="A145" s="235">
        <v>144</v>
      </c>
      <c r="B145" s="243">
        <v>45776</v>
      </c>
      <c r="C145" s="243" t="str">
        <f t="shared" si="18"/>
        <v>Apr</v>
      </c>
      <c r="D145" s="236" t="s">
        <v>1080</v>
      </c>
      <c r="E145" s="236" t="s">
        <v>1134</v>
      </c>
      <c r="F145" s="236" t="s">
        <v>1119</v>
      </c>
      <c r="G145" s="236" t="s">
        <v>1026</v>
      </c>
      <c r="H145" s="236" t="s">
        <v>1027</v>
      </c>
      <c r="I145" s="236" t="s">
        <v>1028</v>
      </c>
      <c r="J145" s="236" t="s">
        <v>1020</v>
      </c>
      <c r="K145" s="236">
        <v>8066</v>
      </c>
      <c r="L145" s="236">
        <v>985</v>
      </c>
      <c r="M145" s="237">
        <v>7945010</v>
      </c>
    </row>
    <row r="146" spans="1:13" x14ac:dyDescent="0.35">
      <c r="A146" s="235">
        <v>145</v>
      </c>
      <c r="B146" s="243">
        <v>45980</v>
      </c>
      <c r="C146" s="243" t="str">
        <f t="shared" si="18"/>
        <v>Nov</v>
      </c>
      <c r="D146" s="236" t="s">
        <v>1080</v>
      </c>
      <c r="E146" s="236" t="s">
        <v>1134</v>
      </c>
      <c r="F146" s="236" t="s">
        <v>1119</v>
      </c>
      <c r="G146" s="236" t="s">
        <v>1030</v>
      </c>
      <c r="H146" s="236" t="s">
        <v>1031</v>
      </c>
      <c r="I146" s="236" t="s">
        <v>1032</v>
      </c>
      <c r="J146" s="236" t="s">
        <v>1020</v>
      </c>
      <c r="K146" s="236">
        <v>5931</v>
      </c>
      <c r="L146" s="236">
        <v>652</v>
      </c>
      <c r="M146" s="237">
        <v>3867012</v>
      </c>
    </row>
    <row r="147" spans="1:13" x14ac:dyDescent="0.35">
      <c r="A147" s="235">
        <v>146</v>
      </c>
      <c r="B147" s="243">
        <v>45854</v>
      </c>
      <c r="C147" s="243" t="str">
        <f t="shared" si="18"/>
        <v>Jul</v>
      </c>
      <c r="D147" s="236" t="s">
        <v>1172</v>
      </c>
      <c r="E147" s="236" t="s">
        <v>1134</v>
      </c>
      <c r="F147" s="236" t="s">
        <v>1119</v>
      </c>
      <c r="G147" s="236" t="s">
        <v>1030</v>
      </c>
      <c r="H147" s="236" t="s">
        <v>1035</v>
      </c>
      <c r="I147" s="236" t="s">
        <v>1036</v>
      </c>
      <c r="J147" s="236" t="s">
        <v>1044</v>
      </c>
      <c r="K147" s="236">
        <v>5555</v>
      </c>
      <c r="L147" s="236">
        <v>506</v>
      </c>
      <c r="M147" s="237">
        <v>2810830</v>
      </c>
    </row>
    <row r="148" spans="1:13" x14ac:dyDescent="0.35">
      <c r="A148" s="235">
        <v>147</v>
      </c>
      <c r="B148" s="243">
        <v>45768</v>
      </c>
      <c r="C148" s="243" t="str">
        <f t="shared" si="18"/>
        <v>Apr</v>
      </c>
      <c r="D148" s="236" t="s">
        <v>1161</v>
      </c>
      <c r="E148" s="236" t="s">
        <v>1134</v>
      </c>
      <c r="F148" s="236" t="s">
        <v>1119</v>
      </c>
      <c r="G148" s="236" t="s">
        <v>1030</v>
      </c>
      <c r="H148" s="236" t="s">
        <v>1037</v>
      </c>
      <c r="I148" s="236" t="s">
        <v>1038</v>
      </c>
      <c r="J148" s="236" t="s">
        <v>1044</v>
      </c>
      <c r="K148" s="236">
        <v>7543</v>
      </c>
      <c r="L148" s="236">
        <v>815</v>
      </c>
      <c r="M148" s="237">
        <v>6147545</v>
      </c>
    </row>
    <row r="149" spans="1:13" x14ac:dyDescent="0.35">
      <c r="A149" s="235">
        <v>148</v>
      </c>
      <c r="B149" s="243">
        <v>45924</v>
      </c>
      <c r="C149" s="243" t="str">
        <f t="shared" si="18"/>
        <v>Sep</v>
      </c>
      <c r="D149" s="236" t="s">
        <v>1173</v>
      </c>
      <c r="E149" s="236" t="s">
        <v>1134</v>
      </c>
      <c r="F149" s="236" t="s">
        <v>1119</v>
      </c>
      <c r="G149" s="236" t="s">
        <v>1023</v>
      </c>
      <c r="H149" s="236" t="s">
        <v>1039</v>
      </c>
      <c r="I149" s="236" t="s">
        <v>1040</v>
      </c>
      <c r="J149" s="236" t="s">
        <v>1044</v>
      </c>
      <c r="K149" s="236">
        <v>7725</v>
      </c>
      <c r="L149" s="236">
        <v>964</v>
      </c>
      <c r="M149" s="237">
        <v>7446900</v>
      </c>
    </row>
    <row r="150" spans="1:13" x14ac:dyDescent="0.35">
      <c r="A150" s="235">
        <v>149</v>
      </c>
      <c r="B150" s="243">
        <v>45854</v>
      </c>
      <c r="C150" s="243" t="str">
        <f t="shared" si="18"/>
        <v>Jul</v>
      </c>
      <c r="D150" s="236" t="s">
        <v>1080</v>
      </c>
      <c r="E150" s="236" t="s">
        <v>1134</v>
      </c>
      <c r="F150" s="236" t="s">
        <v>1119</v>
      </c>
      <c r="G150" s="236" t="s">
        <v>1023</v>
      </c>
      <c r="H150" s="236" t="s">
        <v>1041</v>
      </c>
      <c r="I150" s="236" t="s">
        <v>1025</v>
      </c>
      <c r="J150" s="236" t="s">
        <v>1044</v>
      </c>
      <c r="K150" s="236">
        <v>7125</v>
      </c>
      <c r="L150" s="236">
        <v>720</v>
      </c>
      <c r="M150" s="237">
        <v>5130000</v>
      </c>
    </row>
    <row r="151" spans="1:13" x14ac:dyDescent="0.35">
      <c r="A151" s="235">
        <v>150</v>
      </c>
      <c r="B151" s="243">
        <v>46075</v>
      </c>
      <c r="C151" s="243" t="str">
        <f t="shared" si="18"/>
        <v>Feb</v>
      </c>
      <c r="D151" s="236" t="s">
        <v>1080</v>
      </c>
      <c r="E151" s="236" t="s">
        <v>1134</v>
      </c>
      <c r="F151" s="236" t="s">
        <v>1119</v>
      </c>
      <c r="G151" s="236" t="s">
        <v>1018</v>
      </c>
      <c r="H151" s="236" t="s">
        <v>1042</v>
      </c>
      <c r="I151" s="236" t="s">
        <v>1043</v>
      </c>
      <c r="J151" s="236" t="s">
        <v>1044</v>
      </c>
      <c r="K151" s="236">
        <v>1784</v>
      </c>
      <c r="L151" s="236">
        <v>820</v>
      </c>
      <c r="M151" s="237">
        <v>1462880</v>
      </c>
    </row>
    <row r="152" spans="1:13" x14ac:dyDescent="0.35">
      <c r="A152" s="235">
        <v>151</v>
      </c>
      <c r="B152" s="243">
        <v>45924</v>
      </c>
      <c r="C152" s="243" t="str">
        <f t="shared" si="18"/>
        <v>Sep</v>
      </c>
      <c r="D152" s="236" t="s">
        <v>1174</v>
      </c>
      <c r="E152" s="236" t="s">
        <v>1134</v>
      </c>
      <c r="F152" s="236" t="s">
        <v>1119</v>
      </c>
      <c r="G152" s="236" t="s">
        <v>1023</v>
      </c>
      <c r="H152" s="236" t="s">
        <v>1046</v>
      </c>
      <c r="I152" s="236" t="s">
        <v>1040</v>
      </c>
      <c r="J152" s="236" t="s">
        <v>1044</v>
      </c>
      <c r="K152" s="236">
        <v>6571</v>
      </c>
      <c r="L152" s="236">
        <v>799</v>
      </c>
      <c r="M152" s="237">
        <v>5250229</v>
      </c>
    </row>
    <row r="153" spans="1:13" ht="12.5" customHeight="1" x14ac:dyDescent="0.35">
      <c r="A153" s="235">
        <v>152</v>
      </c>
      <c r="B153" s="243">
        <v>45815</v>
      </c>
      <c r="C153" s="243" t="str">
        <f t="shared" si="18"/>
        <v>Jun</v>
      </c>
      <c r="D153" s="236" t="s">
        <v>1175</v>
      </c>
      <c r="E153" s="236" t="s">
        <v>1134</v>
      </c>
      <c r="F153" s="236" t="s">
        <v>1119</v>
      </c>
      <c r="G153" s="236" t="s">
        <v>1018</v>
      </c>
      <c r="H153" s="236" t="s">
        <v>1047</v>
      </c>
      <c r="I153" s="236" t="s">
        <v>1048</v>
      </c>
      <c r="J153" s="236" t="s">
        <v>1044</v>
      </c>
      <c r="K153" s="236">
        <v>6742</v>
      </c>
      <c r="L153" s="236">
        <v>544</v>
      </c>
      <c r="M153" s="237">
        <v>3667648</v>
      </c>
    </row>
    <row r="154" spans="1:13" x14ac:dyDescent="0.35">
      <c r="A154" s="235">
        <v>153</v>
      </c>
      <c r="B154" s="243">
        <v>45873</v>
      </c>
      <c r="C154" s="243" t="str">
        <f t="shared" si="18"/>
        <v>Aug</v>
      </c>
      <c r="D154" s="236" t="s">
        <v>1176</v>
      </c>
      <c r="E154" s="236" t="s">
        <v>1134</v>
      </c>
      <c r="F154" s="236" t="s">
        <v>1119</v>
      </c>
      <c r="G154" s="236" t="s">
        <v>1018</v>
      </c>
      <c r="H154" s="236" t="s">
        <v>1050</v>
      </c>
      <c r="I154" s="236" t="s">
        <v>1048</v>
      </c>
      <c r="J154" s="236" t="s">
        <v>1020</v>
      </c>
      <c r="K154" s="236">
        <v>7493</v>
      </c>
      <c r="L154" s="236">
        <v>704</v>
      </c>
      <c r="M154" s="237">
        <v>5275072</v>
      </c>
    </row>
    <row r="155" spans="1:13" x14ac:dyDescent="0.35">
      <c r="A155" s="235">
        <v>154</v>
      </c>
      <c r="B155" s="243">
        <v>45864</v>
      </c>
      <c r="C155" s="243" t="str">
        <f t="shared" si="18"/>
        <v>Jul</v>
      </c>
      <c r="D155" s="236" t="s">
        <v>1080</v>
      </c>
      <c r="E155" s="236" t="s">
        <v>1108</v>
      </c>
      <c r="F155" s="236" t="s">
        <v>1034</v>
      </c>
      <c r="G155" s="236" t="s">
        <v>1023</v>
      </c>
      <c r="H155" s="236" t="s">
        <v>1052</v>
      </c>
      <c r="I155" s="236" t="s">
        <v>1025</v>
      </c>
      <c r="J155" s="236" t="s">
        <v>1020</v>
      </c>
      <c r="K155" s="236">
        <v>2130</v>
      </c>
      <c r="L155" s="236">
        <v>800</v>
      </c>
      <c r="M155" s="237">
        <v>1704000</v>
      </c>
    </row>
    <row r="156" spans="1:13" x14ac:dyDescent="0.35">
      <c r="A156" s="235">
        <v>155</v>
      </c>
      <c r="B156" s="243">
        <v>45853</v>
      </c>
      <c r="C156" s="243" t="str">
        <f t="shared" si="18"/>
        <v>Jul</v>
      </c>
      <c r="D156" s="236" t="s">
        <v>1080</v>
      </c>
      <c r="E156" s="236" t="s">
        <v>1108</v>
      </c>
      <c r="F156" s="236" t="s">
        <v>1034</v>
      </c>
      <c r="G156" s="236" t="s">
        <v>1054</v>
      </c>
      <c r="H156" s="236" t="s">
        <v>1055</v>
      </c>
      <c r="I156" s="236" t="s">
        <v>1056</v>
      </c>
      <c r="J156" s="236" t="s">
        <v>1020</v>
      </c>
      <c r="K156" s="236">
        <v>4543</v>
      </c>
      <c r="L156" s="236">
        <v>785</v>
      </c>
      <c r="M156" s="237">
        <v>3566255</v>
      </c>
    </row>
    <row r="157" spans="1:13" x14ac:dyDescent="0.35">
      <c r="A157" s="235">
        <v>156</v>
      </c>
      <c r="B157" s="243">
        <v>45764</v>
      </c>
      <c r="C157" s="243" t="str">
        <f t="shared" si="18"/>
        <v>Apr</v>
      </c>
      <c r="D157" s="236" t="s">
        <v>1080</v>
      </c>
      <c r="E157" s="236" t="s">
        <v>1108</v>
      </c>
      <c r="F157" s="236" t="s">
        <v>1034</v>
      </c>
      <c r="G157" s="236" t="s">
        <v>1023</v>
      </c>
      <c r="H157" s="236" t="s">
        <v>1058</v>
      </c>
      <c r="I157" s="236" t="s">
        <v>1025</v>
      </c>
      <c r="J157" s="236" t="s">
        <v>1020</v>
      </c>
      <c r="K157" s="236">
        <v>6128</v>
      </c>
      <c r="L157" s="236">
        <v>944</v>
      </c>
      <c r="M157" s="237">
        <v>5784832</v>
      </c>
    </row>
    <row r="158" spans="1:13" x14ac:dyDescent="0.35">
      <c r="A158" s="235">
        <v>157</v>
      </c>
      <c r="B158" s="243">
        <v>45770</v>
      </c>
      <c r="C158" s="243" t="str">
        <f t="shared" si="18"/>
        <v>Apr</v>
      </c>
      <c r="D158" s="236" t="s">
        <v>1080</v>
      </c>
      <c r="E158" s="236" t="s">
        <v>1108</v>
      </c>
      <c r="F158" s="236" t="s">
        <v>1034</v>
      </c>
      <c r="G158" s="236" t="s">
        <v>1054</v>
      </c>
      <c r="H158" s="236" t="s">
        <v>1061</v>
      </c>
      <c r="I158" s="236" t="s">
        <v>1056</v>
      </c>
      <c r="J158" s="236" t="s">
        <v>1020</v>
      </c>
      <c r="K158" s="236">
        <v>8028</v>
      </c>
      <c r="L158" s="236">
        <v>949</v>
      </c>
      <c r="M158" s="237">
        <v>7618572</v>
      </c>
    </row>
    <row r="159" spans="1:13" x14ac:dyDescent="0.35">
      <c r="A159" s="235">
        <v>158</v>
      </c>
      <c r="B159" s="243">
        <v>45805</v>
      </c>
      <c r="C159" s="243" t="str">
        <f t="shared" si="18"/>
        <v>May</v>
      </c>
      <c r="D159" s="236" t="s">
        <v>1177</v>
      </c>
      <c r="E159" s="236" t="s">
        <v>1108</v>
      </c>
      <c r="F159" s="236" t="s">
        <v>1034</v>
      </c>
      <c r="G159" s="236" t="s">
        <v>1026</v>
      </c>
      <c r="H159" s="236" t="s">
        <v>1066</v>
      </c>
      <c r="I159" s="236" t="s">
        <v>1067</v>
      </c>
      <c r="J159" s="236" t="s">
        <v>1020</v>
      </c>
      <c r="K159" s="236">
        <v>2144</v>
      </c>
      <c r="L159" s="236">
        <v>505</v>
      </c>
      <c r="M159" s="237">
        <v>1082720</v>
      </c>
    </row>
    <row r="160" spans="1:13" x14ac:dyDescent="0.35">
      <c r="A160" s="235">
        <v>159</v>
      </c>
      <c r="B160" s="243">
        <v>45977</v>
      </c>
      <c r="C160" s="243" t="str">
        <f t="shared" si="18"/>
        <v>Nov</v>
      </c>
      <c r="D160" s="236" t="s">
        <v>1178</v>
      </c>
      <c r="E160" s="236" t="s">
        <v>1118</v>
      </c>
      <c r="F160" s="236" t="s">
        <v>1119</v>
      </c>
      <c r="G160" s="236" t="s">
        <v>1018</v>
      </c>
      <c r="H160" s="236" t="s">
        <v>1069</v>
      </c>
      <c r="I160" s="236" t="s">
        <v>1048</v>
      </c>
      <c r="J160" s="236" t="s">
        <v>1044</v>
      </c>
      <c r="K160" s="236">
        <v>4448</v>
      </c>
      <c r="L160" s="236">
        <v>924</v>
      </c>
      <c r="M160" s="237">
        <v>4109952</v>
      </c>
    </row>
    <row r="161" spans="1:13" x14ac:dyDescent="0.35">
      <c r="A161" s="235">
        <v>160</v>
      </c>
      <c r="B161" s="243">
        <v>45909</v>
      </c>
      <c r="C161" s="243" t="str">
        <f t="shared" si="18"/>
        <v>Sep</v>
      </c>
      <c r="D161" s="236" t="s">
        <v>1179</v>
      </c>
      <c r="E161" s="236" t="s">
        <v>1118</v>
      </c>
      <c r="F161" s="236" t="s">
        <v>1119</v>
      </c>
      <c r="G161" s="236" t="s">
        <v>1018</v>
      </c>
      <c r="H161" s="236" t="s">
        <v>1071</v>
      </c>
      <c r="I161" s="236" t="s">
        <v>1048</v>
      </c>
      <c r="J161" s="236" t="s">
        <v>1044</v>
      </c>
      <c r="K161" s="236">
        <v>9290</v>
      </c>
      <c r="L161" s="236">
        <v>602</v>
      </c>
      <c r="M161" s="237">
        <v>5592580</v>
      </c>
    </row>
    <row r="162" spans="1:13" x14ac:dyDescent="0.35">
      <c r="A162" s="235">
        <v>161</v>
      </c>
      <c r="B162" s="243">
        <v>46030</v>
      </c>
      <c r="C162" s="243" t="str">
        <f t="shared" si="18"/>
        <v>Jan</v>
      </c>
      <c r="D162" s="236" t="s">
        <v>1180</v>
      </c>
      <c r="E162" s="236" t="s">
        <v>1118</v>
      </c>
      <c r="F162" s="236" t="s">
        <v>1119</v>
      </c>
      <c r="G162" s="236" t="s">
        <v>1030</v>
      </c>
      <c r="H162" s="236" t="s">
        <v>1072</v>
      </c>
      <c r="I162" s="236" t="s">
        <v>1032</v>
      </c>
      <c r="J162" s="236" t="s">
        <v>1044</v>
      </c>
      <c r="K162" s="236">
        <v>9736</v>
      </c>
      <c r="L162" s="236">
        <v>555</v>
      </c>
      <c r="M162" s="237">
        <v>5403480</v>
      </c>
    </row>
    <row r="163" spans="1:13" x14ac:dyDescent="0.35">
      <c r="A163" s="235">
        <v>162</v>
      </c>
      <c r="B163" s="243">
        <v>45808</v>
      </c>
      <c r="C163" s="243" t="str">
        <f t="shared" si="18"/>
        <v>May</v>
      </c>
      <c r="D163" s="236" t="s">
        <v>1161</v>
      </c>
      <c r="E163" s="236" t="s">
        <v>1118</v>
      </c>
      <c r="F163" s="236" t="s">
        <v>1119</v>
      </c>
      <c r="G163" s="236" t="s">
        <v>1018</v>
      </c>
      <c r="H163" s="236" t="s">
        <v>1075</v>
      </c>
      <c r="I163" s="236" t="s">
        <v>1043</v>
      </c>
      <c r="J163" s="236" t="s">
        <v>1044</v>
      </c>
      <c r="K163" s="236">
        <v>4981</v>
      </c>
      <c r="L163" s="236">
        <v>743</v>
      </c>
      <c r="M163" s="237">
        <v>3700883</v>
      </c>
    </row>
    <row r="164" spans="1:13" x14ac:dyDescent="0.35">
      <c r="A164" s="235">
        <v>163</v>
      </c>
      <c r="B164" s="243">
        <v>46013</v>
      </c>
      <c r="C164" s="243" t="str">
        <f t="shared" si="18"/>
        <v>Dec</v>
      </c>
      <c r="D164" s="236" t="s">
        <v>1161</v>
      </c>
      <c r="E164" s="236" t="s">
        <v>1118</v>
      </c>
      <c r="F164" s="236" t="s">
        <v>1119</v>
      </c>
      <c r="G164" s="236" t="s">
        <v>1018</v>
      </c>
      <c r="H164" s="236" t="s">
        <v>1077</v>
      </c>
      <c r="I164" s="236" t="s">
        <v>1048</v>
      </c>
      <c r="J164" s="236" t="s">
        <v>1044</v>
      </c>
      <c r="K164" s="236">
        <v>2084</v>
      </c>
      <c r="L164" s="236">
        <v>796</v>
      </c>
      <c r="M164" s="237">
        <v>1658864</v>
      </c>
    </row>
    <row r="165" spans="1:13" ht="12.5" customHeight="1" x14ac:dyDescent="0.35">
      <c r="A165" s="235">
        <v>164</v>
      </c>
      <c r="B165" s="243">
        <v>45875</v>
      </c>
      <c r="C165" s="243" t="str">
        <f t="shared" si="18"/>
        <v>Aug</v>
      </c>
      <c r="D165" s="236" t="s">
        <v>1181</v>
      </c>
      <c r="E165" s="236" t="s">
        <v>1104</v>
      </c>
      <c r="F165" s="236" t="s">
        <v>1034</v>
      </c>
      <c r="G165" s="236" t="s">
        <v>1026</v>
      </c>
      <c r="H165" s="236" t="s">
        <v>1078</v>
      </c>
      <c r="I165" s="236" t="s">
        <v>1079</v>
      </c>
      <c r="J165" s="236" t="s">
        <v>1044</v>
      </c>
      <c r="K165" s="236">
        <v>4280</v>
      </c>
      <c r="L165" s="236">
        <v>942</v>
      </c>
      <c r="M165" s="237">
        <v>4031760</v>
      </c>
    </row>
    <row r="166" spans="1:13" x14ac:dyDescent="0.35">
      <c r="A166" s="235">
        <v>165</v>
      </c>
      <c r="B166" s="243">
        <v>45857</v>
      </c>
      <c r="C166" s="243" t="str">
        <f t="shared" si="18"/>
        <v>Jul</v>
      </c>
      <c r="D166" s="236" t="s">
        <v>1182</v>
      </c>
      <c r="E166" s="236" t="s">
        <v>1104</v>
      </c>
      <c r="F166" s="236" t="s">
        <v>1034</v>
      </c>
      <c r="G166" s="236" t="s">
        <v>1030</v>
      </c>
      <c r="H166" s="236" t="s">
        <v>1081</v>
      </c>
      <c r="I166" s="236" t="s">
        <v>1082</v>
      </c>
      <c r="J166" s="236" t="s">
        <v>1044</v>
      </c>
      <c r="K166" s="236">
        <v>8113</v>
      </c>
      <c r="L166" s="236">
        <v>944</v>
      </c>
      <c r="M166" s="237">
        <v>7658672</v>
      </c>
    </row>
    <row r="167" spans="1:13" x14ac:dyDescent="0.35">
      <c r="A167" s="235">
        <v>166</v>
      </c>
      <c r="B167" s="243">
        <v>45814</v>
      </c>
      <c r="C167" s="243" t="str">
        <f t="shared" si="18"/>
        <v>Jun</v>
      </c>
      <c r="D167" s="236" t="s">
        <v>1183</v>
      </c>
      <c r="E167" s="236" t="s">
        <v>1104</v>
      </c>
      <c r="F167" s="236" t="s">
        <v>1034</v>
      </c>
      <c r="G167" s="236" t="s">
        <v>1023</v>
      </c>
      <c r="H167" s="236" t="s">
        <v>1083</v>
      </c>
      <c r="I167" s="236" t="s">
        <v>1025</v>
      </c>
      <c r="J167" s="236" t="s">
        <v>1044</v>
      </c>
      <c r="K167" s="236">
        <v>4722</v>
      </c>
      <c r="L167" s="236">
        <v>609</v>
      </c>
      <c r="M167" s="237">
        <v>2875698</v>
      </c>
    </row>
    <row r="168" spans="1:13" x14ac:dyDescent="0.35">
      <c r="A168" s="235">
        <v>167</v>
      </c>
      <c r="B168" s="243">
        <v>45817</v>
      </c>
      <c r="C168" s="243" t="str">
        <f t="shared" si="18"/>
        <v>Jun</v>
      </c>
      <c r="D168" s="236" t="s">
        <v>1161</v>
      </c>
      <c r="E168" s="236" t="s">
        <v>1104</v>
      </c>
      <c r="F168" s="236" t="s">
        <v>1034</v>
      </c>
      <c r="G168" s="236" t="s">
        <v>1018</v>
      </c>
      <c r="H168" s="236" t="s">
        <v>1084</v>
      </c>
      <c r="I168" s="236" t="s">
        <v>1085</v>
      </c>
      <c r="J168" s="236" t="s">
        <v>1044</v>
      </c>
      <c r="K168" s="236">
        <v>7358</v>
      </c>
      <c r="L168" s="236">
        <v>993</v>
      </c>
      <c r="M168" s="237">
        <v>7306494</v>
      </c>
    </row>
    <row r="169" spans="1:13" x14ac:dyDescent="0.35">
      <c r="A169" s="235">
        <v>168</v>
      </c>
      <c r="B169" s="243">
        <v>45837</v>
      </c>
      <c r="C169" s="243" t="str">
        <f t="shared" si="18"/>
        <v>Jun</v>
      </c>
      <c r="D169" s="236" t="s">
        <v>1161</v>
      </c>
      <c r="E169" s="236" t="s">
        <v>1104</v>
      </c>
      <c r="F169" s="236" t="s">
        <v>1034</v>
      </c>
      <c r="G169" s="236" t="s">
        <v>1018</v>
      </c>
      <c r="H169" s="236" t="s">
        <v>1086</v>
      </c>
      <c r="I169" s="236" t="s">
        <v>1087</v>
      </c>
      <c r="J169" s="236" t="s">
        <v>1044</v>
      </c>
      <c r="K169" s="236">
        <v>2970</v>
      </c>
      <c r="L169" s="236">
        <v>725</v>
      </c>
      <c r="M169" s="237">
        <v>2153250</v>
      </c>
    </row>
    <row r="170" spans="1:13" x14ac:dyDescent="0.35">
      <c r="A170" s="235">
        <v>169</v>
      </c>
      <c r="B170" s="243">
        <v>45893</v>
      </c>
      <c r="C170" s="243" t="str">
        <f t="shared" si="18"/>
        <v>Aug</v>
      </c>
      <c r="D170" s="236" t="s">
        <v>1161</v>
      </c>
      <c r="E170" s="236" t="s">
        <v>1108</v>
      </c>
      <c r="F170" s="236" t="s">
        <v>1034</v>
      </c>
      <c r="G170" s="236" t="s">
        <v>1088</v>
      </c>
      <c r="H170" s="236" t="s">
        <v>1089</v>
      </c>
      <c r="I170" s="236" t="s">
        <v>1090</v>
      </c>
      <c r="J170" s="236" t="s">
        <v>1044</v>
      </c>
      <c r="K170" s="236">
        <v>1939</v>
      </c>
      <c r="L170" s="236">
        <v>537</v>
      </c>
      <c r="M170" s="237">
        <v>1041243</v>
      </c>
    </row>
    <row r="171" spans="1:13" x14ac:dyDescent="0.35">
      <c r="A171" s="235">
        <v>170</v>
      </c>
      <c r="B171" s="243">
        <v>46033</v>
      </c>
      <c r="C171" s="243" t="str">
        <f t="shared" si="18"/>
        <v>Jan</v>
      </c>
      <c r="D171" s="236" t="s">
        <v>1161</v>
      </c>
      <c r="E171" s="236" t="s">
        <v>1108</v>
      </c>
      <c r="F171" s="236" t="s">
        <v>1034</v>
      </c>
      <c r="G171" s="236" t="s">
        <v>1018</v>
      </c>
      <c r="H171" s="236" t="s">
        <v>1091</v>
      </c>
      <c r="I171" s="236" t="s">
        <v>1092</v>
      </c>
      <c r="J171" s="236" t="s">
        <v>1044</v>
      </c>
      <c r="K171" s="236">
        <v>5112</v>
      </c>
      <c r="L171" s="236">
        <v>787</v>
      </c>
      <c r="M171" s="237">
        <v>4023144</v>
      </c>
    </row>
    <row r="172" spans="1:13" x14ac:dyDescent="0.35">
      <c r="A172" s="235">
        <v>171</v>
      </c>
      <c r="B172" s="243">
        <v>45849</v>
      </c>
      <c r="C172" s="243" t="str">
        <f t="shared" si="18"/>
        <v>Jul</v>
      </c>
      <c r="D172" s="236" t="s">
        <v>1161</v>
      </c>
      <c r="E172" s="236" t="s">
        <v>1108</v>
      </c>
      <c r="F172" s="236" t="s">
        <v>1034</v>
      </c>
      <c r="G172" s="236" t="s">
        <v>1054</v>
      </c>
      <c r="H172" s="236" t="s">
        <v>1093</v>
      </c>
      <c r="I172" s="236" t="s">
        <v>1094</v>
      </c>
      <c r="J172" s="236" t="s">
        <v>1044</v>
      </c>
      <c r="K172" s="236">
        <v>6357</v>
      </c>
      <c r="L172" s="236">
        <v>935</v>
      </c>
      <c r="M172" s="237">
        <v>5943795</v>
      </c>
    </row>
    <row r="173" spans="1:13" x14ac:dyDescent="0.35">
      <c r="A173" s="235">
        <v>172</v>
      </c>
      <c r="B173" s="243">
        <v>46076</v>
      </c>
      <c r="C173" s="243" t="str">
        <f t="shared" si="18"/>
        <v>Feb</v>
      </c>
      <c r="D173" s="236" t="s">
        <v>1184</v>
      </c>
      <c r="E173" s="236" t="s">
        <v>1108</v>
      </c>
      <c r="F173" s="236" t="s">
        <v>1034</v>
      </c>
      <c r="G173" s="236" t="s">
        <v>1026</v>
      </c>
      <c r="H173" s="236" t="s">
        <v>1095</v>
      </c>
      <c r="I173" s="236" t="s">
        <v>1028</v>
      </c>
      <c r="J173" s="236" t="s">
        <v>1044</v>
      </c>
      <c r="K173" s="236">
        <v>4535</v>
      </c>
      <c r="L173" s="236">
        <v>634</v>
      </c>
      <c r="M173" s="237">
        <v>2875190</v>
      </c>
    </row>
    <row r="174" spans="1:13" x14ac:dyDescent="0.35">
      <c r="A174" s="235">
        <v>173</v>
      </c>
      <c r="B174" s="243">
        <v>45882</v>
      </c>
      <c r="C174" s="243" t="str">
        <f t="shared" si="18"/>
        <v>Aug</v>
      </c>
      <c r="D174" s="236" t="s">
        <v>1185</v>
      </c>
      <c r="E174" s="236" t="s">
        <v>1108</v>
      </c>
      <c r="F174" s="236" t="s">
        <v>1034</v>
      </c>
      <c r="G174" s="236" t="s">
        <v>1026</v>
      </c>
      <c r="H174" s="236" t="s">
        <v>1027</v>
      </c>
      <c r="I174" s="236" t="s">
        <v>1028</v>
      </c>
      <c r="J174" s="236" t="s">
        <v>1020</v>
      </c>
      <c r="K174" s="236">
        <v>3944</v>
      </c>
      <c r="L174" s="236">
        <v>813</v>
      </c>
      <c r="M174" s="237">
        <v>3206472</v>
      </c>
    </row>
    <row r="175" spans="1:13" x14ac:dyDescent="0.35">
      <c r="A175" s="235">
        <v>174</v>
      </c>
      <c r="B175" s="243">
        <v>45787</v>
      </c>
      <c r="C175" s="243" t="str">
        <f t="shared" si="18"/>
        <v>May</v>
      </c>
      <c r="D175" s="236" t="s">
        <v>1184</v>
      </c>
      <c r="E175" s="236" t="s">
        <v>1134</v>
      </c>
      <c r="F175" s="236" t="s">
        <v>1119</v>
      </c>
      <c r="G175" s="236" t="s">
        <v>1026</v>
      </c>
      <c r="H175" s="236" t="s">
        <v>1099</v>
      </c>
      <c r="I175" s="236" t="s">
        <v>1079</v>
      </c>
      <c r="J175" s="236" t="s">
        <v>1020</v>
      </c>
      <c r="K175" s="236">
        <v>3074</v>
      </c>
      <c r="L175" s="236">
        <v>507</v>
      </c>
      <c r="M175" s="237">
        <v>1558518</v>
      </c>
    </row>
    <row r="176" spans="1:13" x14ac:dyDescent="0.35">
      <c r="A176" s="235">
        <v>175</v>
      </c>
      <c r="B176" s="243">
        <v>46007</v>
      </c>
      <c r="C176" s="243" t="str">
        <f t="shared" si="18"/>
        <v>Dec</v>
      </c>
      <c r="D176" s="236" t="s">
        <v>1184</v>
      </c>
      <c r="E176" s="236" t="s">
        <v>1134</v>
      </c>
      <c r="F176" s="236" t="s">
        <v>1119</v>
      </c>
      <c r="G176" s="236" t="s">
        <v>1026</v>
      </c>
      <c r="H176" s="236" t="s">
        <v>1100</v>
      </c>
      <c r="I176" s="236" t="s">
        <v>1028</v>
      </c>
      <c r="J176" s="236" t="s">
        <v>1020</v>
      </c>
      <c r="K176" s="236">
        <v>1791</v>
      </c>
      <c r="L176" s="236">
        <v>542</v>
      </c>
      <c r="M176" s="237">
        <v>970722</v>
      </c>
    </row>
    <row r="177" spans="1:13" x14ac:dyDescent="0.35">
      <c r="A177" s="235">
        <v>176</v>
      </c>
      <c r="B177" s="243">
        <v>46030</v>
      </c>
      <c r="C177" s="243" t="str">
        <f t="shared" si="18"/>
        <v>Jan</v>
      </c>
      <c r="D177" s="236" t="s">
        <v>1184</v>
      </c>
      <c r="E177" s="236" t="s">
        <v>1134</v>
      </c>
      <c r="F177" s="236" t="s">
        <v>1119</v>
      </c>
      <c r="G177" s="236" t="s">
        <v>1030</v>
      </c>
      <c r="H177" s="236" t="s">
        <v>1101</v>
      </c>
      <c r="I177" s="236" t="s">
        <v>1036</v>
      </c>
      <c r="J177" s="236" t="s">
        <v>1020</v>
      </c>
      <c r="K177" s="236">
        <v>4740</v>
      </c>
      <c r="L177" s="236">
        <v>578</v>
      </c>
      <c r="M177" s="237">
        <v>2739720</v>
      </c>
    </row>
    <row r="178" spans="1:13" x14ac:dyDescent="0.35">
      <c r="A178" s="235">
        <v>177</v>
      </c>
      <c r="B178" s="243">
        <v>45921</v>
      </c>
      <c r="C178" s="243" t="str">
        <f t="shared" si="18"/>
        <v>Sep</v>
      </c>
      <c r="D178" s="236" t="s">
        <v>1161</v>
      </c>
      <c r="E178" s="236" t="s">
        <v>1134</v>
      </c>
      <c r="F178" s="236" t="s">
        <v>1119</v>
      </c>
      <c r="G178" s="236" t="s">
        <v>1026</v>
      </c>
      <c r="H178" s="236" t="s">
        <v>1066</v>
      </c>
      <c r="I178" s="236" t="s">
        <v>1067</v>
      </c>
      <c r="J178" s="236" t="s">
        <v>1044</v>
      </c>
      <c r="K178" s="236">
        <v>2665</v>
      </c>
      <c r="L178" s="236">
        <v>895</v>
      </c>
      <c r="M178" s="237">
        <v>2385175</v>
      </c>
    </row>
    <row r="179" spans="1:13" x14ac:dyDescent="0.35">
      <c r="A179" s="235">
        <v>178</v>
      </c>
      <c r="B179" s="243">
        <v>45790</v>
      </c>
      <c r="C179" s="243" t="str">
        <f t="shared" si="18"/>
        <v>May</v>
      </c>
      <c r="D179" s="236" t="s">
        <v>1161</v>
      </c>
      <c r="E179" s="236" t="s">
        <v>1134</v>
      </c>
      <c r="F179" s="236" t="s">
        <v>1119</v>
      </c>
      <c r="G179" s="236" t="s">
        <v>1023</v>
      </c>
      <c r="H179" s="236" t="s">
        <v>1068</v>
      </c>
      <c r="I179" s="236" t="s">
        <v>1040</v>
      </c>
      <c r="J179" s="236" t="s">
        <v>1044</v>
      </c>
      <c r="K179" s="236">
        <v>5636</v>
      </c>
      <c r="L179" s="236">
        <v>565</v>
      </c>
      <c r="M179" s="237">
        <v>3184340</v>
      </c>
    </row>
    <row r="180" spans="1:13" x14ac:dyDescent="0.35">
      <c r="A180" s="235">
        <v>179</v>
      </c>
      <c r="B180" s="243">
        <v>46060</v>
      </c>
      <c r="C180" s="243" t="str">
        <f t="shared" si="18"/>
        <v>Feb</v>
      </c>
      <c r="D180" s="236" t="s">
        <v>1161</v>
      </c>
      <c r="E180" s="236" t="s">
        <v>1134</v>
      </c>
      <c r="F180" s="236" t="s">
        <v>1119</v>
      </c>
      <c r="G180" s="236" t="s">
        <v>1018</v>
      </c>
      <c r="H180" s="236" t="s">
        <v>1069</v>
      </c>
      <c r="I180" s="236" t="s">
        <v>1048</v>
      </c>
      <c r="J180" s="236" t="s">
        <v>1044</v>
      </c>
      <c r="K180" s="236">
        <v>5928</v>
      </c>
      <c r="L180" s="236">
        <v>512</v>
      </c>
      <c r="M180" s="237">
        <v>3035136</v>
      </c>
    </row>
    <row r="181" spans="1:13" x14ac:dyDescent="0.35">
      <c r="A181" s="235">
        <v>180</v>
      </c>
      <c r="B181" s="243">
        <v>45878</v>
      </c>
      <c r="C181" s="243" t="str">
        <f t="shared" si="18"/>
        <v>Aug</v>
      </c>
      <c r="D181" s="236" t="s">
        <v>1161</v>
      </c>
      <c r="E181" s="236" t="s">
        <v>1134</v>
      </c>
      <c r="F181" s="236" t="s">
        <v>1119</v>
      </c>
      <c r="G181" s="236" t="s">
        <v>1018</v>
      </c>
      <c r="H181" s="236" t="s">
        <v>1071</v>
      </c>
      <c r="I181" s="236" t="s">
        <v>1048</v>
      </c>
      <c r="J181" s="236" t="s">
        <v>1044</v>
      </c>
      <c r="K181" s="236">
        <v>9498</v>
      </c>
      <c r="L181" s="236">
        <v>570</v>
      </c>
      <c r="M181" s="237">
        <v>5413860</v>
      </c>
    </row>
    <row r="182" spans="1:13" x14ac:dyDescent="0.35">
      <c r="A182" s="235">
        <v>181</v>
      </c>
      <c r="B182" s="243">
        <v>45844</v>
      </c>
      <c r="C182" s="243" t="str">
        <f t="shared" si="18"/>
        <v>Jul</v>
      </c>
      <c r="D182" s="236" t="s">
        <v>1161</v>
      </c>
      <c r="E182" s="236" t="s">
        <v>1134</v>
      </c>
      <c r="F182" s="236" t="s">
        <v>1119</v>
      </c>
      <c r="G182" s="236" t="s">
        <v>1030</v>
      </c>
      <c r="H182" s="236" t="s">
        <v>1072</v>
      </c>
      <c r="I182" s="236" t="s">
        <v>1032</v>
      </c>
      <c r="J182" s="236" t="s">
        <v>1044</v>
      </c>
      <c r="K182" s="236">
        <v>9558</v>
      </c>
      <c r="L182" s="236">
        <v>617</v>
      </c>
      <c r="M182" s="237">
        <v>5897286</v>
      </c>
    </row>
    <row r="183" spans="1:13" x14ac:dyDescent="0.35">
      <c r="A183" s="235">
        <v>182</v>
      </c>
      <c r="B183" s="243">
        <v>45805</v>
      </c>
      <c r="C183" s="243" t="str">
        <f t="shared" si="18"/>
        <v>May</v>
      </c>
      <c r="D183" s="236" t="s">
        <v>1161</v>
      </c>
      <c r="E183" s="236" t="s">
        <v>1016</v>
      </c>
      <c r="F183" s="236" t="s">
        <v>1017</v>
      </c>
      <c r="G183" s="236" t="s">
        <v>1030</v>
      </c>
      <c r="H183" s="236" t="s">
        <v>1073</v>
      </c>
      <c r="I183" s="236" t="s">
        <v>1032</v>
      </c>
      <c r="J183" s="236" t="s">
        <v>1044</v>
      </c>
      <c r="K183" s="236">
        <v>2428</v>
      </c>
      <c r="L183" s="236">
        <v>662</v>
      </c>
      <c r="M183" s="237">
        <v>1607336</v>
      </c>
    </row>
    <row r="184" spans="1:13" x14ac:dyDescent="0.35">
      <c r="A184" s="235">
        <v>183</v>
      </c>
      <c r="B184" s="243">
        <v>46024</v>
      </c>
      <c r="C184" s="243" t="str">
        <f t="shared" si="18"/>
        <v>Jan</v>
      </c>
      <c r="D184" s="236" t="s">
        <v>1161</v>
      </c>
      <c r="E184" s="236" t="s">
        <v>1022</v>
      </c>
      <c r="F184" s="236" t="s">
        <v>1017</v>
      </c>
      <c r="G184" s="236" t="s">
        <v>1018</v>
      </c>
      <c r="H184" s="236" t="s">
        <v>1075</v>
      </c>
      <c r="I184" s="236" t="s">
        <v>1043</v>
      </c>
      <c r="J184" s="236" t="s">
        <v>1044</v>
      </c>
      <c r="K184" s="236">
        <v>7389</v>
      </c>
      <c r="L184" s="236">
        <v>997</v>
      </c>
      <c r="M184" s="237">
        <v>7366833</v>
      </c>
    </row>
    <row r="185" spans="1:13" x14ac:dyDescent="0.35">
      <c r="A185" s="235">
        <v>184</v>
      </c>
      <c r="B185" s="243">
        <v>45987</v>
      </c>
      <c r="C185" s="243" t="str">
        <f t="shared" si="18"/>
        <v>Nov</v>
      </c>
      <c r="D185" s="236" t="s">
        <v>1184</v>
      </c>
      <c r="E185" s="236" t="s">
        <v>1022</v>
      </c>
      <c r="F185" s="236" t="s">
        <v>1017</v>
      </c>
      <c r="G185" s="236" t="s">
        <v>1018</v>
      </c>
      <c r="H185" s="236" t="s">
        <v>1077</v>
      </c>
      <c r="I185" s="236" t="s">
        <v>1048</v>
      </c>
      <c r="J185" s="236" t="s">
        <v>1020</v>
      </c>
      <c r="K185" s="236">
        <v>3703</v>
      </c>
      <c r="L185" s="236">
        <v>568</v>
      </c>
      <c r="M185" s="237">
        <v>2103304</v>
      </c>
    </row>
    <row r="186" spans="1:13" x14ac:dyDescent="0.35">
      <c r="A186" s="235">
        <v>185</v>
      </c>
      <c r="B186" s="243">
        <v>46047</v>
      </c>
      <c r="C186" s="243" t="str">
        <f t="shared" si="18"/>
        <v>Jan</v>
      </c>
      <c r="D186" s="236" t="s">
        <v>1186</v>
      </c>
      <c r="E186" s="236" t="s">
        <v>1022</v>
      </c>
      <c r="F186" s="236" t="s">
        <v>1017</v>
      </c>
      <c r="G186" s="236" t="s">
        <v>1026</v>
      </c>
      <c r="H186" s="236" t="s">
        <v>1078</v>
      </c>
      <c r="I186" s="236" t="s">
        <v>1079</v>
      </c>
      <c r="J186" s="236" t="s">
        <v>1020</v>
      </c>
      <c r="K186" s="236">
        <v>6133</v>
      </c>
      <c r="L186" s="236">
        <v>505</v>
      </c>
      <c r="M186" s="237">
        <v>3097165</v>
      </c>
    </row>
    <row r="187" spans="1:13" x14ac:dyDescent="0.35">
      <c r="A187" s="235">
        <v>186</v>
      </c>
      <c r="B187" s="243">
        <v>46056</v>
      </c>
      <c r="C187" s="243" t="str">
        <f t="shared" si="18"/>
        <v>Feb</v>
      </c>
      <c r="D187" s="236" t="s">
        <v>1187</v>
      </c>
      <c r="E187" s="236" t="s">
        <v>1033</v>
      </c>
      <c r="F187" s="236" t="s">
        <v>1034</v>
      </c>
      <c r="G187" s="236" t="s">
        <v>1030</v>
      </c>
      <c r="H187" s="236" t="s">
        <v>1081</v>
      </c>
      <c r="I187" s="236" t="s">
        <v>1082</v>
      </c>
      <c r="J187" s="236" t="s">
        <v>1020</v>
      </c>
      <c r="K187" s="236">
        <v>7380</v>
      </c>
      <c r="L187" s="236">
        <v>794</v>
      </c>
      <c r="M187" s="237">
        <v>5859720</v>
      </c>
    </row>
    <row r="188" spans="1:13" x14ac:dyDescent="0.35">
      <c r="A188" s="235">
        <v>187</v>
      </c>
      <c r="B188" s="243">
        <v>46038</v>
      </c>
      <c r="C188" s="243" t="str">
        <f t="shared" si="18"/>
        <v>Jan</v>
      </c>
      <c r="D188" s="236" t="s">
        <v>1188</v>
      </c>
      <c r="E188" s="236" t="s">
        <v>1033</v>
      </c>
      <c r="F188" s="236" t="s">
        <v>1034</v>
      </c>
      <c r="G188" s="236" t="s">
        <v>1023</v>
      </c>
      <c r="H188" s="236" t="s">
        <v>1083</v>
      </c>
      <c r="I188" s="236" t="s">
        <v>1025</v>
      </c>
      <c r="J188" s="236" t="s">
        <v>1020</v>
      </c>
      <c r="K188" s="236">
        <v>2440</v>
      </c>
      <c r="L188" s="236">
        <v>815</v>
      </c>
      <c r="M188" s="237">
        <v>1988600</v>
      </c>
    </row>
    <row r="189" spans="1:13" x14ac:dyDescent="0.35">
      <c r="A189" s="235">
        <v>188</v>
      </c>
      <c r="B189" s="243">
        <v>46042</v>
      </c>
      <c r="C189" s="243" t="str">
        <f t="shared" si="18"/>
        <v>Jan</v>
      </c>
      <c r="D189" s="236" t="s">
        <v>1189</v>
      </c>
      <c r="E189" s="236" t="s">
        <v>1033</v>
      </c>
      <c r="F189" s="236" t="s">
        <v>1034</v>
      </c>
      <c r="G189" s="236" t="s">
        <v>1018</v>
      </c>
      <c r="H189" s="236" t="s">
        <v>1084</v>
      </c>
      <c r="I189" s="236" t="s">
        <v>1085</v>
      </c>
      <c r="J189" s="236" t="s">
        <v>1044</v>
      </c>
      <c r="K189" s="236">
        <v>4296</v>
      </c>
      <c r="L189" s="236">
        <v>960</v>
      </c>
      <c r="M189" s="237">
        <v>4124160</v>
      </c>
    </row>
    <row r="190" spans="1:13" x14ac:dyDescent="0.35">
      <c r="A190" s="235">
        <v>189</v>
      </c>
      <c r="B190" s="243">
        <v>45834</v>
      </c>
      <c r="C190" s="243" t="str">
        <f t="shared" si="18"/>
        <v>Jun</v>
      </c>
      <c r="D190" s="236" t="s">
        <v>1190</v>
      </c>
      <c r="E190" s="236" t="s">
        <v>1033</v>
      </c>
      <c r="F190" s="236" t="s">
        <v>1034</v>
      </c>
      <c r="G190" s="236" t="s">
        <v>1018</v>
      </c>
      <c r="H190" s="236" t="s">
        <v>1086</v>
      </c>
      <c r="I190" s="236" t="s">
        <v>1087</v>
      </c>
      <c r="J190" s="236" t="s">
        <v>1020</v>
      </c>
      <c r="K190" s="236">
        <v>9072</v>
      </c>
      <c r="L190" s="236">
        <v>735</v>
      </c>
      <c r="M190" s="237">
        <v>6667920</v>
      </c>
    </row>
    <row r="191" spans="1:13" x14ac:dyDescent="0.35">
      <c r="A191" s="235">
        <v>190</v>
      </c>
      <c r="B191" s="243">
        <v>46059</v>
      </c>
      <c r="C191" s="243" t="str">
        <f t="shared" si="18"/>
        <v>Feb</v>
      </c>
      <c r="D191" s="236" t="s">
        <v>1184</v>
      </c>
      <c r="E191" s="236" t="s">
        <v>1016</v>
      </c>
      <c r="F191" s="236" t="s">
        <v>1017</v>
      </c>
      <c r="G191" s="236" t="s">
        <v>1088</v>
      </c>
      <c r="H191" s="236" t="s">
        <v>1089</v>
      </c>
      <c r="I191" s="236" t="s">
        <v>1090</v>
      </c>
      <c r="J191" s="236" t="s">
        <v>1020</v>
      </c>
      <c r="K191" s="236">
        <v>6331</v>
      </c>
      <c r="L191" s="236">
        <v>573</v>
      </c>
      <c r="M191" s="237">
        <v>3627663</v>
      </c>
    </row>
    <row r="192" spans="1:13" x14ac:dyDescent="0.35">
      <c r="A192" s="235">
        <v>191</v>
      </c>
      <c r="B192" s="243">
        <v>45880</v>
      </c>
      <c r="C192" s="243" t="str">
        <f t="shared" si="18"/>
        <v>Aug</v>
      </c>
      <c r="D192" s="236" t="s">
        <v>1184</v>
      </c>
      <c r="E192" s="236" t="s">
        <v>1016</v>
      </c>
      <c r="F192" s="236" t="s">
        <v>1017</v>
      </c>
      <c r="G192" s="236" t="s">
        <v>1018</v>
      </c>
      <c r="H192" s="236" t="s">
        <v>1091</v>
      </c>
      <c r="I192" s="236" t="s">
        <v>1092</v>
      </c>
      <c r="J192" s="236" t="s">
        <v>1020</v>
      </c>
      <c r="K192" s="236">
        <v>5511</v>
      </c>
      <c r="L192" s="236">
        <v>832</v>
      </c>
      <c r="M192" s="237">
        <v>4585152</v>
      </c>
    </row>
    <row r="193" spans="1:13" x14ac:dyDescent="0.35">
      <c r="A193" s="235">
        <v>192</v>
      </c>
      <c r="B193" s="243">
        <v>46056</v>
      </c>
      <c r="C193" s="243" t="str">
        <f t="shared" si="18"/>
        <v>Feb</v>
      </c>
      <c r="D193" s="236" t="s">
        <v>1191</v>
      </c>
      <c r="E193" s="236" t="s">
        <v>1016</v>
      </c>
      <c r="F193" s="236" t="s">
        <v>1017</v>
      </c>
      <c r="G193" s="236" t="s">
        <v>1054</v>
      </c>
      <c r="H193" s="236" t="s">
        <v>1093</v>
      </c>
      <c r="I193" s="236" t="s">
        <v>1094</v>
      </c>
      <c r="J193" s="236" t="s">
        <v>1020</v>
      </c>
      <c r="K193" s="236">
        <v>7070</v>
      </c>
      <c r="L193" s="236">
        <v>896</v>
      </c>
      <c r="M193" s="237">
        <v>6334720</v>
      </c>
    </row>
    <row r="194" spans="1:13" x14ac:dyDescent="0.35">
      <c r="A194" s="235">
        <v>193</v>
      </c>
      <c r="B194" s="243">
        <v>45876</v>
      </c>
      <c r="C194" s="243" t="str">
        <f t="shared" si="18"/>
        <v>Aug</v>
      </c>
      <c r="D194" s="236" t="s">
        <v>1161</v>
      </c>
      <c r="E194" s="236" t="s">
        <v>1016</v>
      </c>
      <c r="F194" s="236" t="s">
        <v>1017</v>
      </c>
      <c r="G194" s="236" t="s">
        <v>1026</v>
      </c>
      <c r="H194" s="236" t="s">
        <v>1095</v>
      </c>
      <c r="I194" s="236" t="s">
        <v>1028</v>
      </c>
      <c r="J194" s="236" t="s">
        <v>1044</v>
      </c>
      <c r="K194" s="236">
        <v>4761</v>
      </c>
      <c r="L194" s="236">
        <v>819</v>
      </c>
      <c r="M194" s="237">
        <v>3899259</v>
      </c>
    </row>
    <row r="195" spans="1:13" x14ac:dyDescent="0.35">
      <c r="A195" s="235">
        <v>194</v>
      </c>
      <c r="B195" s="243">
        <v>46046</v>
      </c>
      <c r="C195" s="243" t="str">
        <f t="shared" ref="C195:C258" si="19">TEXT(B195,"mmm")</f>
        <v>Jan</v>
      </c>
      <c r="D195" s="236" t="s">
        <v>1161</v>
      </c>
      <c r="E195" s="236" t="s">
        <v>1016</v>
      </c>
      <c r="F195" s="236" t="s">
        <v>1017</v>
      </c>
      <c r="G195" s="236" t="s">
        <v>1026</v>
      </c>
      <c r="H195" s="236" t="s">
        <v>1027</v>
      </c>
      <c r="I195" s="236" t="s">
        <v>1028</v>
      </c>
      <c r="J195" s="236" t="s">
        <v>1044</v>
      </c>
      <c r="K195" s="236">
        <v>8127</v>
      </c>
      <c r="L195" s="236">
        <v>956</v>
      </c>
      <c r="M195" s="237">
        <v>7769412</v>
      </c>
    </row>
    <row r="196" spans="1:13" x14ac:dyDescent="0.35">
      <c r="A196" s="235">
        <v>195</v>
      </c>
      <c r="B196" s="243">
        <v>46033</v>
      </c>
      <c r="C196" s="243" t="str">
        <f t="shared" si="19"/>
        <v>Jan</v>
      </c>
      <c r="D196" s="236" t="s">
        <v>1192</v>
      </c>
      <c r="E196" s="236" t="s">
        <v>1016</v>
      </c>
      <c r="F196" s="236" t="s">
        <v>1017</v>
      </c>
      <c r="G196" s="236" t="s">
        <v>1054</v>
      </c>
      <c r="H196" s="236" t="s">
        <v>1098</v>
      </c>
      <c r="I196" s="236" t="s">
        <v>1056</v>
      </c>
      <c r="J196" s="236" t="s">
        <v>1044</v>
      </c>
      <c r="K196" s="236">
        <v>7794</v>
      </c>
      <c r="L196" s="236">
        <v>527</v>
      </c>
      <c r="M196" s="237">
        <v>4107438</v>
      </c>
    </row>
    <row r="197" spans="1:13" x14ac:dyDescent="0.35">
      <c r="A197" s="235">
        <v>196</v>
      </c>
      <c r="B197" s="243">
        <v>45965</v>
      </c>
      <c r="C197" s="243" t="str">
        <f t="shared" si="19"/>
        <v>Nov</v>
      </c>
      <c r="D197" s="236" t="s">
        <v>1193</v>
      </c>
      <c r="E197" s="236" t="s">
        <v>1057</v>
      </c>
      <c r="F197" s="236" t="s">
        <v>1034</v>
      </c>
      <c r="G197" s="236" t="s">
        <v>1026</v>
      </c>
      <c r="H197" s="236" t="s">
        <v>1099</v>
      </c>
      <c r="I197" s="236" t="s">
        <v>1079</v>
      </c>
      <c r="J197" s="236" t="s">
        <v>1044</v>
      </c>
      <c r="K197" s="236">
        <v>7427</v>
      </c>
      <c r="L197" s="236">
        <v>604</v>
      </c>
      <c r="M197" s="237">
        <v>4485908</v>
      </c>
    </row>
    <row r="198" spans="1:13" x14ac:dyDescent="0.35">
      <c r="A198" s="235">
        <v>197</v>
      </c>
      <c r="B198" s="243">
        <v>45891</v>
      </c>
      <c r="C198" s="243" t="str">
        <f t="shared" si="19"/>
        <v>Aug</v>
      </c>
      <c r="D198" s="236" t="s">
        <v>1161</v>
      </c>
      <c r="E198" s="236" t="s">
        <v>1057</v>
      </c>
      <c r="F198" s="236" t="s">
        <v>1034</v>
      </c>
      <c r="G198" s="236" t="s">
        <v>1026</v>
      </c>
      <c r="H198" s="236" t="s">
        <v>1100</v>
      </c>
      <c r="I198" s="236" t="s">
        <v>1028</v>
      </c>
      <c r="J198" s="236" t="s">
        <v>1044</v>
      </c>
      <c r="K198" s="236">
        <v>1929</v>
      </c>
      <c r="L198" s="236">
        <v>567</v>
      </c>
      <c r="M198" s="237">
        <v>1093743</v>
      </c>
    </row>
    <row r="199" spans="1:13" x14ac:dyDescent="0.35">
      <c r="A199" s="235">
        <v>198</v>
      </c>
      <c r="B199" s="243">
        <v>45801</v>
      </c>
      <c r="C199" s="243" t="str">
        <f t="shared" si="19"/>
        <v>May</v>
      </c>
      <c r="D199" s="236" t="s">
        <v>1184</v>
      </c>
      <c r="E199" s="236" t="s">
        <v>1057</v>
      </c>
      <c r="F199" s="236" t="s">
        <v>1034</v>
      </c>
      <c r="G199" s="236" t="s">
        <v>1030</v>
      </c>
      <c r="H199" s="236" t="s">
        <v>1101</v>
      </c>
      <c r="I199" s="236" t="s">
        <v>1036</v>
      </c>
      <c r="J199" s="236" t="s">
        <v>1044</v>
      </c>
      <c r="K199" s="236">
        <v>5142</v>
      </c>
      <c r="L199" s="236">
        <v>514</v>
      </c>
      <c r="M199" s="237">
        <v>2642988</v>
      </c>
    </row>
    <row r="200" spans="1:13" x14ac:dyDescent="0.35">
      <c r="A200" s="235">
        <v>199</v>
      </c>
      <c r="B200" s="243">
        <v>46006</v>
      </c>
      <c r="C200" s="243" t="str">
        <f t="shared" si="19"/>
        <v>Dec</v>
      </c>
      <c r="D200" s="236" t="s">
        <v>1184</v>
      </c>
      <c r="E200" s="236" t="s">
        <v>1057</v>
      </c>
      <c r="F200" s="236" t="s">
        <v>1034</v>
      </c>
      <c r="G200" s="236" t="s">
        <v>1023</v>
      </c>
      <c r="H200" s="236" t="s">
        <v>1024</v>
      </c>
      <c r="I200" s="236" t="s">
        <v>1025</v>
      </c>
      <c r="J200" s="236" t="s">
        <v>1044</v>
      </c>
      <c r="K200" s="236">
        <v>8613</v>
      </c>
      <c r="L200" s="236">
        <v>796</v>
      </c>
      <c r="M200" s="237">
        <v>6855948</v>
      </c>
    </row>
    <row r="201" spans="1:13" x14ac:dyDescent="0.35">
      <c r="A201" s="235">
        <v>200</v>
      </c>
      <c r="B201" s="243">
        <v>45986</v>
      </c>
      <c r="C201" s="243" t="str">
        <f t="shared" si="19"/>
        <v>Nov</v>
      </c>
      <c r="D201" s="236" t="s">
        <v>1184</v>
      </c>
      <c r="E201" s="236" t="s">
        <v>1057</v>
      </c>
      <c r="F201" s="236" t="s">
        <v>1034</v>
      </c>
      <c r="G201" s="236" t="s">
        <v>1030</v>
      </c>
      <c r="H201" s="236" t="s">
        <v>1031</v>
      </c>
      <c r="I201" s="236" t="s">
        <v>1032</v>
      </c>
      <c r="J201" s="236" t="s">
        <v>1044</v>
      </c>
      <c r="K201" s="236">
        <v>4013</v>
      </c>
      <c r="L201" s="236">
        <v>818</v>
      </c>
      <c r="M201" s="237">
        <v>3282634</v>
      </c>
    </row>
    <row r="202" spans="1:13" x14ac:dyDescent="0.35">
      <c r="A202" s="235">
        <v>201</v>
      </c>
      <c r="B202" s="243">
        <v>45931</v>
      </c>
      <c r="C202" s="243" t="str">
        <f t="shared" si="19"/>
        <v>Oct</v>
      </c>
      <c r="D202" s="236" t="s">
        <v>1184</v>
      </c>
      <c r="E202" s="236" t="s">
        <v>1070</v>
      </c>
      <c r="F202" s="236" t="s">
        <v>1017</v>
      </c>
      <c r="G202" s="236" t="s">
        <v>1030</v>
      </c>
      <c r="H202" s="236" t="s">
        <v>1035</v>
      </c>
      <c r="I202" s="236" t="s">
        <v>1036</v>
      </c>
      <c r="J202" s="236" t="s">
        <v>1020</v>
      </c>
      <c r="K202" s="236">
        <v>1882</v>
      </c>
      <c r="L202" s="236">
        <v>560</v>
      </c>
      <c r="M202" s="237">
        <v>1053920</v>
      </c>
    </row>
    <row r="203" spans="1:13" x14ac:dyDescent="0.35">
      <c r="A203" s="235">
        <v>202</v>
      </c>
      <c r="B203" s="243">
        <v>45808</v>
      </c>
      <c r="C203" s="243" t="str">
        <f t="shared" si="19"/>
        <v>May</v>
      </c>
      <c r="D203" s="236" t="s">
        <v>1184</v>
      </c>
      <c r="E203" s="236" t="s">
        <v>1070</v>
      </c>
      <c r="F203" s="236" t="s">
        <v>1017</v>
      </c>
      <c r="G203" s="236" t="s">
        <v>1030</v>
      </c>
      <c r="H203" s="236" t="s">
        <v>1037</v>
      </c>
      <c r="I203" s="236" t="s">
        <v>1038</v>
      </c>
      <c r="J203" s="236" t="s">
        <v>1020</v>
      </c>
      <c r="K203" s="236">
        <v>3794</v>
      </c>
      <c r="L203" s="236">
        <v>734</v>
      </c>
      <c r="M203" s="237">
        <v>2784796</v>
      </c>
    </row>
    <row r="204" spans="1:13" x14ac:dyDescent="0.35">
      <c r="A204" s="235">
        <v>203</v>
      </c>
      <c r="B204" s="243">
        <v>46061</v>
      </c>
      <c r="C204" s="243" t="str">
        <f t="shared" si="19"/>
        <v>Feb</v>
      </c>
      <c r="D204" s="236" t="s">
        <v>1184</v>
      </c>
      <c r="E204" s="236" t="s">
        <v>1070</v>
      </c>
      <c r="F204" s="236" t="s">
        <v>1017</v>
      </c>
      <c r="G204" s="236" t="s">
        <v>1023</v>
      </c>
      <c r="H204" s="236" t="s">
        <v>1039</v>
      </c>
      <c r="I204" s="236" t="s">
        <v>1040</v>
      </c>
      <c r="J204" s="236" t="s">
        <v>1020</v>
      </c>
      <c r="K204" s="236">
        <v>2105</v>
      </c>
      <c r="L204" s="236">
        <v>981</v>
      </c>
      <c r="M204" s="237">
        <v>2065005</v>
      </c>
    </row>
    <row r="205" spans="1:13" x14ac:dyDescent="0.35">
      <c r="A205" s="235">
        <v>204</v>
      </c>
      <c r="B205" s="243">
        <v>45952</v>
      </c>
      <c r="C205" s="243" t="str">
        <f t="shared" si="19"/>
        <v>Oct</v>
      </c>
      <c r="D205" s="236" t="s">
        <v>1184</v>
      </c>
      <c r="E205" s="236" t="s">
        <v>1070</v>
      </c>
      <c r="F205" s="236" t="s">
        <v>1017</v>
      </c>
      <c r="G205" s="236" t="s">
        <v>1023</v>
      </c>
      <c r="H205" s="236" t="s">
        <v>1041</v>
      </c>
      <c r="I205" s="236" t="s">
        <v>1025</v>
      </c>
      <c r="J205" s="236" t="s">
        <v>1020</v>
      </c>
      <c r="K205" s="236">
        <v>7654</v>
      </c>
      <c r="L205" s="236">
        <v>881</v>
      </c>
      <c r="M205" s="237">
        <v>6743174</v>
      </c>
    </row>
    <row r="206" spans="1:13" x14ac:dyDescent="0.35">
      <c r="A206" s="235">
        <v>205</v>
      </c>
      <c r="B206" s="243">
        <v>46008</v>
      </c>
      <c r="C206" s="243" t="str">
        <f t="shared" si="19"/>
        <v>Dec</v>
      </c>
      <c r="D206" s="236" t="s">
        <v>1184</v>
      </c>
      <c r="E206" s="236" t="s">
        <v>1070</v>
      </c>
      <c r="F206" s="236" t="s">
        <v>1017</v>
      </c>
      <c r="G206" s="236" t="s">
        <v>1018</v>
      </c>
      <c r="H206" s="236" t="s">
        <v>1042</v>
      </c>
      <c r="I206" s="236" t="s">
        <v>1043</v>
      </c>
      <c r="J206" s="236" t="s">
        <v>1020</v>
      </c>
      <c r="K206" s="236">
        <v>9045</v>
      </c>
      <c r="L206" s="236">
        <v>544</v>
      </c>
      <c r="M206" s="237">
        <v>4920480</v>
      </c>
    </row>
    <row r="207" spans="1:13" x14ac:dyDescent="0.35">
      <c r="A207" s="235">
        <v>206</v>
      </c>
      <c r="B207" s="243">
        <v>45861</v>
      </c>
      <c r="C207" s="243" t="str">
        <f t="shared" si="19"/>
        <v>Jul</v>
      </c>
      <c r="D207" s="236" t="s">
        <v>1184</v>
      </c>
      <c r="E207" s="236" t="s">
        <v>1070</v>
      </c>
      <c r="F207" s="236" t="s">
        <v>1017</v>
      </c>
      <c r="G207" s="236" t="s">
        <v>1023</v>
      </c>
      <c r="H207" s="236" t="s">
        <v>1046</v>
      </c>
      <c r="I207" s="236" t="s">
        <v>1040</v>
      </c>
      <c r="J207" s="236" t="s">
        <v>1044</v>
      </c>
      <c r="K207" s="236">
        <v>2088</v>
      </c>
      <c r="L207" s="236">
        <v>678</v>
      </c>
      <c r="M207" s="237">
        <v>1415664</v>
      </c>
    </row>
    <row r="208" spans="1:13" x14ac:dyDescent="0.35">
      <c r="A208" s="235">
        <v>207</v>
      </c>
      <c r="B208" s="243">
        <v>45774</v>
      </c>
      <c r="C208" s="243" t="str">
        <f t="shared" si="19"/>
        <v>Apr</v>
      </c>
      <c r="D208" s="236" t="s">
        <v>1194</v>
      </c>
      <c r="E208" s="236" t="s">
        <v>1070</v>
      </c>
      <c r="F208" s="236" t="s">
        <v>1017</v>
      </c>
      <c r="G208" s="236" t="s">
        <v>1018</v>
      </c>
      <c r="H208" s="236" t="s">
        <v>1047</v>
      </c>
      <c r="I208" s="236" t="s">
        <v>1048</v>
      </c>
      <c r="J208" s="236" t="s">
        <v>1044</v>
      </c>
      <c r="K208" s="236">
        <v>3793</v>
      </c>
      <c r="L208" s="236">
        <v>657</v>
      </c>
      <c r="M208" s="237">
        <v>2492001</v>
      </c>
    </row>
    <row r="209" spans="1:13" x14ac:dyDescent="0.35">
      <c r="A209" s="235">
        <v>208</v>
      </c>
      <c r="B209" s="243">
        <v>45948</v>
      </c>
      <c r="C209" s="243" t="str">
        <f t="shared" si="19"/>
        <v>Oct</v>
      </c>
      <c r="D209" s="236" t="s">
        <v>1184</v>
      </c>
      <c r="E209" s="236" t="s">
        <v>1070</v>
      </c>
      <c r="F209" s="236" t="s">
        <v>1017</v>
      </c>
      <c r="G209" s="236" t="s">
        <v>1018</v>
      </c>
      <c r="H209" s="236" t="s">
        <v>1050</v>
      </c>
      <c r="I209" s="236" t="s">
        <v>1048</v>
      </c>
      <c r="J209" s="236" t="s">
        <v>1044</v>
      </c>
      <c r="K209" s="236">
        <v>6566</v>
      </c>
      <c r="L209" s="236">
        <v>674</v>
      </c>
      <c r="M209" s="237">
        <v>4425484</v>
      </c>
    </row>
    <row r="210" spans="1:13" x14ac:dyDescent="0.35">
      <c r="A210" s="235">
        <v>209</v>
      </c>
      <c r="B210" s="243">
        <v>45913</v>
      </c>
      <c r="C210" s="243" t="str">
        <f t="shared" si="19"/>
        <v>Sep</v>
      </c>
      <c r="D210" s="236" t="s">
        <v>1195</v>
      </c>
      <c r="E210" s="236" t="s">
        <v>1070</v>
      </c>
      <c r="F210" s="236" t="s">
        <v>1017</v>
      </c>
      <c r="G210" s="236" t="s">
        <v>1054</v>
      </c>
      <c r="H210" s="236" t="s">
        <v>1055</v>
      </c>
      <c r="I210" s="236" t="s">
        <v>1056</v>
      </c>
      <c r="J210" s="236" t="s">
        <v>1020</v>
      </c>
      <c r="K210" s="236">
        <v>2714</v>
      </c>
      <c r="L210" s="236">
        <v>607</v>
      </c>
      <c r="M210" s="237">
        <v>1647398</v>
      </c>
    </row>
    <row r="211" spans="1:13" x14ac:dyDescent="0.35">
      <c r="A211" s="235">
        <v>210</v>
      </c>
      <c r="B211" s="243">
        <v>45816</v>
      </c>
      <c r="C211" s="243" t="str">
        <f t="shared" si="19"/>
        <v>Jun</v>
      </c>
      <c r="D211" s="236" t="s">
        <v>1196</v>
      </c>
      <c r="E211" s="236" t="s">
        <v>1070</v>
      </c>
      <c r="F211" s="236" t="s">
        <v>1017</v>
      </c>
      <c r="G211" s="236" t="s">
        <v>1023</v>
      </c>
      <c r="H211" s="236" t="s">
        <v>1058</v>
      </c>
      <c r="I211" s="236" t="s">
        <v>1025</v>
      </c>
      <c r="J211" s="236" t="s">
        <v>1020</v>
      </c>
      <c r="K211" s="236">
        <v>7249</v>
      </c>
      <c r="L211" s="236">
        <v>645</v>
      </c>
      <c r="M211" s="237">
        <v>4675605</v>
      </c>
    </row>
    <row r="212" spans="1:13" x14ac:dyDescent="0.35">
      <c r="A212" s="235">
        <v>211</v>
      </c>
      <c r="B212" s="243">
        <v>45774</v>
      </c>
      <c r="C212" s="243" t="str">
        <f t="shared" si="19"/>
        <v>Apr</v>
      </c>
      <c r="D212" s="236" t="s">
        <v>1197</v>
      </c>
      <c r="E212" s="236" t="s">
        <v>1070</v>
      </c>
      <c r="F212" s="236" t="s">
        <v>1017</v>
      </c>
      <c r="G212" s="236" t="s">
        <v>1059</v>
      </c>
      <c r="H212" s="236" t="s">
        <v>1060</v>
      </c>
      <c r="I212" s="236" t="s">
        <v>1060</v>
      </c>
      <c r="J212" s="236" t="s">
        <v>1020</v>
      </c>
      <c r="K212" s="236">
        <v>7924</v>
      </c>
      <c r="L212" s="236">
        <v>855</v>
      </c>
      <c r="M212" s="237">
        <v>6775020</v>
      </c>
    </row>
    <row r="213" spans="1:13" x14ac:dyDescent="0.35">
      <c r="A213" s="235">
        <v>212</v>
      </c>
      <c r="B213" s="243">
        <v>45790</v>
      </c>
      <c r="C213" s="243" t="str">
        <f t="shared" si="19"/>
        <v>May</v>
      </c>
      <c r="D213" s="236" t="s">
        <v>1161</v>
      </c>
      <c r="E213" s="236" t="s">
        <v>1070</v>
      </c>
      <c r="F213" s="236" t="s">
        <v>1017</v>
      </c>
      <c r="G213" s="236" t="s">
        <v>1054</v>
      </c>
      <c r="H213" s="236" t="s">
        <v>1061</v>
      </c>
      <c r="I213" s="236" t="s">
        <v>1056</v>
      </c>
      <c r="J213" s="236" t="s">
        <v>1020</v>
      </c>
      <c r="K213" s="236">
        <v>6728</v>
      </c>
      <c r="L213" s="236">
        <v>701</v>
      </c>
      <c r="M213" s="237">
        <v>4716328</v>
      </c>
    </row>
    <row r="214" spans="1:13" x14ac:dyDescent="0.35">
      <c r="A214" s="235">
        <v>213</v>
      </c>
      <c r="B214" s="243">
        <v>45970</v>
      </c>
      <c r="C214" s="243" t="str">
        <f t="shared" si="19"/>
        <v>Nov</v>
      </c>
      <c r="D214" s="236" t="s">
        <v>1198</v>
      </c>
      <c r="E214" s="236" t="s">
        <v>1070</v>
      </c>
      <c r="F214" s="236" t="s">
        <v>1017</v>
      </c>
      <c r="G214" s="236" t="s">
        <v>1030</v>
      </c>
      <c r="H214" s="236" t="s">
        <v>1063</v>
      </c>
      <c r="I214" s="236" t="s">
        <v>1064</v>
      </c>
      <c r="J214" s="236" t="s">
        <v>1044</v>
      </c>
      <c r="K214" s="236">
        <v>6384</v>
      </c>
      <c r="L214" s="236">
        <v>575</v>
      </c>
      <c r="M214" s="237">
        <v>3670800</v>
      </c>
    </row>
    <row r="215" spans="1:13" x14ac:dyDescent="0.35">
      <c r="A215" s="235">
        <v>214</v>
      </c>
      <c r="B215" s="243">
        <v>45876</v>
      </c>
      <c r="C215" s="243" t="str">
        <f t="shared" si="19"/>
        <v>Aug</v>
      </c>
      <c r="D215" s="236" t="s">
        <v>1199</v>
      </c>
      <c r="E215" s="236" t="s">
        <v>1070</v>
      </c>
      <c r="F215" s="236" t="s">
        <v>1017</v>
      </c>
      <c r="G215" s="236" t="s">
        <v>1026</v>
      </c>
      <c r="H215" s="236" t="s">
        <v>1066</v>
      </c>
      <c r="I215" s="236" t="s">
        <v>1067</v>
      </c>
      <c r="J215" s="236" t="s">
        <v>1044</v>
      </c>
      <c r="K215" s="236">
        <v>3372</v>
      </c>
      <c r="L215" s="236">
        <v>533</v>
      </c>
      <c r="M215" s="237">
        <v>1797276</v>
      </c>
    </row>
    <row r="216" spans="1:13" x14ac:dyDescent="0.35">
      <c r="A216" s="235">
        <v>215</v>
      </c>
      <c r="B216" s="243">
        <v>46008</v>
      </c>
      <c r="C216" s="243" t="str">
        <f t="shared" si="19"/>
        <v>Dec</v>
      </c>
      <c r="D216" s="236" t="s">
        <v>1200</v>
      </c>
      <c r="E216" s="236" t="s">
        <v>1097</v>
      </c>
      <c r="F216" s="236" t="s">
        <v>1017</v>
      </c>
      <c r="G216" s="236" t="s">
        <v>1023</v>
      </c>
      <c r="H216" s="236" t="s">
        <v>1068</v>
      </c>
      <c r="I216" s="236" t="s">
        <v>1040</v>
      </c>
      <c r="J216" s="236" t="s">
        <v>1044</v>
      </c>
      <c r="K216" s="236">
        <v>1817</v>
      </c>
      <c r="L216" s="236">
        <v>615</v>
      </c>
      <c r="M216" s="237">
        <v>1117455</v>
      </c>
    </row>
    <row r="217" spans="1:13" x14ac:dyDescent="0.35">
      <c r="A217" s="235">
        <v>216</v>
      </c>
      <c r="B217" s="243">
        <v>45835</v>
      </c>
      <c r="C217" s="243" t="str">
        <f t="shared" si="19"/>
        <v>Jun</v>
      </c>
      <c r="D217" s="236" t="s">
        <v>1161</v>
      </c>
      <c r="E217" s="236" t="s">
        <v>1097</v>
      </c>
      <c r="F217" s="236" t="s">
        <v>1017</v>
      </c>
      <c r="G217" s="236" t="s">
        <v>1018</v>
      </c>
      <c r="H217" s="236" t="s">
        <v>1069</v>
      </c>
      <c r="I217" s="236" t="s">
        <v>1048</v>
      </c>
      <c r="J217" s="236" t="s">
        <v>1044</v>
      </c>
      <c r="K217" s="236">
        <v>3910</v>
      </c>
      <c r="L217" s="236">
        <v>521</v>
      </c>
      <c r="M217" s="237">
        <v>2037110</v>
      </c>
    </row>
    <row r="218" spans="1:13" x14ac:dyDescent="0.35">
      <c r="A218" s="235">
        <v>217</v>
      </c>
      <c r="B218" s="243">
        <v>46015</v>
      </c>
      <c r="C218" s="243" t="str">
        <f t="shared" si="19"/>
        <v>Dec</v>
      </c>
      <c r="D218" s="236" t="s">
        <v>1201</v>
      </c>
      <c r="E218" s="236" t="s">
        <v>1097</v>
      </c>
      <c r="F218" s="236" t="s">
        <v>1017</v>
      </c>
      <c r="G218" s="236" t="s">
        <v>1018</v>
      </c>
      <c r="H218" s="236" t="s">
        <v>1071</v>
      </c>
      <c r="I218" s="236" t="s">
        <v>1048</v>
      </c>
      <c r="J218" s="236" t="s">
        <v>1044</v>
      </c>
      <c r="K218" s="236">
        <v>9238</v>
      </c>
      <c r="L218" s="236">
        <v>630</v>
      </c>
      <c r="M218" s="237">
        <v>5819940</v>
      </c>
    </row>
    <row r="219" spans="1:13" x14ac:dyDescent="0.35">
      <c r="A219" s="235">
        <v>218</v>
      </c>
      <c r="B219" s="243">
        <v>45979</v>
      </c>
      <c r="C219" s="243" t="str">
        <f t="shared" si="19"/>
        <v>Nov</v>
      </c>
      <c r="D219" s="236" t="s">
        <v>1202</v>
      </c>
      <c r="E219" s="236" t="s">
        <v>1097</v>
      </c>
      <c r="F219" s="236" t="s">
        <v>1017</v>
      </c>
      <c r="G219" s="236" t="s">
        <v>1030</v>
      </c>
      <c r="H219" s="236" t="s">
        <v>1072</v>
      </c>
      <c r="I219" s="236" t="s">
        <v>1032</v>
      </c>
      <c r="J219" s="236" t="s">
        <v>1044</v>
      </c>
      <c r="K219" s="236">
        <v>8891</v>
      </c>
      <c r="L219" s="236">
        <v>500</v>
      </c>
      <c r="M219" s="237">
        <v>4445500</v>
      </c>
    </row>
    <row r="220" spans="1:13" x14ac:dyDescent="0.35">
      <c r="A220" s="235">
        <v>219</v>
      </c>
      <c r="B220" s="243">
        <v>46076</v>
      </c>
      <c r="C220" s="243" t="str">
        <f t="shared" si="19"/>
        <v>Feb</v>
      </c>
      <c r="D220" s="236" t="s">
        <v>1203</v>
      </c>
      <c r="E220" s="236" t="s">
        <v>1097</v>
      </c>
      <c r="F220" s="236" t="s">
        <v>1017</v>
      </c>
      <c r="G220" s="236" t="s">
        <v>1030</v>
      </c>
      <c r="H220" s="236" t="s">
        <v>1073</v>
      </c>
      <c r="I220" s="236" t="s">
        <v>1032</v>
      </c>
      <c r="J220" s="236" t="s">
        <v>1044</v>
      </c>
      <c r="K220" s="236">
        <v>5367</v>
      </c>
      <c r="L220" s="236">
        <v>606</v>
      </c>
      <c r="M220" s="237">
        <v>3252402</v>
      </c>
    </row>
    <row r="221" spans="1:13" x14ac:dyDescent="0.35">
      <c r="A221" s="235">
        <v>220</v>
      </c>
      <c r="B221" s="243">
        <v>45875</v>
      </c>
      <c r="C221" s="243" t="str">
        <f t="shared" si="19"/>
        <v>Aug</v>
      </c>
      <c r="D221" s="236" t="s">
        <v>1204</v>
      </c>
      <c r="E221" s="236" t="s">
        <v>1097</v>
      </c>
      <c r="F221" s="236" t="s">
        <v>1017</v>
      </c>
      <c r="G221" s="236" t="s">
        <v>1018</v>
      </c>
      <c r="H221" s="236" t="s">
        <v>1075</v>
      </c>
      <c r="I221" s="236" t="s">
        <v>1043</v>
      </c>
      <c r="J221" s="236" t="s">
        <v>1020</v>
      </c>
      <c r="K221" s="236">
        <v>5733</v>
      </c>
      <c r="L221" s="236">
        <v>582</v>
      </c>
      <c r="M221" s="237">
        <v>3336606</v>
      </c>
    </row>
    <row r="222" spans="1:13" ht="12.5" customHeight="1" x14ac:dyDescent="0.35">
      <c r="A222" s="235">
        <v>221</v>
      </c>
      <c r="B222" s="243">
        <v>45997</v>
      </c>
      <c r="C222" s="243" t="str">
        <f t="shared" si="19"/>
        <v>Dec</v>
      </c>
      <c r="D222" s="236" t="s">
        <v>1161</v>
      </c>
      <c r="E222" s="236" t="s">
        <v>1097</v>
      </c>
      <c r="F222" s="236" t="s">
        <v>1017</v>
      </c>
      <c r="G222" s="236" t="s">
        <v>1018</v>
      </c>
      <c r="H222" s="236" t="s">
        <v>1077</v>
      </c>
      <c r="I222" s="236" t="s">
        <v>1048</v>
      </c>
      <c r="J222" s="236" t="s">
        <v>1020</v>
      </c>
      <c r="K222" s="236">
        <v>6120</v>
      </c>
      <c r="L222" s="236">
        <v>647</v>
      </c>
      <c r="M222" s="237">
        <v>3959640</v>
      </c>
    </row>
    <row r="223" spans="1:13" x14ac:dyDescent="0.35">
      <c r="A223" s="235">
        <v>222</v>
      </c>
      <c r="B223" s="243">
        <v>45781</v>
      </c>
      <c r="C223" s="243" t="str">
        <f t="shared" si="19"/>
        <v>May</v>
      </c>
      <c r="D223" s="236" t="s">
        <v>1205</v>
      </c>
      <c r="E223" s="236" t="s">
        <v>1097</v>
      </c>
      <c r="F223" s="236" t="s">
        <v>1017</v>
      </c>
      <c r="G223" s="236" t="s">
        <v>1026</v>
      </c>
      <c r="H223" s="236" t="s">
        <v>1078</v>
      </c>
      <c r="I223" s="236" t="s">
        <v>1079</v>
      </c>
      <c r="J223" s="236" t="s">
        <v>1020</v>
      </c>
      <c r="K223" s="236">
        <v>4560</v>
      </c>
      <c r="L223" s="236">
        <v>779</v>
      </c>
      <c r="M223" s="237">
        <v>3552240</v>
      </c>
    </row>
    <row r="224" spans="1:13" x14ac:dyDescent="0.35">
      <c r="A224" s="235">
        <v>223</v>
      </c>
      <c r="B224" s="243">
        <v>45767</v>
      </c>
      <c r="C224" s="243" t="str">
        <f t="shared" si="19"/>
        <v>Apr</v>
      </c>
      <c r="D224" s="236" t="s">
        <v>1206</v>
      </c>
      <c r="E224" s="236" t="s">
        <v>1097</v>
      </c>
      <c r="F224" s="236" t="s">
        <v>1017</v>
      </c>
      <c r="G224" s="236" t="s">
        <v>1030</v>
      </c>
      <c r="H224" s="236" t="s">
        <v>1081</v>
      </c>
      <c r="I224" s="236" t="s">
        <v>1082</v>
      </c>
      <c r="J224" s="236" t="s">
        <v>1020</v>
      </c>
      <c r="K224" s="236">
        <v>7880</v>
      </c>
      <c r="L224" s="236">
        <v>814</v>
      </c>
      <c r="M224" s="237">
        <v>6414320</v>
      </c>
    </row>
    <row r="225" spans="1:13" x14ac:dyDescent="0.35">
      <c r="A225" s="235">
        <v>224</v>
      </c>
      <c r="B225" s="243">
        <v>45766</v>
      </c>
      <c r="C225" s="243" t="str">
        <f t="shared" si="19"/>
        <v>Apr</v>
      </c>
      <c r="D225" s="236" t="s">
        <v>1207</v>
      </c>
      <c r="E225" s="236" t="s">
        <v>1097</v>
      </c>
      <c r="F225" s="236" t="s">
        <v>1017</v>
      </c>
      <c r="G225" s="236" t="s">
        <v>1023</v>
      </c>
      <c r="H225" s="236" t="s">
        <v>1083</v>
      </c>
      <c r="I225" s="236" t="s">
        <v>1025</v>
      </c>
      <c r="J225" s="236" t="s">
        <v>1044</v>
      </c>
      <c r="K225" s="236">
        <v>4940</v>
      </c>
      <c r="L225" s="236">
        <v>517</v>
      </c>
      <c r="M225" s="237">
        <v>2553980</v>
      </c>
    </row>
    <row r="226" spans="1:13" x14ac:dyDescent="0.35">
      <c r="A226" s="235">
        <v>225</v>
      </c>
      <c r="B226" s="243">
        <v>45932</v>
      </c>
      <c r="C226" s="243" t="str">
        <f t="shared" si="19"/>
        <v>Oct</v>
      </c>
      <c r="D226" s="236" t="s">
        <v>1208</v>
      </c>
      <c r="E226" s="236" t="s">
        <v>1097</v>
      </c>
      <c r="F226" s="236" t="s">
        <v>1017</v>
      </c>
      <c r="G226" s="236" t="s">
        <v>1018</v>
      </c>
      <c r="H226" s="236" t="s">
        <v>1084</v>
      </c>
      <c r="I226" s="236" t="s">
        <v>1085</v>
      </c>
      <c r="J226" s="236" t="s">
        <v>1020</v>
      </c>
      <c r="K226" s="236">
        <v>4721</v>
      </c>
      <c r="L226" s="236">
        <v>620</v>
      </c>
      <c r="M226" s="237">
        <v>2927020</v>
      </c>
    </row>
    <row r="227" spans="1:13" x14ac:dyDescent="0.35">
      <c r="A227" s="235">
        <v>226</v>
      </c>
      <c r="B227" s="243">
        <v>45866</v>
      </c>
      <c r="C227" s="243" t="str">
        <f t="shared" si="19"/>
        <v>Jul</v>
      </c>
      <c r="D227" s="236" t="s">
        <v>1161</v>
      </c>
      <c r="E227" s="236" t="s">
        <v>1097</v>
      </c>
      <c r="F227" s="236" t="s">
        <v>1017</v>
      </c>
      <c r="G227" s="236" t="s">
        <v>1018</v>
      </c>
      <c r="H227" s="236" t="s">
        <v>1086</v>
      </c>
      <c r="I227" s="236" t="s">
        <v>1087</v>
      </c>
      <c r="J227" s="236" t="s">
        <v>1020</v>
      </c>
      <c r="K227" s="236">
        <v>2837</v>
      </c>
      <c r="L227" s="236">
        <v>831</v>
      </c>
      <c r="M227" s="237">
        <v>2357547</v>
      </c>
    </row>
    <row r="228" spans="1:13" x14ac:dyDescent="0.35">
      <c r="A228" s="235">
        <v>227</v>
      </c>
      <c r="B228" s="243">
        <v>45789</v>
      </c>
      <c r="C228" s="243" t="str">
        <f t="shared" si="19"/>
        <v>May</v>
      </c>
      <c r="D228" s="236" t="s">
        <v>1148</v>
      </c>
      <c r="E228" s="236" t="s">
        <v>1104</v>
      </c>
      <c r="F228" s="236" t="s">
        <v>1034</v>
      </c>
      <c r="G228" s="236" t="s">
        <v>1088</v>
      </c>
      <c r="H228" s="236" t="s">
        <v>1089</v>
      </c>
      <c r="I228" s="236" t="s">
        <v>1090</v>
      </c>
      <c r="J228" s="236" t="s">
        <v>1020</v>
      </c>
      <c r="K228" s="236">
        <v>2085</v>
      </c>
      <c r="L228" s="236">
        <v>595</v>
      </c>
      <c r="M228" s="237">
        <v>1240575</v>
      </c>
    </row>
    <row r="229" spans="1:13" x14ac:dyDescent="0.35">
      <c r="A229" s="235">
        <v>228</v>
      </c>
      <c r="B229" s="243">
        <v>45923</v>
      </c>
      <c r="C229" s="243" t="str">
        <f t="shared" si="19"/>
        <v>Sep</v>
      </c>
      <c r="D229" s="236" t="s">
        <v>1209</v>
      </c>
      <c r="E229" s="236" t="s">
        <v>1104</v>
      </c>
      <c r="F229" s="236" t="s">
        <v>1034</v>
      </c>
      <c r="G229" s="236" t="s">
        <v>1018</v>
      </c>
      <c r="H229" s="236" t="s">
        <v>1091</v>
      </c>
      <c r="I229" s="236" t="s">
        <v>1092</v>
      </c>
      <c r="J229" s="236" t="s">
        <v>1020</v>
      </c>
      <c r="K229" s="236">
        <v>2616</v>
      </c>
      <c r="L229" s="236">
        <v>652</v>
      </c>
      <c r="M229" s="237">
        <v>1705632</v>
      </c>
    </row>
    <row r="230" spans="1:13" x14ac:dyDescent="0.35">
      <c r="A230" s="235">
        <v>229</v>
      </c>
      <c r="B230" s="243">
        <v>46062</v>
      </c>
      <c r="C230" s="243" t="str">
        <f t="shared" si="19"/>
        <v>Feb</v>
      </c>
      <c r="D230" s="236" t="s">
        <v>1184</v>
      </c>
      <c r="E230" s="236" t="s">
        <v>1104</v>
      </c>
      <c r="F230" s="236" t="s">
        <v>1034</v>
      </c>
      <c r="G230" s="236" t="s">
        <v>1054</v>
      </c>
      <c r="H230" s="236" t="s">
        <v>1093</v>
      </c>
      <c r="I230" s="236" t="s">
        <v>1094</v>
      </c>
      <c r="J230" s="236" t="s">
        <v>1044</v>
      </c>
      <c r="K230" s="236">
        <v>6023</v>
      </c>
      <c r="L230" s="236">
        <v>707</v>
      </c>
      <c r="M230" s="237">
        <v>4258261</v>
      </c>
    </row>
    <row r="231" spans="1:13" x14ac:dyDescent="0.35">
      <c r="A231" s="235">
        <v>230</v>
      </c>
      <c r="B231" s="243">
        <v>45973</v>
      </c>
      <c r="C231" s="243" t="str">
        <f t="shared" si="19"/>
        <v>Nov</v>
      </c>
      <c r="D231" s="236" t="s">
        <v>1161</v>
      </c>
      <c r="E231" s="236" t="s">
        <v>1104</v>
      </c>
      <c r="F231" s="236" t="s">
        <v>1034</v>
      </c>
      <c r="G231" s="236" t="s">
        <v>1026</v>
      </c>
      <c r="H231" s="236" t="s">
        <v>1095</v>
      </c>
      <c r="I231" s="236" t="s">
        <v>1028</v>
      </c>
      <c r="J231" s="236" t="s">
        <v>1044</v>
      </c>
      <c r="K231" s="236">
        <v>6681</v>
      </c>
      <c r="L231" s="236">
        <v>886</v>
      </c>
      <c r="M231" s="237">
        <v>5919366</v>
      </c>
    </row>
    <row r="232" spans="1:13" x14ac:dyDescent="0.35">
      <c r="A232" s="235">
        <v>231</v>
      </c>
      <c r="B232" s="243">
        <v>46041</v>
      </c>
      <c r="C232" s="243" t="str">
        <f t="shared" si="19"/>
        <v>Jan</v>
      </c>
      <c r="D232" s="236" t="s">
        <v>1210</v>
      </c>
      <c r="E232" s="236" t="s">
        <v>1104</v>
      </c>
      <c r="F232" s="236" t="s">
        <v>1034</v>
      </c>
      <c r="G232" s="236" t="s">
        <v>1023</v>
      </c>
      <c r="H232" s="236" t="s">
        <v>1068</v>
      </c>
      <c r="I232" s="236" t="s">
        <v>1040</v>
      </c>
      <c r="J232" s="236" t="s">
        <v>1044</v>
      </c>
      <c r="K232" s="236">
        <v>8243</v>
      </c>
      <c r="L232" s="236">
        <v>630</v>
      </c>
      <c r="M232" s="237">
        <v>5193090</v>
      </c>
    </row>
    <row r="233" spans="1:13" x14ac:dyDescent="0.35">
      <c r="A233" s="235">
        <v>232</v>
      </c>
      <c r="B233" s="243">
        <v>45814</v>
      </c>
      <c r="C233" s="243" t="str">
        <f t="shared" si="19"/>
        <v>Jun</v>
      </c>
      <c r="D233" s="236" t="s">
        <v>1184</v>
      </c>
      <c r="E233" s="236" t="s">
        <v>1104</v>
      </c>
      <c r="F233" s="236" t="s">
        <v>1034</v>
      </c>
      <c r="G233" s="236" t="s">
        <v>1018</v>
      </c>
      <c r="H233" s="236" t="s">
        <v>1069</v>
      </c>
      <c r="I233" s="236" t="s">
        <v>1048</v>
      </c>
      <c r="J233" s="236" t="s">
        <v>1044</v>
      </c>
      <c r="K233" s="236">
        <v>9739</v>
      </c>
      <c r="L233" s="236">
        <v>947</v>
      </c>
      <c r="M233" s="237">
        <v>9222833</v>
      </c>
    </row>
    <row r="234" spans="1:13" x14ac:dyDescent="0.35">
      <c r="A234" s="235">
        <v>233</v>
      </c>
      <c r="B234" s="243">
        <v>45817</v>
      </c>
      <c r="C234" s="243" t="str">
        <f t="shared" si="19"/>
        <v>Jun</v>
      </c>
      <c r="D234" s="236" t="s">
        <v>1184</v>
      </c>
      <c r="E234" s="236" t="s">
        <v>1104</v>
      </c>
      <c r="F234" s="236" t="s">
        <v>1034</v>
      </c>
      <c r="G234" s="236" t="s">
        <v>1018</v>
      </c>
      <c r="H234" s="236" t="s">
        <v>1071</v>
      </c>
      <c r="I234" s="236" t="s">
        <v>1048</v>
      </c>
      <c r="J234" s="236" t="s">
        <v>1044</v>
      </c>
      <c r="K234" s="236">
        <v>1974</v>
      </c>
      <c r="L234" s="236">
        <v>575</v>
      </c>
      <c r="M234" s="237">
        <v>1135050</v>
      </c>
    </row>
    <row r="235" spans="1:13" x14ac:dyDescent="0.35">
      <c r="A235" s="235">
        <v>234</v>
      </c>
      <c r="B235" s="243">
        <v>45761</v>
      </c>
      <c r="C235" s="243" t="str">
        <f t="shared" si="19"/>
        <v>Apr</v>
      </c>
      <c r="D235" s="236" t="s">
        <v>1211</v>
      </c>
      <c r="E235" s="236" t="s">
        <v>1104</v>
      </c>
      <c r="F235" s="236" t="s">
        <v>1034</v>
      </c>
      <c r="G235" s="236" t="s">
        <v>1030</v>
      </c>
      <c r="H235" s="236" t="s">
        <v>1072</v>
      </c>
      <c r="I235" s="236" t="s">
        <v>1032</v>
      </c>
      <c r="J235" s="236" t="s">
        <v>1044</v>
      </c>
      <c r="K235" s="236">
        <v>7991</v>
      </c>
      <c r="L235" s="236">
        <v>910</v>
      </c>
      <c r="M235" s="237">
        <v>7271810</v>
      </c>
    </row>
    <row r="236" spans="1:13" x14ac:dyDescent="0.35">
      <c r="A236" s="235">
        <v>235</v>
      </c>
      <c r="B236" s="243">
        <v>45986</v>
      </c>
      <c r="C236" s="243" t="str">
        <f t="shared" si="19"/>
        <v>Nov</v>
      </c>
      <c r="D236" s="236" t="s">
        <v>1212</v>
      </c>
      <c r="E236" s="236" t="s">
        <v>1104</v>
      </c>
      <c r="F236" s="236" t="s">
        <v>1034</v>
      </c>
      <c r="G236" s="236" t="s">
        <v>1030</v>
      </c>
      <c r="H236" s="236" t="s">
        <v>1073</v>
      </c>
      <c r="I236" s="236" t="s">
        <v>1032</v>
      </c>
      <c r="J236" s="236" t="s">
        <v>1044</v>
      </c>
      <c r="K236" s="236">
        <v>1888</v>
      </c>
      <c r="L236" s="236">
        <v>682</v>
      </c>
      <c r="M236" s="237">
        <v>1287616</v>
      </c>
    </row>
    <row r="237" spans="1:13" x14ac:dyDescent="0.35">
      <c r="A237" s="235">
        <v>236</v>
      </c>
      <c r="B237" s="243">
        <v>45866</v>
      </c>
      <c r="C237" s="243" t="str">
        <f t="shared" si="19"/>
        <v>Jul</v>
      </c>
      <c r="D237" s="236" t="s">
        <v>1161</v>
      </c>
      <c r="E237" s="236" t="s">
        <v>1104</v>
      </c>
      <c r="F237" s="236" t="s">
        <v>1034</v>
      </c>
      <c r="G237" s="236" t="s">
        <v>1018</v>
      </c>
      <c r="H237" s="236" t="s">
        <v>1075</v>
      </c>
      <c r="I237" s="236" t="s">
        <v>1043</v>
      </c>
      <c r="J237" s="236" t="s">
        <v>1044</v>
      </c>
      <c r="K237" s="236">
        <v>3251</v>
      </c>
      <c r="L237" s="236">
        <v>720</v>
      </c>
      <c r="M237" s="237">
        <v>2340720</v>
      </c>
    </row>
    <row r="238" spans="1:13" x14ac:dyDescent="0.35">
      <c r="A238" s="235">
        <v>237</v>
      </c>
      <c r="B238" s="243">
        <v>45883</v>
      </c>
      <c r="C238" s="243" t="str">
        <f t="shared" si="19"/>
        <v>Aug</v>
      </c>
      <c r="D238" s="236" t="s">
        <v>1213</v>
      </c>
      <c r="E238" s="236" t="s">
        <v>1104</v>
      </c>
      <c r="F238" s="236" t="s">
        <v>1034</v>
      </c>
      <c r="G238" s="236" t="s">
        <v>1026</v>
      </c>
      <c r="H238" s="236" t="s">
        <v>1078</v>
      </c>
      <c r="I238" s="236" t="s">
        <v>1079</v>
      </c>
      <c r="J238" s="236" t="s">
        <v>1044</v>
      </c>
      <c r="K238" s="236">
        <v>7168</v>
      </c>
      <c r="L238" s="236">
        <v>642</v>
      </c>
      <c r="M238" s="237">
        <v>4601856</v>
      </c>
    </row>
    <row r="239" spans="1:13" ht="12.5" customHeight="1" x14ac:dyDescent="0.35">
      <c r="A239" s="235">
        <v>238</v>
      </c>
      <c r="B239" s="243">
        <v>45914</v>
      </c>
      <c r="C239" s="243" t="str">
        <f t="shared" si="19"/>
        <v>Sep</v>
      </c>
      <c r="D239" s="236" t="s">
        <v>1214</v>
      </c>
      <c r="E239" s="236" t="s">
        <v>1108</v>
      </c>
      <c r="F239" s="236" t="s">
        <v>1034</v>
      </c>
      <c r="G239" s="236" t="s">
        <v>1030</v>
      </c>
      <c r="H239" s="236" t="s">
        <v>1081</v>
      </c>
      <c r="I239" s="236" t="s">
        <v>1082</v>
      </c>
      <c r="J239" s="236" t="s">
        <v>1044</v>
      </c>
      <c r="K239" s="236">
        <v>8503</v>
      </c>
      <c r="L239" s="236">
        <v>591</v>
      </c>
      <c r="M239" s="237">
        <v>5025273</v>
      </c>
    </row>
    <row r="240" spans="1:13" x14ac:dyDescent="0.35">
      <c r="A240" s="235">
        <v>239</v>
      </c>
      <c r="B240" s="243">
        <v>45770</v>
      </c>
      <c r="C240" s="243" t="str">
        <f t="shared" si="19"/>
        <v>Apr</v>
      </c>
      <c r="D240" s="236" t="s">
        <v>1215</v>
      </c>
      <c r="E240" s="236" t="s">
        <v>1108</v>
      </c>
      <c r="F240" s="236" t="s">
        <v>1034</v>
      </c>
      <c r="G240" s="236" t="s">
        <v>1023</v>
      </c>
      <c r="H240" s="236" t="s">
        <v>1083</v>
      </c>
      <c r="I240" s="236" t="s">
        <v>1025</v>
      </c>
      <c r="J240" s="236" t="s">
        <v>1044</v>
      </c>
      <c r="K240" s="236">
        <v>3099</v>
      </c>
      <c r="L240" s="236">
        <v>601</v>
      </c>
      <c r="M240" s="237">
        <v>1862499</v>
      </c>
    </row>
    <row r="241" spans="1:13" x14ac:dyDescent="0.35">
      <c r="A241" s="235">
        <v>240</v>
      </c>
      <c r="B241" s="243">
        <v>45954</v>
      </c>
      <c r="C241" s="243" t="str">
        <f t="shared" si="19"/>
        <v>Oct</v>
      </c>
      <c r="D241" s="236" t="s">
        <v>1216</v>
      </c>
      <c r="E241" s="236" t="s">
        <v>1108</v>
      </c>
      <c r="F241" s="236" t="s">
        <v>1034</v>
      </c>
      <c r="G241" s="236" t="s">
        <v>1018</v>
      </c>
      <c r="H241" s="236" t="s">
        <v>1086</v>
      </c>
      <c r="I241" s="236" t="s">
        <v>1087</v>
      </c>
      <c r="J241" s="236" t="s">
        <v>1044</v>
      </c>
      <c r="K241" s="236">
        <v>5674</v>
      </c>
      <c r="L241" s="236">
        <v>975</v>
      </c>
      <c r="M241" s="237">
        <v>5532150</v>
      </c>
    </row>
    <row r="242" spans="1:13" x14ac:dyDescent="0.35">
      <c r="A242" s="235">
        <v>241</v>
      </c>
      <c r="B242" s="243">
        <v>45999</v>
      </c>
      <c r="C242" s="243" t="str">
        <f t="shared" si="19"/>
        <v>Dec</v>
      </c>
      <c r="D242" s="236" t="s">
        <v>1217</v>
      </c>
      <c r="E242" s="236" t="s">
        <v>1108</v>
      </c>
      <c r="F242" s="236" t="s">
        <v>1034</v>
      </c>
      <c r="G242" s="236" t="s">
        <v>1088</v>
      </c>
      <c r="H242" s="236" t="s">
        <v>1089</v>
      </c>
      <c r="I242" s="236" t="s">
        <v>1090</v>
      </c>
      <c r="J242" s="236" t="s">
        <v>1044</v>
      </c>
      <c r="K242" s="236">
        <v>4048</v>
      </c>
      <c r="L242" s="236">
        <v>713</v>
      </c>
      <c r="M242" s="237">
        <v>2886224</v>
      </c>
    </row>
    <row r="243" spans="1:13" x14ac:dyDescent="0.35">
      <c r="A243" s="235">
        <v>242</v>
      </c>
      <c r="B243" s="243">
        <v>45811</v>
      </c>
      <c r="C243" s="243" t="str">
        <f t="shared" si="19"/>
        <v>Jun</v>
      </c>
      <c r="D243" s="236" t="s">
        <v>1184</v>
      </c>
      <c r="E243" s="236" t="s">
        <v>1108</v>
      </c>
      <c r="F243" s="236" t="s">
        <v>1034</v>
      </c>
      <c r="G243" s="236" t="s">
        <v>1018</v>
      </c>
      <c r="H243" s="236" t="s">
        <v>1091</v>
      </c>
      <c r="I243" s="236" t="s">
        <v>1092</v>
      </c>
      <c r="J243" s="236" t="s">
        <v>1020</v>
      </c>
      <c r="K243" s="236">
        <v>1663</v>
      </c>
      <c r="L243" s="236">
        <v>659</v>
      </c>
      <c r="M243" s="237">
        <v>1095917</v>
      </c>
    </row>
    <row r="244" spans="1:13" x14ac:dyDescent="0.35">
      <c r="A244" s="235">
        <v>243</v>
      </c>
      <c r="B244" s="243">
        <v>45777</v>
      </c>
      <c r="C244" s="243" t="str">
        <f t="shared" si="19"/>
        <v>Apr</v>
      </c>
      <c r="D244" s="236" t="s">
        <v>1184</v>
      </c>
      <c r="E244" s="236" t="s">
        <v>1108</v>
      </c>
      <c r="F244" s="236" t="s">
        <v>1034</v>
      </c>
      <c r="G244" s="236" t="s">
        <v>1054</v>
      </c>
      <c r="H244" s="236" t="s">
        <v>1093</v>
      </c>
      <c r="I244" s="236" t="s">
        <v>1094</v>
      </c>
      <c r="J244" s="236" t="s">
        <v>1020</v>
      </c>
      <c r="K244" s="236">
        <v>9541</v>
      </c>
      <c r="L244" s="236">
        <v>984</v>
      </c>
      <c r="M244" s="237">
        <v>9388344</v>
      </c>
    </row>
    <row r="245" spans="1:13" x14ac:dyDescent="0.35">
      <c r="A245" s="235">
        <v>244</v>
      </c>
      <c r="B245" s="243">
        <v>46001</v>
      </c>
      <c r="C245" s="243" t="str">
        <f t="shared" si="19"/>
        <v>Dec</v>
      </c>
      <c r="D245" s="236" t="s">
        <v>1184</v>
      </c>
      <c r="E245" s="236" t="s">
        <v>1108</v>
      </c>
      <c r="F245" s="236" t="s">
        <v>1034</v>
      </c>
      <c r="G245" s="236" t="s">
        <v>1026</v>
      </c>
      <c r="H245" s="236" t="s">
        <v>1027</v>
      </c>
      <c r="I245" s="236" t="s">
        <v>1028</v>
      </c>
      <c r="J245" s="236" t="s">
        <v>1020</v>
      </c>
      <c r="K245" s="236">
        <v>1737</v>
      </c>
      <c r="L245" s="236">
        <v>571</v>
      </c>
      <c r="M245" s="237">
        <v>991827</v>
      </c>
    </row>
    <row r="246" spans="1:13" x14ac:dyDescent="0.35">
      <c r="A246" s="235">
        <v>245</v>
      </c>
      <c r="B246" s="243">
        <v>45971</v>
      </c>
      <c r="C246" s="243" t="str">
        <f t="shared" si="19"/>
        <v>Nov</v>
      </c>
      <c r="D246" s="236" t="s">
        <v>1184</v>
      </c>
      <c r="E246" s="236" t="s">
        <v>1108</v>
      </c>
      <c r="F246" s="236" t="s">
        <v>1034</v>
      </c>
      <c r="G246" s="236" t="s">
        <v>1054</v>
      </c>
      <c r="H246" s="236" t="s">
        <v>1098</v>
      </c>
      <c r="I246" s="236" t="s">
        <v>1056</v>
      </c>
      <c r="J246" s="236" t="s">
        <v>1020</v>
      </c>
      <c r="K246" s="236">
        <v>7995</v>
      </c>
      <c r="L246" s="236">
        <v>910</v>
      </c>
      <c r="M246" s="237">
        <v>7275450</v>
      </c>
    </row>
    <row r="247" spans="1:13" x14ac:dyDescent="0.35">
      <c r="A247" s="235">
        <v>246</v>
      </c>
      <c r="B247" s="243">
        <v>45843</v>
      </c>
      <c r="C247" s="243" t="str">
        <f t="shared" si="19"/>
        <v>Jul</v>
      </c>
      <c r="D247" s="236" t="s">
        <v>1184</v>
      </c>
      <c r="E247" s="236" t="s">
        <v>1108</v>
      </c>
      <c r="F247" s="236" t="s">
        <v>1034</v>
      </c>
      <c r="G247" s="236" t="s">
        <v>1026</v>
      </c>
      <c r="H247" s="236" t="s">
        <v>1099</v>
      </c>
      <c r="I247" s="236" t="s">
        <v>1079</v>
      </c>
      <c r="J247" s="236" t="s">
        <v>1044</v>
      </c>
      <c r="K247" s="236">
        <v>5228</v>
      </c>
      <c r="L247" s="236">
        <v>781</v>
      </c>
      <c r="M247" s="237">
        <v>4083068</v>
      </c>
    </row>
    <row r="248" spans="1:13" x14ac:dyDescent="0.35">
      <c r="A248" s="235">
        <v>247</v>
      </c>
      <c r="B248" s="243">
        <v>45864</v>
      </c>
      <c r="C248" s="243" t="str">
        <f t="shared" si="19"/>
        <v>Jul</v>
      </c>
      <c r="D248" s="236" t="s">
        <v>1184</v>
      </c>
      <c r="E248" s="236" t="s">
        <v>1118</v>
      </c>
      <c r="F248" s="236" t="s">
        <v>1119</v>
      </c>
      <c r="G248" s="236" t="s">
        <v>1026</v>
      </c>
      <c r="H248" s="236" t="s">
        <v>1100</v>
      </c>
      <c r="I248" s="236" t="s">
        <v>1028</v>
      </c>
      <c r="J248" s="236" t="s">
        <v>1044</v>
      </c>
      <c r="K248" s="236">
        <v>7710</v>
      </c>
      <c r="L248" s="236">
        <v>954</v>
      </c>
      <c r="M248" s="237">
        <v>7355340</v>
      </c>
    </row>
    <row r="249" spans="1:13" x14ac:dyDescent="0.35">
      <c r="A249" s="235">
        <v>248</v>
      </c>
      <c r="B249" s="243">
        <v>46073</v>
      </c>
      <c r="C249" s="243" t="str">
        <f t="shared" si="19"/>
        <v>Feb</v>
      </c>
      <c r="D249" s="236" t="s">
        <v>1184</v>
      </c>
      <c r="E249" s="236" t="s">
        <v>1118</v>
      </c>
      <c r="F249" s="236" t="s">
        <v>1119</v>
      </c>
      <c r="G249" s="236" t="s">
        <v>1030</v>
      </c>
      <c r="H249" s="236" t="s">
        <v>1101</v>
      </c>
      <c r="I249" s="236" t="s">
        <v>1036</v>
      </c>
      <c r="J249" s="236" t="s">
        <v>1044</v>
      </c>
      <c r="K249" s="236">
        <v>3333</v>
      </c>
      <c r="L249" s="236">
        <v>945</v>
      </c>
      <c r="M249" s="237">
        <v>3149685</v>
      </c>
    </row>
    <row r="250" spans="1:13" x14ac:dyDescent="0.35">
      <c r="A250" s="235">
        <v>249</v>
      </c>
      <c r="B250" s="243">
        <v>45815</v>
      </c>
      <c r="C250" s="243" t="str">
        <f t="shared" si="19"/>
        <v>Jun</v>
      </c>
      <c r="D250" s="236" t="s">
        <v>1184</v>
      </c>
      <c r="E250" s="236" t="s">
        <v>1118</v>
      </c>
      <c r="F250" s="236" t="s">
        <v>1119</v>
      </c>
      <c r="G250" s="236" t="s">
        <v>1018</v>
      </c>
      <c r="H250" s="236" t="s">
        <v>1019</v>
      </c>
      <c r="I250" s="236" t="s">
        <v>1019</v>
      </c>
      <c r="J250" s="236" t="s">
        <v>1044</v>
      </c>
      <c r="K250" s="236">
        <v>9277</v>
      </c>
      <c r="L250" s="236">
        <v>839</v>
      </c>
      <c r="M250" s="237">
        <v>7783403</v>
      </c>
    </row>
    <row r="251" spans="1:13" x14ac:dyDescent="0.35">
      <c r="A251" s="235">
        <v>250</v>
      </c>
      <c r="B251" s="243">
        <v>45832</v>
      </c>
      <c r="C251" s="243" t="str">
        <f t="shared" si="19"/>
        <v>Jun</v>
      </c>
      <c r="D251" s="236" t="s">
        <v>1184</v>
      </c>
      <c r="E251" s="236" t="s">
        <v>1118</v>
      </c>
      <c r="F251" s="236" t="s">
        <v>1119</v>
      </c>
      <c r="G251" s="236" t="s">
        <v>1023</v>
      </c>
      <c r="H251" s="236" t="s">
        <v>1024</v>
      </c>
      <c r="I251" s="236" t="s">
        <v>1025</v>
      </c>
      <c r="J251" s="236" t="s">
        <v>1044</v>
      </c>
      <c r="K251" s="236">
        <v>4277</v>
      </c>
      <c r="L251" s="236">
        <v>857</v>
      </c>
      <c r="M251" s="237">
        <v>3665389</v>
      </c>
    </row>
    <row r="252" spans="1:13" x14ac:dyDescent="0.35">
      <c r="A252" s="235">
        <v>251</v>
      </c>
      <c r="B252" s="243">
        <v>45968</v>
      </c>
      <c r="C252" s="243" t="str">
        <f t="shared" si="19"/>
        <v>Nov</v>
      </c>
      <c r="D252" s="236" t="s">
        <v>1184</v>
      </c>
      <c r="E252" s="236" t="s">
        <v>1118</v>
      </c>
      <c r="F252" s="236" t="s">
        <v>1119</v>
      </c>
      <c r="G252" s="236" t="s">
        <v>1018</v>
      </c>
      <c r="H252" s="236" t="s">
        <v>1091</v>
      </c>
      <c r="I252" s="236" t="s">
        <v>1092</v>
      </c>
      <c r="J252" s="236" t="s">
        <v>1044</v>
      </c>
      <c r="K252" s="236">
        <v>1696</v>
      </c>
      <c r="L252" s="236">
        <v>868</v>
      </c>
      <c r="M252" s="237">
        <v>1472128</v>
      </c>
    </row>
    <row r="253" spans="1:13" x14ac:dyDescent="0.35">
      <c r="A253" s="235">
        <v>252</v>
      </c>
      <c r="B253" s="243">
        <v>46019</v>
      </c>
      <c r="C253" s="243" t="str">
        <f t="shared" si="19"/>
        <v>Dec</v>
      </c>
      <c r="D253" s="236" t="s">
        <v>1184</v>
      </c>
      <c r="E253" s="236" t="s">
        <v>1118</v>
      </c>
      <c r="F253" s="236" t="s">
        <v>1119</v>
      </c>
      <c r="G253" s="236" t="s">
        <v>1054</v>
      </c>
      <c r="H253" s="236" t="s">
        <v>1093</v>
      </c>
      <c r="I253" s="236" t="s">
        <v>1094</v>
      </c>
      <c r="J253" s="236" t="s">
        <v>1044</v>
      </c>
      <c r="K253" s="236">
        <v>7071</v>
      </c>
      <c r="L253" s="236">
        <v>778</v>
      </c>
      <c r="M253" s="237">
        <v>5501238</v>
      </c>
    </row>
    <row r="254" spans="1:13" x14ac:dyDescent="0.35">
      <c r="A254" s="235">
        <v>253</v>
      </c>
      <c r="B254" s="243">
        <v>45893</v>
      </c>
      <c r="C254" s="243" t="str">
        <f t="shared" si="19"/>
        <v>Aug</v>
      </c>
      <c r="D254" s="236" t="s">
        <v>1184</v>
      </c>
      <c r="E254" s="236" t="s">
        <v>1118</v>
      </c>
      <c r="F254" s="236" t="s">
        <v>1119</v>
      </c>
      <c r="G254" s="236" t="s">
        <v>1026</v>
      </c>
      <c r="H254" s="236" t="s">
        <v>1095</v>
      </c>
      <c r="I254" s="236" t="s">
        <v>1028</v>
      </c>
      <c r="J254" s="236" t="s">
        <v>1020</v>
      </c>
      <c r="K254" s="236">
        <v>2536</v>
      </c>
      <c r="L254" s="236">
        <v>798</v>
      </c>
      <c r="M254" s="237">
        <v>2023728</v>
      </c>
    </row>
    <row r="255" spans="1:13" x14ac:dyDescent="0.35">
      <c r="A255" s="235">
        <v>254</v>
      </c>
      <c r="B255" s="243">
        <v>45836</v>
      </c>
      <c r="C255" s="243" t="str">
        <f t="shared" si="19"/>
        <v>Jun</v>
      </c>
      <c r="D255" s="236" t="s">
        <v>1184</v>
      </c>
      <c r="E255" s="236" t="s">
        <v>1104</v>
      </c>
      <c r="F255" s="236" t="s">
        <v>1034</v>
      </c>
      <c r="G255" s="236" t="s">
        <v>1018</v>
      </c>
      <c r="H255" s="236" t="s">
        <v>1069</v>
      </c>
      <c r="I255" s="236" t="s">
        <v>1048</v>
      </c>
      <c r="J255" s="236" t="s">
        <v>1020</v>
      </c>
      <c r="K255" s="236">
        <v>7275</v>
      </c>
      <c r="L255" s="236">
        <v>776</v>
      </c>
      <c r="M255" s="237">
        <v>5645400</v>
      </c>
    </row>
    <row r="256" spans="1:13" x14ac:dyDescent="0.35">
      <c r="A256" s="235">
        <v>255</v>
      </c>
      <c r="B256" s="243">
        <v>46002</v>
      </c>
      <c r="C256" s="243" t="str">
        <f t="shared" si="19"/>
        <v>Dec</v>
      </c>
      <c r="D256" s="236" t="s">
        <v>1218</v>
      </c>
      <c r="E256" s="236" t="s">
        <v>1104</v>
      </c>
      <c r="F256" s="236" t="s">
        <v>1034</v>
      </c>
      <c r="G256" s="236" t="s">
        <v>1018</v>
      </c>
      <c r="H256" s="236" t="s">
        <v>1071</v>
      </c>
      <c r="I256" s="236" t="s">
        <v>1048</v>
      </c>
      <c r="J256" s="236" t="s">
        <v>1020</v>
      </c>
      <c r="K256" s="236">
        <v>8910</v>
      </c>
      <c r="L256" s="236">
        <v>529</v>
      </c>
      <c r="M256" s="237">
        <v>4713390</v>
      </c>
    </row>
    <row r="257" spans="1:13" x14ac:dyDescent="0.35">
      <c r="A257" s="235">
        <v>256</v>
      </c>
      <c r="B257" s="243">
        <v>46064</v>
      </c>
      <c r="C257" s="243" t="str">
        <f t="shared" si="19"/>
        <v>Feb</v>
      </c>
      <c r="D257" s="236" t="s">
        <v>1219</v>
      </c>
      <c r="E257" s="236" t="s">
        <v>1104</v>
      </c>
      <c r="F257" s="236" t="s">
        <v>1034</v>
      </c>
      <c r="G257" s="236" t="s">
        <v>1030</v>
      </c>
      <c r="H257" s="236" t="s">
        <v>1073</v>
      </c>
      <c r="I257" s="236" t="s">
        <v>1032</v>
      </c>
      <c r="J257" s="236" t="s">
        <v>1020</v>
      </c>
      <c r="K257" s="236">
        <v>7046</v>
      </c>
      <c r="L257" s="236">
        <v>576</v>
      </c>
      <c r="M257" s="237">
        <v>4058496</v>
      </c>
    </row>
    <row r="258" spans="1:13" x14ac:dyDescent="0.35">
      <c r="A258" s="235">
        <v>257</v>
      </c>
      <c r="B258" s="243">
        <v>45940</v>
      </c>
      <c r="C258" s="243" t="str">
        <f t="shared" si="19"/>
        <v>Oct</v>
      </c>
      <c r="D258" s="236" t="s">
        <v>1220</v>
      </c>
      <c r="E258" s="236" t="s">
        <v>1108</v>
      </c>
      <c r="F258" s="236" t="s">
        <v>1034</v>
      </c>
      <c r="G258" s="236" t="s">
        <v>1018</v>
      </c>
      <c r="H258" s="236" t="s">
        <v>1075</v>
      </c>
      <c r="I258" s="236" t="s">
        <v>1043</v>
      </c>
      <c r="J258" s="236" t="s">
        <v>1020</v>
      </c>
      <c r="K258" s="236">
        <v>9395</v>
      </c>
      <c r="L258" s="236">
        <v>922</v>
      </c>
      <c r="M258" s="237">
        <v>8662190</v>
      </c>
    </row>
    <row r="259" spans="1:13" x14ac:dyDescent="0.35">
      <c r="A259" s="235">
        <v>258</v>
      </c>
      <c r="B259" s="243">
        <v>45758</v>
      </c>
      <c r="C259" s="243" t="str">
        <f t="shared" ref="C259:C295" si="20">TEXT(B259,"mmm")</f>
        <v>Apr</v>
      </c>
      <c r="D259" s="236" t="s">
        <v>1221</v>
      </c>
      <c r="E259" s="236" t="s">
        <v>1108</v>
      </c>
      <c r="F259" s="236" t="s">
        <v>1034</v>
      </c>
      <c r="G259" s="236" t="s">
        <v>1018</v>
      </c>
      <c r="H259" s="236" t="s">
        <v>1077</v>
      </c>
      <c r="I259" s="236" t="s">
        <v>1048</v>
      </c>
      <c r="J259" s="236" t="s">
        <v>1020</v>
      </c>
      <c r="K259" s="236">
        <v>5242</v>
      </c>
      <c r="L259" s="236">
        <v>838</v>
      </c>
      <c r="M259" s="237">
        <v>4392796</v>
      </c>
    </row>
    <row r="260" spans="1:13" x14ac:dyDescent="0.35">
      <c r="A260" s="235">
        <v>259</v>
      </c>
      <c r="B260" s="243">
        <v>45807</v>
      </c>
      <c r="C260" s="243" t="str">
        <f t="shared" si="20"/>
        <v>May</v>
      </c>
      <c r="D260" s="236" t="s">
        <v>1222</v>
      </c>
      <c r="E260" s="236" t="s">
        <v>1108</v>
      </c>
      <c r="F260" s="236" t="s">
        <v>1034</v>
      </c>
      <c r="G260" s="236" t="s">
        <v>1026</v>
      </c>
      <c r="H260" s="236" t="s">
        <v>1078</v>
      </c>
      <c r="I260" s="236" t="s">
        <v>1079</v>
      </c>
      <c r="J260" s="236" t="s">
        <v>1020</v>
      </c>
      <c r="K260" s="236">
        <v>9909</v>
      </c>
      <c r="L260" s="236">
        <v>657</v>
      </c>
      <c r="M260" s="237">
        <v>6510213</v>
      </c>
    </row>
    <row r="261" spans="1:13" x14ac:dyDescent="0.35">
      <c r="A261" s="235">
        <v>260</v>
      </c>
      <c r="B261" s="243">
        <v>45980</v>
      </c>
      <c r="C261" s="243" t="str">
        <f t="shared" si="20"/>
        <v>Nov</v>
      </c>
      <c r="D261" s="236" t="s">
        <v>1222</v>
      </c>
      <c r="E261" s="236" t="s">
        <v>1108</v>
      </c>
      <c r="F261" s="236" t="s">
        <v>1034</v>
      </c>
      <c r="G261" s="236" t="s">
        <v>1030</v>
      </c>
      <c r="H261" s="236" t="s">
        <v>1081</v>
      </c>
      <c r="I261" s="236" t="s">
        <v>1082</v>
      </c>
      <c r="J261" s="236" t="s">
        <v>1044</v>
      </c>
      <c r="K261" s="236">
        <v>2005</v>
      </c>
      <c r="L261" s="236">
        <v>748</v>
      </c>
      <c r="M261" s="237">
        <v>1499740</v>
      </c>
    </row>
    <row r="262" spans="1:13" x14ac:dyDescent="0.35">
      <c r="A262" s="235">
        <v>261</v>
      </c>
      <c r="B262" s="243">
        <v>45821</v>
      </c>
      <c r="C262" s="243" t="str">
        <f t="shared" si="20"/>
        <v>Jun</v>
      </c>
      <c r="D262" s="236" t="s">
        <v>1222</v>
      </c>
      <c r="E262" s="236" t="s">
        <v>1108</v>
      </c>
      <c r="F262" s="236" t="s">
        <v>1034</v>
      </c>
      <c r="G262" s="236" t="s">
        <v>1023</v>
      </c>
      <c r="H262" s="236" t="s">
        <v>1083</v>
      </c>
      <c r="I262" s="236" t="s">
        <v>1025</v>
      </c>
      <c r="J262" s="236" t="s">
        <v>1044</v>
      </c>
      <c r="K262" s="236">
        <v>1891</v>
      </c>
      <c r="L262" s="236">
        <v>953</v>
      </c>
      <c r="M262" s="237">
        <v>1802123</v>
      </c>
    </row>
    <row r="263" spans="1:13" x14ac:dyDescent="0.35">
      <c r="A263" s="235">
        <v>262</v>
      </c>
      <c r="B263" s="243">
        <v>45950</v>
      </c>
      <c r="C263" s="243" t="str">
        <f t="shared" si="20"/>
        <v>Oct</v>
      </c>
      <c r="D263" s="236" t="s">
        <v>1222</v>
      </c>
      <c r="E263" s="236" t="s">
        <v>1108</v>
      </c>
      <c r="F263" s="236" t="s">
        <v>1034</v>
      </c>
      <c r="G263" s="236" t="s">
        <v>1018</v>
      </c>
      <c r="H263" s="236" t="s">
        <v>1084</v>
      </c>
      <c r="I263" s="236" t="s">
        <v>1085</v>
      </c>
      <c r="J263" s="236" t="s">
        <v>1044</v>
      </c>
      <c r="K263" s="236">
        <v>6839</v>
      </c>
      <c r="L263" s="236">
        <v>909</v>
      </c>
      <c r="M263" s="237">
        <v>6216651</v>
      </c>
    </row>
    <row r="264" spans="1:13" x14ac:dyDescent="0.35">
      <c r="A264" s="235">
        <v>263</v>
      </c>
      <c r="B264" s="243">
        <v>46015</v>
      </c>
      <c r="C264" s="243" t="str">
        <f t="shared" si="20"/>
        <v>Dec</v>
      </c>
      <c r="D264" s="236" t="s">
        <v>1222</v>
      </c>
      <c r="E264" s="236" t="s">
        <v>1134</v>
      </c>
      <c r="F264" s="236" t="s">
        <v>1119</v>
      </c>
      <c r="G264" s="236" t="s">
        <v>1018</v>
      </c>
      <c r="H264" s="236" t="s">
        <v>1086</v>
      </c>
      <c r="I264" s="236" t="s">
        <v>1087</v>
      </c>
      <c r="J264" s="236" t="s">
        <v>1044</v>
      </c>
      <c r="K264" s="236">
        <v>8854</v>
      </c>
      <c r="L264" s="236">
        <v>944</v>
      </c>
      <c r="M264" s="237">
        <v>8358176</v>
      </c>
    </row>
    <row r="265" spans="1:13" x14ac:dyDescent="0.35">
      <c r="A265" s="235">
        <v>264</v>
      </c>
      <c r="B265" s="243">
        <v>45829</v>
      </c>
      <c r="C265" s="243" t="str">
        <f t="shared" si="20"/>
        <v>Jun</v>
      </c>
      <c r="D265" s="236" t="s">
        <v>1222</v>
      </c>
      <c r="E265" s="236" t="s">
        <v>1134</v>
      </c>
      <c r="F265" s="236" t="s">
        <v>1119</v>
      </c>
      <c r="G265" s="236" t="s">
        <v>1088</v>
      </c>
      <c r="H265" s="236" t="s">
        <v>1089</v>
      </c>
      <c r="I265" s="236" t="s">
        <v>1090</v>
      </c>
      <c r="J265" s="236" t="s">
        <v>1044</v>
      </c>
      <c r="K265" s="236">
        <v>8143</v>
      </c>
      <c r="L265" s="236">
        <v>786</v>
      </c>
      <c r="M265" s="237">
        <v>6400398</v>
      </c>
    </row>
    <row r="266" spans="1:13" x14ac:dyDescent="0.35">
      <c r="A266" s="235">
        <v>265</v>
      </c>
      <c r="B266" s="243">
        <v>46018</v>
      </c>
      <c r="C266" s="243" t="str">
        <f t="shared" si="20"/>
        <v>Dec</v>
      </c>
      <c r="D266" s="236" t="s">
        <v>1184</v>
      </c>
      <c r="E266" s="236" t="s">
        <v>1134</v>
      </c>
      <c r="F266" s="236" t="s">
        <v>1119</v>
      </c>
      <c r="G266" s="236" t="s">
        <v>1018</v>
      </c>
      <c r="H266" s="236" t="s">
        <v>1091</v>
      </c>
      <c r="I266" s="236" t="s">
        <v>1092</v>
      </c>
      <c r="J266" s="236" t="s">
        <v>1044</v>
      </c>
      <c r="K266" s="236">
        <v>8069</v>
      </c>
      <c r="L266" s="236">
        <v>553</v>
      </c>
      <c r="M266" s="237">
        <v>4462157</v>
      </c>
    </row>
    <row r="267" spans="1:13" x14ac:dyDescent="0.35">
      <c r="A267" s="235">
        <v>266</v>
      </c>
      <c r="B267" s="243">
        <v>45980</v>
      </c>
      <c r="C267" s="243" t="str">
        <f t="shared" si="20"/>
        <v>Nov</v>
      </c>
      <c r="D267" s="236" t="s">
        <v>1184</v>
      </c>
      <c r="E267" s="236" t="s">
        <v>1134</v>
      </c>
      <c r="F267" s="236" t="s">
        <v>1119</v>
      </c>
      <c r="G267" s="236" t="s">
        <v>1054</v>
      </c>
      <c r="H267" s="236" t="s">
        <v>1093</v>
      </c>
      <c r="I267" s="236" t="s">
        <v>1094</v>
      </c>
      <c r="J267" s="236" t="s">
        <v>1044</v>
      </c>
      <c r="K267" s="236">
        <v>2268</v>
      </c>
      <c r="L267" s="236">
        <v>911</v>
      </c>
      <c r="M267" s="237">
        <v>2066148</v>
      </c>
    </row>
    <row r="268" spans="1:13" x14ac:dyDescent="0.35">
      <c r="A268" s="235">
        <v>267</v>
      </c>
      <c r="B268" s="243">
        <v>45789</v>
      </c>
      <c r="C268" s="243" t="str">
        <f t="shared" si="20"/>
        <v>May</v>
      </c>
      <c r="D268" s="236" t="s">
        <v>1184</v>
      </c>
      <c r="E268" s="236" t="s">
        <v>1134</v>
      </c>
      <c r="F268" s="236" t="s">
        <v>1119</v>
      </c>
      <c r="G268" s="236" t="s">
        <v>1026</v>
      </c>
      <c r="H268" s="236" t="s">
        <v>1095</v>
      </c>
      <c r="I268" s="236" t="s">
        <v>1028</v>
      </c>
      <c r="J268" s="236" t="s">
        <v>1044</v>
      </c>
      <c r="K268" s="236">
        <v>2576</v>
      </c>
      <c r="L268" s="236">
        <v>987</v>
      </c>
      <c r="M268" s="237">
        <v>2542512</v>
      </c>
    </row>
    <row r="269" spans="1:13" x14ac:dyDescent="0.35">
      <c r="A269" s="235">
        <v>268</v>
      </c>
      <c r="B269" s="243">
        <v>46064</v>
      </c>
      <c r="C269" s="243" t="str">
        <f t="shared" si="20"/>
        <v>Feb</v>
      </c>
      <c r="D269" s="236" t="s">
        <v>1184</v>
      </c>
      <c r="E269" s="236" t="s">
        <v>1134</v>
      </c>
      <c r="F269" s="236" t="s">
        <v>1119</v>
      </c>
      <c r="G269" s="236" t="s">
        <v>1026</v>
      </c>
      <c r="H269" s="236" t="s">
        <v>1027</v>
      </c>
      <c r="I269" s="236" t="s">
        <v>1028</v>
      </c>
      <c r="J269" s="236" t="s">
        <v>1044</v>
      </c>
      <c r="K269" s="236">
        <v>7694</v>
      </c>
      <c r="L269" s="236">
        <v>907</v>
      </c>
      <c r="M269" s="237">
        <v>6978458</v>
      </c>
    </row>
    <row r="270" spans="1:13" x14ac:dyDescent="0.35">
      <c r="A270" s="235">
        <v>269</v>
      </c>
      <c r="B270" s="243">
        <v>45865</v>
      </c>
      <c r="C270" s="243" t="str">
        <f t="shared" si="20"/>
        <v>Jul</v>
      </c>
      <c r="D270" s="236" t="s">
        <v>1184</v>
      </c>
      <c r="E270" s="236" t="s">
        <v>1134</v>
      </c>
      <c r="F270" s="236" t="s">
        <v>1119</v>
      </c>
      <c r="G270" s="236" t="s">
        <v>1026</v>
      </c>
      <c r="H270" s="236" t="s">
        <v>1099</v>
      </c>
      <c r="I270" s="236" t="s">
        <v>1079</v>
      </c>
      <c r="J270" s="236" t="s">
        <v>1020</v>
      </c>
      <c r="K270" s="236">
        <v>5764</v>
      </c>
      <c r="L270" s="236">
        <v>622</v>
      </c>
      <c r="M270" s="237">
        <v>3585208</v>
      </c>
    </row>
    <row r="271" spans="1:13" x14ac:dyDescent="0.35">
      <c r="A271" s="235">
        <v>270</v>
      </c>
      <c r="B271" s="243">
        <v>45909</v>
      </c>
      <c r="C271" s="243" t="str">
        <f t="shared" si="20"/>
        <v>Sep</v>
      </c>
      <c r="D271" s="236" t="s">
        <v>1224</v>
      </c>
      <c r="E271" s="236" t="s">
        <v>1134</v>
      </c>
      <c r="F271" s="236" t="s">
        <v>1119</v>
      </c>
      <c r="G271" s="236" t="s">
        <v>1026</v>
      </c>
      <c r="H271" s="236" t="s">
        <v>1100</v>
      </c>
      <c r="I271" s="236" t="s">
        <v>1028</v>
      </c>
      <c r="J271" s="236" t="s">
        <v>1020</v>
      </c>
      <c r="K271" s="236">
        <v>9098</v>
      </c>
      <c r="L271" s="236">
        <v>677</v>
      </c>
      <c r="M271" s="237">
        <v>6159346</v>
      </c>
    </row>
    <row r="272" spans="1:13" x14ac:dyDescent="0.35">
      <c r="A272" s="235">
        <v>271</v>
      </c>
      <c r="B272" s="243">
        <v>46069</v>
      </c>
      <c r="C272" s="243" t="str">
        <f t="shared" si="20"/>
        <v>Feb</v>
      </c>
      <c r="D272" s="236" t="s">
        <v>1225</v>
      </c>
      <c r="E272" s="236" t="s">
        <v>1134</v>
      </c>
      <c r="F272" s="236" t="s">
        <v>1119</v>
      </c>
      <c r="G272" s="236" t="s">
        <v>1018</v>
      </c>
      <c r="H272" s="236" t="s">
        <v>1077</v>
      </c>
      <c r="I272" s="236" t="s">
        <v>1048</v>
      </c>
      <c r="J272" s="236" t="s">
        <v>1020</v>
      </c>
      <c r="K272" s="236">
        <v>2777</v>
      </c>
      <c r="L272" s="236">
        <v>986</v>
      </c>
      <c r="M272" s="237">
        <v>2738122</v>
      </c>
    </row>
    <row r="273" spans="1:13" x14ac:dyDescent="0.35">
      <c r="A273" s="235">
        <v>272</v>
      </c>
      <c r="B273" s="243">
        <v>45859</v>
      </c>
      <c r="C273" s="243" t="str">
        <f t="shared" si="20"/>
        <v>Jul</v>
      </c>
      <c r="D273" s="236" t="s">
        <v>1226</v>
      </c>
      <c r="E273" s="236" t="s">
        <v>1134</v>
      </c>
      <c r="F273" s="236" t="s">
        <v>1119</v>
      </c>
      <c r="G273" s="236" t="s">
        <v>1026</v>
      </c>
      <c r="H273" s="236" t="s">
        <v>1078</v>
      </c>
      <c r="I273" s="236" t="s">
        <v>1079</v>
      </c>
      <c r="J273" s="236" t="s">
        <v>1020</v>
      </c>
      <c r="K273" s="236">
        <v>9218</v>
      </c>
      <c r="L273" s="236">
        <v>927</v>
      </c>
      <c r="M273" s="237">
        <v>8545086</v>
      </c>
    </row>
    <row r="274" spans="1:13" x14ac:dyDescent="0.35">
      <c r="A274" s="235">
        <v>273</v>
      </c>
      <c r="B274" s="243">
        <v>45892</v>
      </c>
      <c r="C274" s="243" t="str">
        <f t="shared" si="20"/>
        <v>Aug</v>
      </c>
      <c r="D274" s="236" t="s">
        <v>1227</v>
      </c>
      <c r="E274" s="236" t="s">
        <v>1134</v>
      </c>
      <c r="F274" s="236" t="s">
        <v>1119</v>
      </c>
      <c r="G274" s="236" t="s">
        <v>1030</v>
      </c>
      <c r="H274" s="236" t="s">
        <v>1081</v>
      </c>
      <c r="I274" s="236" t="s">
        <v>1082</v>
      </c>
      <c r="J274" s="236" t="s">
        <v>1020</v>
      </c>
      <c r="K274" s="236">
        <v>6785</v>
      </c>
      <c r="L274" s="236">
        <v>751</v>
      </c>
      <c r="M274" s="237">
        <v>5095535</v>
      </c>
    </row>
    <row r="275" spans="1:13" x14ac:dyDescent="0.35">
      <c r="A275" s="235">
        <v>274</v>
      </c>
      <c r="B275" s="243">
        <v>46069</v>
      </c>
      <c r="C275" s="243" t="str">
        <f t="shared" si="20"/>
        <v>Feb</v>
      </c>
      <c r="D275" s="236" t="s">
        <v>1223</v>
      </c>
      <c r="E275" s="236" t="s">
        <v>1097</v>
      </c>
      <c r="F275" s="236" t="s">
        <v>1017</v>
      </c>
      <c r="G275" s="236" t="s">
        <v>1023</v>
      </c>
      <c r="H275" s="236" t="s">
        <v>1083</v>
      </c>
      <c r="I275" s="236" t="s">
        <v>1025</v>
      </c>
      <c r="J275" s="236" t="s">
        <v>1044</v>
      </c>
      <c r="K275" s="236">
        <v>1980</v>
      </c>
      <c r="L275" s="236">
        <v>648</v>
      </c>
      <c r="M275" s="237">
        <v>1283040</v>
      </c>
    </row>
    <row r="276" spans="1:13" x14ac:dyDescent="0.35">
      <c r="A276" s="235">
        <v>275</v>
      </c>
      <c r="B276" s="243">
        <v>45773</v>
      </c>
      <c r="C276" s="243" t="str">
        <f t="shared" si="20"/>
        <v>Apr</v>
      </c>
      <c r="D276" s="236" t="s">
        <v>1228</v>
      </c>
      <c r="E276" s="236" t="s">
        <v>1097</v>
      </c>
      <c r="F276" s="236" t="s">
        <v>1017</v>
      </c>
      <c r="G276" s="236" t="s">
        <v>1018</v>
      </c>
      <c r="H276" s="236" t="s">
        <v>1084</v>
      </c>
      <c r="I276" s="236" t="s">
        <v>1085</v>
      </c>
      <c r="J276" s="236" t="s">
        <v>1044</v>
      </c>
      <c r="K276" s="236">
        <v>6082</v>
      </c>
      <c r="L276" s="236">
        <v>810</v>
      </c>
      <c r="M276" s="237">
        <v>4926420</v>
      </c>
    </row>
    <row r="277" spans="1:13" x14ac:dyDescent="0.35">
      <c r="A277" s="235">
        <v>276</v>
      </c>
      <c r="B277" s="243">
        <v>45880</v>
      </c>
      <c r="C277" s="243" t="str">
        <f t="shared" si="20"/>
        <v>Aug</v>
      </c>
      <c r="D277" s="236" t="s">
        <v>1229</v>
      </c>
      <c r="E277" s="236" t="s">
        <v>1097</v>
      </c>
      <c r="F277" s="236" t="s">
        <v>1017</v>
      </c>
      <c r="G277" s="236" t="s">
        <v>1018</v>
      </c>
      <c r="H277" s="236" t="s">
        <v>1086</v>
      </c>
      <c r="I277" s="236" t="s">
        <v>1087</v>
      </c>
      <c r="J277" s="236" t="s">
        <v>1044</v>
      </c>
      <c r="K277" s="236">
        <v>9433</v>
      </c>
      <c r="L277" s="236">
        <v>540</v>
      </c>
      <c r="M277" s="237">
        <v>5093820</v>
      </c>
    </row>
    <row r="278" spans="1:13" x14ac:dyDescent="0.35">
      <c r="A278" s="235">
        <v>277</v>
      </c>
      <c r="B278" s="243">
        <v>45759</v>
      </c>
      <c r="C278" s="243" t="str">
        <f t="shared" si="20"/>
        <v>Apr</v>
      </c>
      <c r="D278" s="236" t="s">
        <v>1230</v>
      </c>
      <c r="E278" s="236" t="s">
        <v>1097</v>
      </c>
      <c r="F278" s="236" t="s">
        <v>1017</v>
      </c>
      <c r="G278" s="236" t="s">
        <v>1018</v>
      </c>
      <c r="H278" s="236" t="s">
        <v>1091</v>
      </c>
      <c r="I278" s="236" t="s">
        <v>1092</v>
      </c>
      <c r="J278" s="236" t="s">
        <v>1020</v>
      </c>
      <c r="K278" s="236">
        <v>2572</v>
      </c>
      <c r="L278" s="236">
        <v>777</v>
      </c>
      <c r="M278" s="237">
        <v>1998444</v>
      </c>
    </row>
    <row r="279" spans="1:13" x14ac:dyDescent="0.35">
      <c r="A279" s="235">
        <v>278</v>
      </c>
      <c r="B279" s="243">
        <v>45818</v>
      </c>
      <c r="C279" s="243" t="str">
        <f t="shared" si="20"/>
        <v>Jun</v>
      </c>
      <c r="D279" s="236" t="s">
        <v>1231</v>
      </c>
      <c r="E279" s="236" t="s">
        <v>1097</v>
      </c>
      <c r="F279" s="236" t="s">
        <v>1017</v>
      </c>
      <c r="G279" s="236" t="s">
        <v>1054</v>
      </c>
      <c r="H279" s="236" t="s">
        <v>1093</v>
      </c>
      <c r="I279" s="236" t="s">
        <v>1094</v>
      </c>
      <c r="J279" s="236" t="s">
        <v>1020</v>
      </c>
      <c r="K279" s="236">
        <v>5503</v>
      </c>
      <c r="L279" s="236">
        <v>717</v>
      </c>
      <c r="M279" s="237">
        <v>3945651</v>
      </c>
    </row>
    <row r="280" spans="1:13" x14ac:dyDescent="0.35">
      <c r="A280" s="235">
        <v>279</v>
      </c>
      <c r="B280" s="243">
        <v>45797</v>
      </c>
      <c r="C280" s="243" t="str">
        <f t="shared" si="20"/>
        <v>May</v>
      </c>
      <c r="D280" s="236" t="s">
        <v>1232</v>
      </c>
      <c r="E280" s="236" t="s">
        <v>1097</v>
      </c>
      <c r="F280" s="236" t="s">
        <v>1017</v>
      </c>
      <c r="G280" s="236" t="s">
        <v>1026</v>
      </c>
      <c r="H280" s="236" t="s">
        <v>1027</v>
      </c>
      <c r="I280" s="236" t="s">
        <v>1028</v>
      </c>
      <c r="J280" s="236" t="s">
        <v>1020</v>
      </c>
      <c r="K280" s="236">
        <v>3673</v>
      </c>
      <c r="L280" s="236">
        <v>855</v>
      </c>
      <c r="M280" s="237">
        <v>3140415</v>
      </c>
    </row>
    <row r="281" spans="1:13" x14ac:dyDescent="0.35">
      <c r="A281" s="235">
        <v>280</v>
      </c>
      <c r="B281" s="243">
        <v>45775</v>
      </c>
      <c r="C281" s="243" t="str">
        <f t="shared" si="20"/>
        <v>Apr</v>
      </c>
      <c r="D281" s="236" t="s">
        <v>1233</v>
      </c>
      <c r="E281" s="236" t="s">
        <v>1097</v>
      </c>
      <c r="F281" s="236" t="s">
        <v>1017</v>
      </c>
      <c r="G281" s="236" t="s">
        <v>1026</v>
      </c>
      <c r="H281" s="236" t="s">
        <v>1099</v>
      </c>
      <c r="I281" s="236" t="s">
        <v>1079</v>
      </c>
      <c r="J281" s="236" t="s">
        <v>1044</v>
      </c>
      <c r="K281" s="236">
        <v>6278</v>
      </c>
      <c r="L281" s="236">
        <v>540</v>
      </c>
      <c r="M281" s="237">
        <v>3390120</v>
      </c>
    </row>
    <row r="282" spans="1:13" x14ac:dyDescent="0.35">
      <c r="A282" s="235">
        <v>281</v>
      </c>
      <c r="B282" s="243">
        <v>46023</v>
      </c>
      <c r="C282" s="243" t="str">
        <f t="shared" si="20"/>
        <v>Jan</v>
      </c>
      <c r="D282" s="236" t="s">
        <v>1184</v>
      </c>
      <c r="E282" s="236" t="s">
        <v>1097</v>
      </c>
      <c r="F282" s="236" t="s">
        <v>1017</v>
      </c>
      <c r="G282" s="236" t="s">
        <v>1023</v>
      </c>
      <c r="H282" s="236" t="s">
        <v>1068</v>
      </c>
      <c r="I282" s="236" t="s">
        <v>1040</v>
      </c>
      <c r="J282" s="236" t="s">
        <v>1044</v>
      </c>
      <c r="K282" s="236">
        <v>9561</v>
      </c>
      <c r="L282" s="236">
        <v>674</v>
      </c>
      <c r="M282" s="237">
        <v>6444114</v>
      </c>
    </row>
    <row r="283" spans="1:13" x14ac:dyDescent="0.35">
      <c r="A283" s="235">
        <v>282</v>
      </c>
      <c r="B283" s="243">
        <v>45876</v>
      </c>
      <c r="C283" s="243" t="str">
        <f t="shared" si="20"/>
        <v>Aug</v>
      </c>
      <c r="D283" s="236" t="s">
        <v>1184</v>
      </c>
      <c r="E283" s="236" t="s">
        <v>1104</v>
      </c>
      <c r="F283" s="236" t="s">
        <v>1034</v>
      </c>
      <c r="G283" s="236" t="s">
        <v>1018</v>
      </c>
      <c r="H283" s="236" t="s">
        <v>1069</v>
      </c>
      <c r="I283" s="236" t="s">
        <v>1048</v>
      </c>
      <c r="J283" s="236" t="s">
        <v>1044</v>
      </c>
      <c r="K283" s="236">
        <v>2952</v>
      </c>
      <c r="L283" s="236">
        <v>640</v>
      </c>
      <c r="M283" s="237">
        <v>1889280</v>
      </c>
    </row>
    <row r="284" spans="1:13" x14ac:dyDescent="0.35">
      <c r="A284" s="235">
        <v>283</v>
      </c>
      <c r="B284" s="243">
        <v>45891</v>
      </c>
      <c r="C284" s="243" t="str">
        <f t="shared" si="20"/>
        <v>Aug</v>
      </c>
      <c r="D284" s="236" t="s">
        <v>1184</v>
      </c>
      <c r="E284" s="236" t="s">
        <v>1104</v>
      </c>
      <c r="F284" s="236" t="s">
        <v>1034</v>
      </c>
      <c r="G284" s="236" t="s">
        <v>1018</v>
      </c>
      <c r="H284" s="236" t="s">
        <v>1071</v>
      </c>
      <c r="I284" s="236" t="s">
        <v>1048</v>
      </c>
      <c r="J284" s="236" t="s">
        <v>1044</v>
      </c>
      <c r="K284" s="236">
        <v>5507</v>
      </c>
      <c r="L284" s="236">
        <v>618</v>
      </c>
      <c r="M284" s="237">
        <v>3403326</v>
      </c>
    </row>
    <row r="285" spans="1:13" x14ac:dyDescent="0.35">
      <c r="A285" s="235">
        <v>284</v>
      </c>
      <c r="B285" s="243">
        <v>45910</v>
      </c>
      <c r="C285" s="243" t="str">
        <f t="shared" si="20"/>
        <v>Sep</v>
      </c>
      <c r="D285" s="236" t="s">
        <v>1184</v>
      </c>
      <c r="E285" s="236" t="s">
        <v>1104</v>
      </c>
      <c r="F285" s="236" t="s">
        <v>1034</v>
      </c>
      <c r="G285" s="236" t="s">
        <v>1030</v>
      </c>
      <c r="H285" s="236" t="s">
        <v>1072</v>
      </c>
      <c r="I285" s="236" t="s">
        <v>1032</v>
      </c>
      <c r="J285" s="236" t="s">
        <v>1044</v>
      </c>
      <c r="K285" s="236">
        <v>9862</v>
      </c>
      <c r="L285" s="236">
        <v>755</v>
      </c>
      <c r="M285" s="237">
        <v>7445810</v>
      </c>
    </row>
    <row r="286" spans="1:13" x14ac:dyDescent="0.35">
      <c r="A286" s="235">
        <v>285</v>
      </c>
      <c r="B286" s="243">
        <v>45797</v>
      </c>
      <c r="C286" s="243" t="str">
        <f t="shared" si="20"/>
        <v>May</v>
      </c>
      <c r="D286" s="236" t="s">
        <v>1223</v>
      </c>
      <c r="E286" s="236" t="s">
        <v>1104</v>
      </c>
      <c r="F286" s="236" t="s">
        <v>1034</v>
      </c>
      <c r="G286" s="236" t="s">
        <v>1030</v>
      </c>
      <c r="H286" s="236" t="s">
        <v>1073</v>
      </c>
      <c r="I286" s="236" t="s">
        <v>1032</v>
      </c>
      <c r="J286" s="236" t="s">
        <v>1044</v>
      </c>
      <c r="K286" s="236">
        <v>9694</v>
      </c>
      <c r="L286" s="236">
        <v>829</v>
      </c>
      <c r="M286" s="237">
        <v>8036326</v>
      </c>
    </row>
    <row r="287" spans="1:13" x14ac:dyDescent="0.35">
      <c r="A287" s="235">
        <v>286</v>
      </c>
      <c r="B287" s="243">
        <v>45940</v>
      </c>
      <c r="C287" s="243" t="str">
        <f t="shared" si="20"/>
        <v>Oct</v>
      </c>
      <c r="D287" s="236" t="s">
        <v>1234</v>
      </c>
      <c r="E287" s="236" t="s">
        <v>1104</v>
      </c>
      <c r="F287" s="236" t="s">
        <v>1034</v>
      </c>
      <c r="G287" s="236" t="s">
        <v>1018</v>
      </c>
      <c r="H287" s="236" t="s">
        <v>1075</v>
      </c>
      <c r="I287" s="236" t="s">
        <v>1043</v>
      </c>
      <c r="J287" s="236" t="s">
        <v>1020</v>
      </c>
      <c r="K287" s="236">
        <v>6821</v>
      </c>
      <c r="L287" s="236">
        <v>919</v>
      </c>
      <c r="M287" s="237">
        <v>6268499</v>
      </c>
    </row>
    <row r="288" spans="1:13" x14ac:dyDescent="0.35">
      <c r="A288" s="235">
        <v>287</v>
      </c>
      <c r="B288" s="243">
        <v>45972</v>
      </c>
      <c r="C288" s="243" t="str">
        <f t="shared" si="20"/>
        <v>Nov</v>
      </c>
      <c r="D288" s="236" t="s">
        <v>1235</v>
      </c>
      <c r="E288" s="236" t="s">
        <v>1104</v>
      </c>
      <c r="F288" s="236" t="s">
        <v>1034</v>
      </c>
      <c r="G288" s="236" t="s">
        <v>1018</v>
      </c>
      <c r="H288" s="236" t="s">
        <v>1077</v>
      </c>
      <c r="I288" s="236" t="s">
        <v>1048</v>
      </c>
      <c r="J288" s="236" t="s">
        <v>1020</v>
      </c>
      <c r="K288" s="236">
        <v>7329</v>
      </c>
      <c r="L288" s="236">
        <v>778</v>
      </c>
      <c r="M288" s="237">
        <v>5701962</v>
      </c>
    </row>
    <row r="289" spans="1:13" x14ac:dyDescent="0.35">
      <c r="A289" s="235">
        <v>288</v>
      </c>
      <c r="B289" s="243">
        <v>45962</v>
      </c>
      <c r="C289" s="243" t="str">
        <f t="shared" si="20"/>
        <v>Nov</v>
      </c>
      <c r="D289" s="236" t="s">
        <v>1184</v>
      </c>
      <c r="E289" s="236" t="s">
        <v>1104</v>
      </c>
      <c r="F289" s="236" t="s">
        <v>1034</v>
      </c>
      <c r="G289" s="236" t="s">
        <v>1026</v>
      </c>
      <c r="H289" s="236" t="s">
        <v>1078</v>
      </c>
      <c r="I289" s="236" t="s">
        <v>1079</v>
      </c>
      <c r="J289" s="236" t="s">
        <v>1020</v>
      </c>
      <c r="K289" s="236">
        <v>6427</v>
      </c>
      <c r="L289" s="236">
        <v>825</v>
      </c>
      <c r="M289" s="237">
        <v>5302275</v>
      </c>
    </row>
    <row r="290" spans="1:13" x14ac:dyDescent="0.35">
      <c r="A290" s="235">
        <v>289</v>
      </c>
      <c r="B290" s="243">
        <v>45915</v>
      </c>
      <c r="C290" s="243" t="str">
        <f t="shared" si="20"/>
        <v>Sep</v>
      </c>
      <c r="D290" s="236" t="s">
        <v>1223</v>
      </c>
      <c r="E290" s="236" t="s">
        <v>1104</v>
      </c>
      <c r="F290" s="236" t="s">
        <v>1034</v>
      </c>
      <c r="G290" s="236" t="s">
        <v>1030</v>
      </c>
      <c r="H290" s="236" t="s">
        <v>1081</v>
      </c>
      <c r="I290" s="236" t="s">
        <v>1082</v>
      </c>
      <c r="J290" s="236" t="s">
        <v>1020</v>
      </c>
      <c r="K290" s="236">
        <v>8915</v>
      </c>
      <c r="L290" s="236">
        <v>586</v>
      </c>
      <c r="M290" s="237">
        <v>5224190</v>
      </c>
    </row>
    <row r="291" spans="1:13" x14ac:dyDescent="0.35">
      <c r="A291" s="235">
        <v>290</v>
      </c>
      <c r="B291" s="243">
        <v>45863</v>
      </c>
      <c r="C291" s="243" t="str">
        <f t="shared" si="20"/>
        <v>Jul</v>
      </c>
      <c r="D291" s="236" t="s">
        <v>1236</v>
      </c>
      <c r="E291" s="236" t="s">
        <v>1104</v>
      </c>
      <c r="F291" s="236" t="s">
        <v>1034</v>
      </c>
      <c r="G291" s="236" t="s">
        <v>1023</v>
      </c>
      <c r="H291" s="236" t="s">
        <v>1083</v>
      </c>
      <c r="I291" s="236" t="s">
        <v>1025</v>
      </c>
      <c r="J291" s="236" t="s">
        <v>1044</v>
      </c>
      <c r="K291" s="236">
        <v>4848</v>
      </c>
      <c r="L291" s="236">
        <v>556</v>
      </c>
      <c r="M291" s="237">
        <v>2695488</v>
      </c>
    </row>
    <row r="292" spans="1:13" x14ac:dyDescent="0.35">
      <c r="A292" s="235">
        <v>291</v>
      </c>
      <c r="B292" s="243">
        <v>45831</v>
      </c>
      <c r="C292" s="243" t="str">
        <f t="shared" si="20"/>
        <v>Jun</v>
      </c>
      <c r="D292" s="236" t="s">
        <v>1237</v>
      </c>
      <c r="E292" s="236" t="s">
        <v>1104</v>
      </c>
      <c r="F292" s="236" t="s">
        <v>1034</v>
      </c>
      <c r="G292" s="236" t="s">
        <v>1018</v>
      </c>
      <c r="H292" s="236" t="s">
        <v>1084</v>
      </c>
      <c r="I292" s="236" t="s">
        <v>1085</v>
      </c>
      <c r="J292" s="236" t="s">
        <v>1020</v>
      </c>
      <c r="K292" s="236">
        <v>5990</v>
      </c>
      <c r="L292" s="236">
        <v>859</v>
      </c>
      <c r="M292" s="237">
        <v>5145410</v>
      </c>
    </row>
    <row r="293" spans="1:13" x14ac:dyDescent="0.35">
      <c r="A293" s="235">
        <v>292</v>
      </c>
      <c r="B293" s="243">
        <v>45990</v>
      </c>
      <c r="C293" s="243" t="str">
        <f t="shared" si="20"/>
        <v>Nov</v>
      </c>
      <c r="D293" s="236" t="s">
        <v>1238</v>
      </c>
      <c r="E293" s="236" t="s">
        <v>1104</v>
      </c>
      <c r="F293" s="236" t="s">
        <v>1034</v>
      </c>
      <c r="G293" s="236" t="s">
        <v>1018</v>
      </c>
      <c r="H293" s="236" t="s">
        <v>1086</v>
      </c>
      <c r="I293" s="236" t="s">
        <v>1087</v>
      </c>
      <c r="J293" s="236" t="s">
        <v>1020</v>
      </c>
      <c r="K293" s="236">
        <v>6726</v>
      </c>
      <c r="L293" s="236">
        <v>900</v>
      </c>
      <c r="M293" s="237">
        <v>6053400</v>
      </c>
    </row>
    <row r="294" spans="1:13" x14ac:dyDescent="0.35">
      <c r="A294" s="235">
        <v>293</v>
      </c>
      <c r="B294" s="243">
        <v>45839</v>
      </c>
      <c r="C294" s="243" t="str">
        <f t="shared" si="20"/>
        <v>Jul</v>
      </c>
      <c r="D294" s="236" t="s">
        <v>1239</v>
      </c>
      <c r="E294" s="236" t="s">
        <v>1104</v>
      </c>
      <c r="F294" s="236" t="s">
        <v>1034</v>
      </c>
      <c r="G294" s="236" t="s">
        <v>1088</v>
      </c>
      <c r="H294" s="236" t="s">
        <v>1089</v>
      </c>
      <c r="I294" s="236" t="s">
        <v>1090</v>
      </c>
      <c r="J294" s="236" t="s">
        <v>1020</v>
      </c>
      <c r="K294" s="236">
        <v>5686</v>
      </c>
      <c r="L294" s="236">
        <v>731</v>
      </c>
      <c r="M294" s="237">
        <v>4156466</v>
      </c>
    </row>
    <row r="295" spans="1:13" x14ac:dyDescent="0.35">
      <c r="A295" s="235">
        <v>294</v>
      </c>
      <c r="B295" s="243">
        <v>45818</v>
      </c>
      <c r="C295" s="243" t="str">
        <f t="shared" si="20"/>
        <v>Jun</v>
      </c>
      <c r="D295" s="236" t="s">
        <v>1240</v>
      </c>
      <c r="E295" s="236" t="s">
        <v>1108</v>
      </c>
      <c r="F295" s="236" t="s">
        <v>1034</v>
      </c>
      <c r="G295" s="236" t="s">
        <v>1018</v>
      </c>
      <c r="H295" s="236" t="s">
        <v>1091</v>
      </c>
      <c r="I295" s="236" t="s">
        <v>1092</v>
      </c>
      <c r="J295" s="236" t="s">
        <v>1020</v>
      </c>
      <c r="K295" s="236">
        <v>5246</v>
      </c>
      <c r="L295" s="236">
        <v>653</v>
      </c>
      <c r="M295" s="237">
        <v>3425638</v>
      </c>
    </row>
    <row r="296" spans="1:13" ht="15" thickBot="1" x14ac:dyDescent="0.4">
      <c r="A296" s="240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2">
        <f>SUBTOTAL(9,M2:M295)</f>
        <v>1242096365</v>
      </c>
    </row>
    <row r="297" spans="1:13" ht="15" thickTop="1" x14ac:dyDescent="0.3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60A7-F3E5-4625-AF49-51F969B245B6}">
  <sheetPr>
    <tabColor theme="2" tint="-0.749992370372631"/>
  </sheetPr>
  <dimension ref="A1:N303"/>
  <sheetViews>
    <sheetView zoomScaleNormal="100" workbookViewId="0">
      <selection activeCell="A155" sqref="A154:XFD155"/>
    </sheetView>
  </sheetViews>
  <sheetFormatPr defaultRowHeight="14.5" x14ac:dyDescent="0.35"/>
  <cols>
    <col min="1" max="1" width="25.7265625" bestFit="1" customWidth="1"/>
    <col min="2" max="12" width="16.36328125" bestFit="1" customWidth="1"/>
    <col min="13" max="13" width="8.453125" customWidth="1"/>
    <col min="14" max="14" width="17.453125" bestFit="1" customWidth="1"/>
  </cols>
  <sheetData>
    <row r="1" spans="1:14" x14ac:dyDescent="0.35">
      <c r="A1" s="244" t="s">
        <v>1252</v>
      </c>
      <c r="B1" s="245" t="s">
        <v>1245</v>
      </c>
      <c r="C1" s="245" t="s">
        <v>1242</v>
      </c>
      <c r="D1" s="245" t="s">
        <v>1248</v>
      </c>
      <c r="E1" s="245" t="s">
        <v>1249</v>
      </c>
      <c r="F1" s="245" t="s">
        <v>1251</v>
      </c>
      <c r="G1" s="245" t="s">
        <v>1247</v>
      </c>
      <c r="H1" s="245" t="s">
        <v>1246</v>
      </c>
      <c r="I1" s="245" t="s">
        <v>1243</v>
      </c>
      <c r="J1" s="245" t="s">
        <v>1250</v>
      </c>
      <c r="K1" s="245" t="s">
        <v>1244</v>
      </c>
      <c r="L1" s="245" t="s">
        <v>1241</v>
      </c>
      <c r="M1" s="245" t="s">
        <v>1253</v>
      </c>
      <c r="N1" s="246" t="s">
        <v>6</v>
      </c>
    </row>
    <row r="2" spans="1:14" s="250" customFormat="1" ht="24" customHeight="1" x14ac:dyDescent="0.35">
      <c r="A2" s="247" t="s">
        <v>1015</v>
      </c>
      <c r="B2" s="248" cm="1">
        <f t="array" ref="B2:M148">SUMIFS('Master data'!$M$2:$M$295,'Master data'!$D$2:$D$295,A2:A148,'Master data'!$C$2:$C$295,B1:M1)</f>
        <v>0</v>
      </c>
      <c r="C2" s="248">
        <v>0</v>
      </c>
      <c r="D2" s="248">
        <v>0</v>
      </c>
      <c r="E2" s="248">
        <v>0</v>
      </c>
      <c r="F2" s="248">
        <v>0</v>
      </c>
      <c r="G2" s="248">
        <v>0</v>
      </c>
      <c r="H2" s="248">
        <v>0</v>
      </c>
      <c r="I2" s="248">
        <v>0</v>
      </c>
      <c r="J2" s="248">
        <v>0</v>
      </c>
      <c r="K2" s="248">
        <v>0</v>
      </c>
      <c r="L2" s="248">
        <v>3360636</v>
      </c>
      <c r="M2" s="248">
        <v>0</v>
      </c>
      <c r="N2" s="249">
        <f>SUM(B2:M2)</f>
        <v>3360636</v>
      </c>
    </row>
    <row r="3" spans="1:14" s="250" customFormat="1" ht="24" customHeight="1" x14ac:dyDescent="0.35">
      <c r="A3" s="247" t="s">
        <v>1021</v>
      </c>
      <c r="B3" s="248">
        <v>9499806</v>
      </c>
      <c r="C3" s="248">
        <v>17420760</v>
      </c>
      <c r="D3" s="248">
        <v>7433712</v>
      </c>
      <c r="E3" s="248">
        <v>0</v>
      </c>
      <c r="F3" s="248">
        <v>0</v>
      </c>
      <c r="G3" s="248">
        <v>0</v>
      </c>
      <c r="H3" s="248">
        <v>4491136</v>
      </c>
      <c r="I3" s="248">
        <v>5512404</v>
      </c>
      <c r="J3" s="248">
        <v>9439416</v>
      </c>
      <c r="K3" s="248">
        <v>19568818</v>
      </c>
      <c r="L3" s="248">
        <v>16662614</v>
      </c>
      <c r="M3" s="248">
        <v>0</v>
      </c>
      <c r="N3" s="249">
        <f t="shared" ref="N3:N66" si="0">SUM(B3:M3)</f>
        <v>90028666</v>
      </c>
    </row>
    <row r="4" spans="1:14" s="250" customFormat="1" ht="24" customHeight="1" x14ac:dyDescent="0.35">
      <c r="A4" s="247" t="s">
        <v>1029</v>
      </c>
      <c r="B4" s="248">
        <v>0</v>
      </c>
      <c r="C4" s="248">
        <v>0</v>
      </c>
      <c r="D4" s="248">
        <v>0</v>
      </c>
      <c r="E4" s="248">
        <v>0</v>
      </c>
      <c r="F4" s="248">
        <v>0</v>
      </c>
      <c r="G4" s="248">
        <v>0</v>
      </c>
      <c r="H4" s="248">
        <v>0</v>
      </c>
      <c r="I4" s="248">
        <v>0</v>
      </c>
      <c r="J4" s="248">
        <v>0</v>
      </c>
      <c r="K4" s="248">
        <v>3566605</v>
      </c>
      <c r="L4" s="248">
        <v>0</v>
      </c>
      <c r="M4" s="248">
        <v>0</v>
      </c>
      <c r="N4" s="249">
        <f t="shared" si="0"/>
        <v>3566605</v>
      </c>
    </row>
    <row r="5" spans="1:14" s="250" customFormat="1" ht="24" customHeight="1" x14ac:dyDescent="0.35">
      <c r="A5" s="247" t="s">
        <v>1045</v>
      </c>
      <c r="B5" s="248">
        <v>0</v>
      </c>
      <c r="C5" s="248">
        <v>0</v>
      </c>
      <c r="D5" s="248">
        <v>0</v>
      </c>
      <c r="E5" s="248">
        <v>0</v>
      </c>
      <c r="F5" s="248">
        <v>0</v>
      </c>
      <c r="G5" s="248">
        <v>1657096</v>
      </c>
      <c r="H5" s="248">
        <v>0</v>
      </c>
      <c r="I5" s="248">
        <v>0</v>
      </c>
      <c r="J5" s="248">
        <v>0</v>
      </c>
      <c r="K5" s="248">
        <v>0</v>
      </c>
      <c r="L5" s="248">
        <v>0</v>
      </c>
      <c r="M5" s="248">
        <v>0</v>
      </c>
      <c r="N5" s="249">
        <f t="shared" si="0"/>
        <v>1657096</v>
      </c>
    </row>
    <row r="6" spans="1:14" s="250" customFormat="1" ht="24" customHeight="1" x14ac:dyDescent="0.35">
      <c r="A6" s="247" t="s">
        <v>1049</v>
      </c>
      <c r="B6" s="248">
        <v>0</v>
      </c>
      <c r="C6" s="248">
        <v>0</v>
      </c>
      <c r="D6" s="248">
        <v>0</v>
      </c>
      <c r="E6" s="248">
        <v>0</v>
      </c>
      <c r="F6" s="248">
        <v>0</v>
      </c>
      <c r="G6" s="248">
        <v>0</v>
      </c>
      <c r="H6" s="248">
        <v>0</v>
      </c>
      <c r="I6" s="248">
        <v>0</v>
      </c>
      <c r="J6" s="248">
        <v>0</v>
      </c>
      <c r="K6" s="248">
        <v>0</v>
      </c>
      <c r="L6" s="248">
        <v>3443532</v>
      </c>
      <c r="M6" s="248">
        <v>0</v>
      </c>
      <c r="N6" s="249">
        <f t="shared" si="0"/>
        <v>3443532</v>
      </c>
    </row>
    <row r="7" spans="1:14" s="250" customFormat="1" ht="24" customHeight="1" x14ac:dyDescent="0.35">
      <c r="A7" s="247" t="s">
        <v>1051</v>
      </c>
      <c r="B7" s="248">
        <v>0</v>
      </c>
      <c r="C7" s="248">
        <v>0</v>
      </c>
      <c r="D7" s="248">
        <v>3577658</v>
      </c>
      <c r="E7" s="248">
        <v>0</v>
      </c>
      <c r="F7" s="248">
        <v>0</v>
      </c>
      <c r="G7" s="248">
        <v>0</v>
      </c>
      <c r="H7" s="248">
        <v>0</v>
      </c>
      <c r="I7" s="248">
        <v>0</v>
      </c>
      <c r="J7" s="248">
        <v>0</v>
      </c>
      <c r="K7" s="248">
        <v>0</v>
      </c>
      <c r="L7" s="248">
        <v>0</v>
      </c>
      <c r="M7" s="248">
        <v>0</v>
      </c>
      <c r="N7" s="249">
        <f t="shared" si="0"/>
        <v>3577658</v>
      </c>
    </row>
    <row r="8" spans="1:14" s="250" customFormat="1" ht="24" customHeight="1" x14ac:dyDescent="0.35">
      <c r="A8" s="247" t="s">
        <v>1053</v>
      </c>
      <c r="B8" s="248">
        <v>0</v>
      </c>
      <c r="C8" s="248">
        <v>0</v>
      </c>
      <c r="D8" s="248">
        <v>0</v>
      </c>
      <c r="E8" s="248">
        <v>0</v>
      </c>
      <c r="F8" s="248">
        <v>0</v>
      </c>
      <c r="G8" s="248">
        <v>0</v>
      </c>
      <c r="H8" s="248">
        <v>1276242</v>
      </c>
      <c r="I8" s="248">
        <v>0</v>
      </c>
      <c r="J8" s="248">
        <v>0</v>
      </c>
      <c r="K8" s="248">
        <v>0</v>
      </c>
      <c r="L8" s="248">
        <v>0</v>
      </c>
      <c r="M8" s="248">
        <v>0</v>
      </c>
      <c r="N8" s="249">
        <f t="shared" si="0"/>
        <v>1276242</v>
      </c>
    </row>
    <row r="9" spans="1:14" s="250" customFormat="1" ht="24" customHeight="1" x14ac:dyDescent="0.35">
      <c r="A9" s="247" t="s">
        <v>1062</v>
      </c>
      <c r="B9" s="248">
        <v>0</v>
      </c>
      <c r="C9" s="248">
        <v>0</v>
      </c>
      <c r="D9" s="248">
        <v>0</v>
      </c>
      <c r="E9" s="248">
        <v>0</v>
      </c>
      <c r="F9" s="248">
        <v>0</v>
      </c>
      <c r="G9" s="248">
        <v>0</v>
      </c>
      <c r="H9" s="248">
        <v>0</v>
      </c>
      <c r="I9" s="248">
        <v>0</v>
      </c>
      <c r="J9" s="248">
        <v>0</v>
      </c>
      <c r="K9" s="248">
        <v>4510462</v>
      </c>
      <c r="L9" s="248">
        <v>0</v>
      </c>
      <c r="M9" s="248">
        <v>0</v>
      </c>
      <c r="N9" s="249">
        <f t="shared" si="0"/>
        <v>4510462</v>
      </c>
    </row>
    <row r="10" spans="1:14" s="250" customFormat="1" ht="24" customHeight="1" x14ac:dyDescent="0.35">
      <c r="A10" s="247" t="s">
        <v>1065</v>
      </c>
      <c r="B10" s="248">
        <v>0</v>
      </c>
      <c r="C10" s="248">
        <v>0</v>
      </c>
      <c r="D10" s="248">
        <v>0</v>
      </c>
      <c r="E10" s="248">
        <v>10779262</v>
      </c>
      <c r="F10" s="248">
        <v>0</v>
      </c>
      <c r="G10" s="248">
        <v>0</v>
      </c>
      <c r="H10" s="248">
        <v>0</v>
      </c>
      <c r="I10" s="248">
        <v>0</v>
      </c>
      <c r="J10" s="248">
        <v>0</v>
      </c>
      <c r="K10" s="248">
        <v>0</v>
      </c>
      <c r="L10" s="248">
        <v>0</v>
      </c>
      <c r="M10" s="248">
        <v>0</v>
      </c>
      <c r="N10" s="249">
        <f t="shared" si="0"/>
        <v>10779262</v>
      </c>
    </row>
    <row r="11" spans="1:14" s="250" customFormat="1" ht="24" customHeight="1" x14ac:dyDescent="0.35">
      <c r="A11" s="247" t="s">
        <v>1074</v>
      </c>
      <c r="B11" s="248">
        <v>0</v>
      </c>
      <c r="C11" s="248">
        <v>0</v>
      </c>
      <c r="D11" s="248">
        <v>0</v>
      </c>
      <c r="E11" s="248">
        <v>0</v>
      </c>
      <c r="F11" s="248">
        <v>0</v>
      </c>
      <c r="G11" s="248">
        <v>0</v>
      </c>
      <c r="H11" s="248">
        <v>0</v>
      </c>
      <c r="I11" s="248">
        <v>3469540</v>
      </c>
      <c r="J11" s="248">
        <v>0</v>
      </c>
      <c r="K11" s="248">
        <v>0</v>
      </c>
      <c r="L11" s="248">
        <v>0</v>
      </c>
      <c r="M11" s="248">
        <v>0</v>
      </c>
      <c r="N11" s="249">
        <f t="shared" si="0"/>
        <v>3469540</v>
      </c>
    </row>
    <row r="12" spans="1:14" s="250" customFormat="1" ht="24" customHeight="1" x14ac:dyDescent="0.35">
      <c r="A12" s="247" t="s">
        <v>1076</v>
      </c>
      <c r="B12" s="248">
        <v>0</v>
      </c>
      <c r="C12" s="248">
        <v>0</v>
      </c>
      <c r="D12" s="248">
        <v>0</v>
      </c>
      <c r="E12" s="248">
        <v>0</v>
      </c>
      <c r="F12" s="248">
        <v>0</v>
      </c>
      <c r="G12" s="248">
        <v>0</v>
      </c>
      <c r="H12" s="248">
        <v>0</v>
      </c>
      <c r="I12" s="248">
        <v>0</v>
      </c>
      <c r="J12" s="248">
        <v>0</v>
      </c>
      <c r="K12" s="248">
        <v>0</v>
      </c>
      <c r="L12" s="248">
        <v>1809280</v>
      </c>
      <c r="M12" s="248">
        <v>0</v>
      </c>
      <c r="N12" s="249">
        <f t="shared" si="0"/>
        <v>1809280</v>
      </c>
    </row>
    <row r="13" spans="1:14" s="250" customFormat="1" ht="24" customHeight="1" x14ac:dyDescent="0.35">
      <c r="A13" s="247" t="s">
        <v>1080</v>
      </c>
      <c r="B13" s="248">
        <v>24171699</v>
      </c>
      <c r="C13" s="248">
        <v>0</v>
      </c>
      <c r="D13" s="248">
        <v>17642676</v>
      </c>
      <c r="E13" s="248">
        <v>18771986</v>
      </c>
      <c r="F13" s="248">
        <v>18251892</v>
      </c>
      <c r="G13" s="248">
        <v>10762649</v>
      </c>
      <c r="H13" s="248">
        <v>4605916</v>
      </c>
      <c r="I13" s="248">
        <v>25097581</v>
      </c>
      <c r="J13" s="248">
        <v>10357596</v>
      </c>
      <c r="K13" s="248">
        <v>15032265</v>
      </c>
      <c r="L13" s="248">
        <v>11536096</v>
      </c>
      <c r="M13" s="248">
        <v>0</v>
      </c>
      <c r="N13" s="249">
        <f t="shared" si="0"/>
        <v>156230356</v>
      </c>
    </row>
    <row r="14" spans="1:14" s="250" customFormat="1" ht="24" customHeight="1" x14ac:dyDescent="0.35">
      <c r="A14" s="247" t="s">
        <v>1096</v>
      </c>
      <c r="B14" s="248">
        <v>0</v>
      </c>
      <c r="C14" s="248">
        <v>0</v>
      </c>
      <c r="D14" s="248">
        <v>0</v>
      </c>
      <c r="E14" s="248">
        <v>0</v>
      </c>
      <c r="F14" s="248">
        <v>3735570</v>
      </c>
      <c r="G14" s="248">
        <v>0</v>
      </c>
      <c r="H14" s="248">
        <v>0</v>
      </c>
      <c r="I14" s="248">
        <v>0</v>
      </c>
      <c r="J14" s="248">
        <v>0</v>
      </c>
      <c r="K14" s="248">
        <v>0</v>
      </c>
      <c r="L14" s="248">
        <v>0</v>
      </c>
      <c r="M14" s="248">
        <v>0</v>
      </c>
      <c r="N14" s="249">
        <f t="shared" si="0"/>
        <v>3735570</v>
      </c>
    </row>
    <row r="15" spans="1:14" s="250" customFormat="1" ht="24" customHeight="1" x14ac:dyDescent="0.35">
      <c r="A15" s="247" t="s">
        <v>1102</v>
      </c>
      <c r="B15" s="248">
        <v>0</v>
      </c>
      <c r="C15" s="248">
        <v>0</v>
      </c>
      <c r="D15" s="248">
        <v>0</v>
      </c>
      <c r="E15" s="248">
        <v>0</v>
      </c>
      <c r="F15" s="248">
        <v>0</v>
      </c>
      <c r="G15" s="248">
        <v>0</v>
      </c>
      <c r="H15" s="248">
        <v>0</v>
      </c>
      <c r="I15" s="248">
        <v>0</v>
      </c>
      <c r="J15" s="248">
        <v>3619671</v>
      </c>
      <c r="K15" s="248">
        <v>0</v>
      </c>
      <c r="L15" s="248">
        <v>0</v>
      </c>
      <c r="M15" s="248">
        <v>0</v>
      </c>
      <c r="N15" s="249">
        <f t="shared" si="0"/>
        <v>3619671</v>
      </c>
    </row>
    <row r="16" spans="1:14" s="250" customFormat="1" ht="24" customHeight="1" x14ac:dyDescent="0.35">
      <c r="A16" s="247" t="s">
        <v>1103</v>
      </c>
      <c r="B16" s="248">
        <v>0</v>
      </c>
      <c r="C16" s="248">
        <v>0</v>
      </c>
      <c r="D16" s="248">
        <v>0</v>
      </c>
      <c r="E16" s="248">
        <v>0</v>
      </c>
      <c r="F16" s="248">
        <v>0</v>
      </c>
      <c r="G16" s="248">
        <v>0</v>
      </c>
      <c r="H16" s="248">
        <v>0</v>
      </c>
      <c r="I16" s="248">
        <v>0</v>
      </c>
      <c r="J16" s="248">
        <v>0</v>
      </c>
      <c r="K16" s="248">
        <v>0</v>
      </c>
      <c r="L16" s="248">
        <v>2379048</v>
      </c>
      <c r="M16" s="248">
        <v>0</v>
      </c>
      <c r="N16" s="249">
        <f t="shared" si="0"/>
        <v>2379048</v>
      </c>
    </row>
    <row r="17" spans="1:14" s="250" customFormat="1" ht="24" customHeight="1" x14ac:dyDescent="0.35">
      <c r="A17" s="247" t="s">
        <v>1105</v>
      </c>
      <c r="B17" s="248">
        <v>0</v>
      </c>
      <c r="C17" s="248">
        <v>0</v>
      </c>
      <c r="D17" s="248">
        <v>0</v>
      </c>
      <c r="E17" s="248">
        <v>4936932</v>
      </c>
      <c r="F17" s="248">
        <v>0</v>
      </c>
      <c r="G17" s="248">
        <v>0</v>
      </c>
      <c r="H17" s="248">
        <v>0</v>
      </c>
      <c r="I17" s="248">
        <v>0</v>
      </c>
      <c r="J17" s="248">
        <v>0</v>
      </c>
      <c r="K17" s="248">
        <v>0</v>
      </c>
      <c r="L17" s="248">
        <v>0</v>
      </c>
      <c r="M17" s="248">
        <v>0</v>
      </c>
      <c r="N17" s="249">
        <f t="shared" si="0"/>
        <v>4936932</v>
      </c>
    </row>
    <row r="18" spans="1:14" s="250" customFormat="1" ht="24" customHeight="1" x14ac:dyDescent="0.35">
      <c r="A18" s="247" t="s">
        <v>1106</v>
      </c>
      <c r="B18" s="248">
        <v>0</v>
      </c>
      <c r="C18" s="248">
        <v>13716304</v>
      </c>
      <c r="D18" s="248">
        <v>0</v>
      </c>
      <c r="E18" s="248">
        <v>0</v>
      </c>
      <c r="F18" s="248">
        <v>0</v>
      </c>
      <c r="G18" s="248">
        <v>0</v>
      </c>
      <c r="H18" s="248">
        <v>0</v>
      </c>
      <c r="I18" s="248">
        <v>0</v>
      </c>
      <c r="J18" s="248">
        <v>0</v>
      </c>
      <c r="K18" s="248">
        <v>0</v>
      </c>
      <c r="L18" s="248">
        <v>0</v>
      </c>
      <c r="M18" s="248">
        <v>0</v>
      </c>
      <c r="N18" s="249">
        <f t="shared" si="0"/>
        <v>13716304</v>
      </c>
    </row>
    <row r="19" spans="1:14" s="250" customFormat="1" ht="24" customHeight="1" x14ac:dyDescent="0.35">
      <c r="A19" s="247" t="s">
        <v>1107</v>
      </c>
      <c r="B19" s="248">
        <v>0</v>
      </c>
      <c r="C19" s="248">
        <v>0</v>
      </c>
      <c r="D19" s="248">
        <v>0</v>
      </c>
      <c r="E19" s="248">
        <v>0</v>
      </c>
      <c r="F19" s="248">
        <v>0</v>
      </c>
      <c r="G19" s="248">
        <v>0</v>
      </c>
      <c r="H19" s="248">
        <v>0</v>
      </c>
      <c r="I19" s="248">
        <v>0</v>
      </c>
      <c r="J19" s="248">
        <v>0</v>
      </c>
      <c r="K19" s="248">
        <v>4431556</v>
      </c>
      <c r="L19" s="248">
        <v>0</v>
      </c>
      <c r="M19" s="248">
        <v>0</v>
      </c>
      <c r="N19" s="249">
        <f t="shared" si="0"/>
        <v>4431556</v>
      </c>
    </row>
    <row r="20" spans="1:14" s="250" customFormat="1" ht="24" customHeight="1" x14ac:dyDescent="0.35">
      <c r="A20" s="247" t="s">
        <v>1109</v>
      </c>
      <c r="B20" s="248">
        <v>0</v>
      </c>
      <c r="C20" s="248">
        <v>0</v>
      </c>
      <c r="D20" s="248">
        <v>0</v>
      </c>
      <c r="E20" s="248">
        <v>0</v>
      </c>
      <c r="F20" s="248">
        <v>0</v>
      </c>
      <c r="G20" s="248">
        <v>0</v>
      </c>
      <c r="H20" s="248">
        <v>0</v>
      </c>
      <c r="I20" s="248">
        <v>0</v>
      </c>
      <c r="J20" s="248">
        <v>0</v>
      </c>
      <c r="K20" s="248">
        <v>0</v>
      </c>
      <c r="L20" s="248">
        <v>5987340</v>
      </c>
      <c r="M20" s="248">
        <v>0</v>
      </c>
      <c r="N20" s="249">
        <f t="shared" si="0"/>
        <v>5987340</v>
      </c>
    </row>
    <row r="21" spans="1:14" s="250" customFormat="1" ht="24" customHeight="1" x14ac:dyDescent="0.35">
      <c r="A21" s="247" t="s">
        <v>1110</v>
      </c>
      <c r="B21" s="248">
        <v>0</v>
      </c>
      <c r="C21" s="248">
        <v>0</v>
      </c>
      <c r="D21" s="248">
        <v>3440310</v>
      </c>
      <c r="E21" s="248">
        <v>0</v>
      </c>
      <c r="F21" s="248">
        <v>0</v>
      </c>
      <c r="G21" s="248">
        <v>0</v>
      </c>
      <c r="H21" s="248">
        <v>0</v>
      </c>
      <c r="I21" s="248">
        <v>0</v>
      </c>
      <c r="J21" s="248">
        <v>0</v>
      </c>
      <c r="K21" s="248">
        <v>0</v>
      </c>
      <c r="L21" s="248">
        <v>0</v>
      </c>
      <c r="M21" s="248">
        <v>0</v>
      </c>
      <c r="N21" s="249">
        <f t="shared" si="0"/>
        <v>3440310</v>
      </c>
    </row>
    <row r="22" spans="1:14" s="250" customFormat="1" ht="24" customHeight="1" x14ac:dyDescent="0.35">
      <c r="A22" s="247" t="s">
        <v>1111</v>
      </c>
      <c r="B22" s="248">
        <v>0</v>
      </c>
      <c r="C22" s="248">
        <v>0</v>
      </c>
      <c r="D22" s="248">
        <v>0</v>
      </c>
      <c r="E22" s="248">
        <v>0</v>
      </c>
      <c r="F22" s="248">
        <v>6600182</v>
      </c>
      <c r="G22" s="248">
        <v>0</v>
      </c>
      <c r="H22" s="248">
        <v>0</v>
      </c>
      <c r="I22" s="248">
        <v>0</v>
      </c>
      <c r="J22" s="248">
        <v>0</v>
      </c>
      <c r="K22" s="248">
        <v>0</v>
      </c>
      <c r="L22" s="248">
        <v>0</v>
      </c>
      <c r="M22" s="248">
        <v>0</v>
      </c>
      <c r="N22" s="249">
        <f t="shared" si="0"/>
        <v>6600182</v>
      </c>
    </row>
    <row r="23" spans="1:14" s="250" customFormat="1" ht="24" customHeight="1" x14ac:dyDescent="0.35">
      <c r="A23" s="247" t="s">
        <v>1112</v>
      </c>
      <c r="B23" s="248">
        <v>0</v>
      </c>
      <c r="C23" s="248">
        <v>0</v>
      </c>
      <c r="D23" s="248">
        <v>0</v>
      </c>
      <c r="E23" s="248">
        <v>0</v>
      </c>
      <c r="F23" s="248">
        <v>0</v>
      </c>
      <c r="G23" s="248">
        <v>0</v>
      </c>
      <c r="H23" s="248">
        <v>0</v>
      </c>
      <c r="I23" s="248">
        <v>1852065</v>
      </c>
      <c r="J23" s="248">
        <v>0</v>
      </c>
      <c r="K23" s="248">
        <v>0</v>
      </c>
      <c r="L23" s="248">
        <v>0</v>
      </c>
      <c r="M23" s="248">
        <v>0</v>
      </c>
      <c r="N23" s="249">
        <f t="shared" si="0"/>
        <v>1852065</v>
      </c>
    </row>
    <row r="24" spans="1:14" s="250" customFormat="1" ht="24" customHeight="1" x14ac:dyDescent="0.35">
      <c r="A24" s="247" t="s">
        <v>1113</v>
      </c>
      <c r="B24" s="248">
        <v>0</v>
      </c>
      <c r="C24" s="248">
        <v>0</v>
      </c>
      <c r="D24" s="248">
        <v>0</v>
      </c>
      <c r="E24" s="248">
        <v>0</v>
      </c>
      <c r="F24" s="248">
        <v>0</v>
      </c>
      <c r="G24" s="248">
        <v>7541264</v>
      </c>
      <c r="H24" s="248">
        <v>0</v>
      </c>
      <c r="I24" s="248">
        <v>0</v>
      </c>
      <c r="J24" s="248">
        <v>0</v>
      </c>
      <c r="K24" s="248">
        <v>0</v>
      </c>
      <c r="L24" s="248">
        <v>0</v>
      </c>
      <c r="M24" s="248">
        <v>0</v>
      </c>
      <c r="N24" s="249">
        <f t="shared" si="0"/>
        <v>7541264</v>
      </c>
    </row>
    <row r="25" spans="1:14" s="250" customFormat="1" ht="24" customHeight="1" x14ac:dyDescent="0.35">
      <c r="A25" s="247" t="s">
        <v>1114</v>
      </c>
      <c r="B25" s="248">
        <v>0</v>
      </c>
      <c r="C25" s="248">
        <v>0</v>
      </c>
      <c r="D25" s="248">
        <v>0</v>
      </c>
      <c r="E25" s="248">
        <v>0</v>
      </c>
      <c r="F25" s="248">
        <v>3584988</v>
      </c>
      <c r="G25" s="248">
        <v>0</v>
      </c>
      <c r="H25" s="248">
        <v>0</v>
      </c>
      <c r="I25" s="248">
        <v>0</v>
      </c>
      <c r="J25" s="248">
        <v>0</v>
      </c>
      <c r="K25" s="248">
        <v>0</v>
      </c>
      <c r="L25" s="248">
        <v>0</v>
      </c>
      <c r="M25" s="248">
        <v>0</v>
      </c>
      <c r="N25" s="249">
        <f t="shared" si="0"/>
        <v>3584988</v>
      </c>
    </row>
    <row r="26" spans="1:14" s="250" customFormat="1" ht="24" customHeight="1" x14ac:dyDescent="0.35">
      <c r="A26" s="247" t="s">
        <v>1115</v>
      </c>
      <c r="B26" s="248">
        <v>0</v>
      </c>
      <c r="C26" s="248">
        <v>0</v>
      </c>
      <c r="D26" s="248">
        <v>0</v>
      </c>
      <c r="E26" s="248">
        <v>0</v>
      </c>
      <c r="F26" s="248">
        <v>0</v>
      </c>
      <c r="G26" s="248">
        <v>0</v>
      </c>
      <c r="H26" s="248">
        <v>3786588</v>
      </c>
      <c r="I26" s="248">
        <v>0</v>
      </c>
      <c r="J26" s="248">
        <v>0</v>
      </c>
      <c r="K26" s="248">
        <v>0</v>
      </c>
      <c r="L26" s="248">
        <v>0</v>
      </c>
      <c r="M26" s="248">
        <v>0</v>
      </c>
      <c r="N26" s="249">
        <f t="shared" si="0"/>
        <v>3786588</v>
      </c>
    </row>
    <row r="27" spans="1:14" s="250" customFormat="1" ht="24" customHeight="1" x14ac:dyDescent="0.35">
      <c r="A27" s="247" t="s">
        <v>1116</v>
      </c>
      <c r="B27" s="248">
        <v>3102610</v>
      </c>
      <c r="C27" s="248">
        <v>0</v>
      </c>
      <c r="D27" s="248">
        <v>0</v>
      </c>
      <c r="E27" s="248">
        <v>0</v>
      </c>
      <c r="F27" s="248">
        <v>0</v>
      </c>
      <c r="G27" s="248">
        <v>0</v>
      </c>
      <c r="H27" s="248">
        <v>0</v>
      </c>
      <c r="I27" s="248">
        <v>0</v>
      </c>
      <c r="J27" s="248">
        <v>0</v>
      </c>
      <c r="K27" s="248">
        <v>0</v>
      </c>
      <c r="L27" s="248">
        <v>0</v>
      </c>
      <c r="M27" s="248">
        <v>0</v>
      </c>
      <c r="N27" s="249">
        <f t="shared" si="0"/>
        <v>3102610</v>
      </c>
    </row>
    <row r="28" spans="1:14" s="250" customFormat="1" ht="24" customHeight="1" x14ac:dyDescent="0.35">
      <c r="A28" s="247" t="s">
        <v>1117</v>
      </c>
      <c r="B28" s="248">
        <v>0</v>
      </c>
      <c r="C28" s="248">
        <v>0</v>
      </c>
      <c r="D28" s="248">
        <v>0</v>
      </c>
      <c r="E28" s="248">
        <v>1091128</v>
      </c>
      <c r="F28" s="248">
        <v>0</v>
      </c>
      <c r="G28" s="248">
        <v>0</v>
      </c>
      <c r="H28" s="248">
        <v>0</v>
      </c>
      <c r="I28" s="248">
        <v>0</v>
      </c>
      <c r="J28" s="248">
        <v>0</v>
      </c>
      <c r="K28" s="248">
        <v>0</v>
      </c>
      <c r="L28" s="248">
        <v>0</v>
      </c>
      <c r="M28" s="248">
        <v>0</v>
      </c>
      <c r="N28" s="249">
        <f t="shared" si="0"/>
        <v>1091128</v>
      </c>
    </row>
    <row r="29" spans="1:14" s="250" customFormat="1" ht="24" customHeight="1" x14ac:dyDescent="0.35">
      <c r="A29" s="247" t="s">
        <v>1120</v>
      </c>
      <c r="B29" s="248">
        <v>0</v>
      </c>
      <c r="C29" s="248">
        <v>0</v>
      </c>
      <c r="D29" s="248">
        <v>0</v>
      </c>
      <c r="E29" s="248">
        <v>0</v>
      </c>
      <c r="F29" s="248">
        <v>0</v>
      </c>
      <c r="G29" s="248">
        <v>0</v>
      </c>
      <c r="H29" s="248">
        <v>0</v>
      </c>
      <c r="I29" s="248">
        <v>0</v>
      </c>
      <c r="J29" s="248">
        <v>7503640</v>
      </c>
      <c r="K29" s="248">
        <v>0</v>
      </c>
      <c r="L29" s="248">
        <v>0</v>
      </c>
      <c r="M29" s="248">
        <v>0</v>
      </c>
      <c r="N29" s="249">
        <f t="shared" si="0"/>
        <v>7503640</v>
      </c>
    </row>
    <row r="30" spans="1:14" s="250" customFormat="1" ht="24" customHeight="1" x14ac:dyDescent="0.35">
      <c r="A30" s="247" t="s">
        <v>1121</v>
      </c>
      <c r="B30" s="248">
        <v>0</v>
      </c>
      <c r="C30" s="248">
        <v>0</v>
      </c>
      <c r="D30" s="248">
        <v>0</v>
      </c>
      <c r="E30" s="248">
        <v>0</v>
      </c>
      <c r="F30" s="248">
        <v>0</v>
      </c>
      <c r="G30" s="248">
        <v>0</v>
      </c>
      <c r="H30" s="248">
        <v>0</v>
      </c>
      <c r="I30" s="248">
        <v>0</v>
      </c>
      <c r="J30" s="248">
        <v>0</v>
      </c>
      <c r="K30" s="248">
        <v>4207275</v>
      </c>
      <c r="L30" s="248">
        <v>0</v>
      </c>
      <c r="M30" s="248">
        <v>0</v>
      </c>
      <c r="N30" s="249">
        <f t="shared" si="0"/>
        <v>4207275</v>
      </c>
    </row>
    <row r="31" spans="1:14" s="250" customFormat="1" ht="24" customHeight="1" x14ac:dyDescent="0.35">
      <c r="A31" s="247" t="s">
        <v>1122</v>
      </c>
      <c r="B31" s="248">
        <v>0</v>
      </c>
      <c r="C31" s="248">
        <v>7123368</v>
      </c>
      <c r="D31" s="248">
        <v>0</v>
      </c>
      <c r="E31" s="248">
        <v>0</v>
      </c>
      <c r="F31" s="248">
        <v>0</v>
      </c>
      <c r="G31" s="248">
        <v>0</v>
      </c>
      <c r="H31" s="248">
        <v>0</v>
      </c>
      <c r="I31" s="248">
        <v>0</v>
      </c>
      <c r="J31" s="248">
        <v>0</v>
      </c>
      <c r="K31" s="248">
        <v>0</v>
      </c>
      <c r="L31" s="248">
        <v>0</v>
      </c>
      <c r="M31" s="248">
        <v>0</v>
      </c>
      <c r="N31" s="249">
        <f t="shared" si="0"/>
        <v>7123368</v>
      </c>
    </row>
    <row r="32" spans="1:14" s="250" customFormat="1" ht="24" customHeight="1" x14ac:dyDescent="0.35">
      <c r="A32" s="247" t="s">
        <v>1123</v>
      </c>
      <c r="B32" s="248">
        <v>0</v>
      </c>
      <c r="C32" s="248">
        <v>0</v>
      </c>
      <c r="D32" s="248">
        <v>3196629</v>
      </c>
      <c r="E32" s="248">
        <v>0</v>
      </c>
      <c r="F32" s="248">
        <v>0</v>
      </c>
      <c r="G32" s="248">
        <v>0</v>
      </c>
      <c r="H32" s="248">
        <v>0</v>
      </c>
      <c r="I32" s="248">
        <v>0</v>
      </c>
      <c r="J32" s="248">
        <v>0</v>
      </c>
      <c r="K32" s="248">
        <v>0</v>
      </c>
      <c r="L32" s="248">
        <v>0</v>
      </c>
      <c r="M32" s="248">
        <v>0</v>
      </c>
      <c r="N32" s="249">
        <f t="shared" si="0"/>
        <v>3196629</v>
      </c>
    </row>
    <row r="33" spans="1:14" s="250" customFormat="1" ht="24" customHeight="1" x14ac:dyDescent="0.35">
      <c r="A33" s="247" t="s">
        <v>1124</v>
      </c>
      <c r="B33" s="248">
        <v>0</v>
      </c>
      <c r="C33" s="248">
        <v>0</v>
      </c>
      <c r="D33" s="248">
        <v>0</v>
      </c>
      <c r="E33" s="248">
        <v>0</v>
      </c>
      <c r="F33" s="248">
        <v>2857995</v>
      </c>
      <c r="G33" s="248">
        <v>0</v>
      </c>
      <c r="H33" s="248">
        <v>0</v>
      </c>
      <c r="I33" s="248">
        <v>0</v>
      </c>
      <c r="J33" s="248">
        <v>0</v>
      </c>
      <c r="K33" s="248">
        <v>0</v>
      </c>
      <c r="L33" s="248">
        <v>0</v>
      </c>
      <c r="M33" s="248">
        <v>0</v>
      </c>
      <c r="N33" s="249">
        <f t="shared" si="0"/>
        <v>2857995</v>
      </c>
    </row>
    <row r="34" spans="1:14" s="250" customFormat="1" ht="24" customHeight="1" x14ac:dyDescent="0.35">
      <c r="A34" s="247" t="s">
        <v>1125</v>
      </c>
      <c r="B34" s="248">
        <v>0</v>
      </c>
      <c r="C34" s="248">
        <v>0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48">
        <v>0</v>
      </c>
      <c r="J34" s="248">
        <v>1134440</v>
      </c>
      <c r="K34" s="248">
        <v>0</v>
      </c>
      <c r="L34" s="248">
        <v>0</v>
      </c>
      <c r="M34" s="248">
        <v>0</v>
      </c>
      <c r="N34" s="249">
        <f t="shared" si="0"/>
        <v>1134440</v>
      </c>
    </row>
    <row r="35" spans="1:14" s="250" customFormat="1" ht="24" customHeight="1" x14ac:dyDescent="0.35">
      <c r="A35" s="247" t="s">
        <v>1126</v>
      </c>
      <c r="B35" s="248">
        <v>0</v>
      </c>
      <c r="C35" s="248">
        <v>0</v>
      </c>
      <c r="D35" s="248">
        <v>0</v>
      </c>
      <c r="E35" s="248">
        <v>4839324</v>
      </c>
      <c r="F35" s="248">
        <v>0</v>
      </c>
      <c r="G35" s="248">
        <v>0</v>
      </c>
      <c r="H35" s="248">
        <v>0</v>
      </c>
      <c r="I35" s="248">
        <v>0</v>
      </c>
      <c r="J35" s="248">
        <v>0</v>
      </c>
      <c r="K35" s="248">
        <v>0</v>
      </c>
      <c r="L35" s="248">
        <v>0</v>
      </c>
      <c r="M35" s="248">
        <v>0</v>
      </c>
      <c r="N35" s="249">
        <f t="shared" si="0"/>
        <v>4839324</v>
      </c>
    </row>
    <row r="36" spans="1:14" s="250" customFormat="1" ht="24" customHeight="1" x14ac:dyDescent="0.35">
      <c r="A36" s="247" t="s">
        <v>1127</v>
      </c>
      <c r="B36" s="248">
        <v>0</v>
      </c>
      <c r="C36" s="248">
        <v>0</v>
      </c>
      <c r="D36" s="248">
        <v>0</v>
      </c>
      <c r="E36" s="248">
        <v>0</v>
      </c>
      <c r="F36" s="248">
        <v>0</v>
      </c>
      <c r="G36" s="248">
        <v>0</v>
      </c>
      <c r="H36" s="248">
        <v>0</v>
      </c>
      <c r="I36" s="248">
        <v>0</v>
      </c>
      <c r="J36" s="248">
        <v>0</v>
      </c>
      <c r="K36" s="248">
        <v>0</v>
      </c>
      <c r="L36" s="248">
        <v>1404660</v>
      </c>
      <c r="M36" s="248">
        <v>0</v>
      </c>
      <c r="N36" s="249">
        <f t="shared" si="0"/>
        <v>1404660</v>
      </c>
    </row>
    <row r="37" spans="1:14" s="250" customFormat="1" ht="24" customHeight="1" x14ac:dyDescent="0.35">
      <c r="A37" s="247" t="s">
        <v>1128</v>
      </c>
      <c r="B37" s="248">
        <v>0</v>
      </c>
      <c r="C37" s="248">
        <v>0</v>
      </c>
      <c r="D37" s="248">
        <v>0</v>
      </c>
      <c r="E37" s="248">
        <v>0</v>
      </c>
      <c r="F37" s="248">
        <v>0</v>
      </c>
      <c r="G37" s="248">
        <v>0</v>
      </c>
      <c r="H37" s="248">
        <v>0</v>
      </c>
      <c r="I37" s="248">
        <v>0</v>
      </c>
      <c r="J37" s="248">
        <v>0</v>
      </c>
      <c r="K37" s="248">
        <v>5215104</v>
      </c>
      <c r="L37" s="248">
        <v>0</v>
      </c>
      <c r="M37" s="248">
        <v>0</v>
      </c>
      <c r="N37" s="249">
        <f t="shared" si="0"/>
        <v>5215104</v>
      </c>
    </row>
    <row r="38" spans="1:14" s="250" customFormat="1" ht="24" customHeight="1" x14ac:dyDescent="0.35">
      <c r="A38" s="247" t="s">
        <v>1129</v>
      </c>
      <c r="B38" s="248">
        <v>0</v>
      </c>
      <c r="C38" s="248">
        <v>0</v>
      </c>
      <c r="D38" s="248">
        <v>0</v>
      </c>
      <c r="E38" s="248">
        <v>0</v>
      </c>
      <c r="F38" s="248">
        <v>0</v>
      </c>
      <c r="G38" s="248">
        <v>0</v>
      </c>
      <c r="H38" s="248">
        <v>5941091</v>
      </c>
      <c r="I38" s="248">
        <v>0</v>
      </c>
      <c r="J38" s="248">
        <v>0</v>
      </c>
      <c r="K38" s="248">
        <v>0</v>
      </c>
      <c r="L38" s="248">
        <v>0</v>
      </c>
      <c r="M38" s="248">
        <v>0</v>
      </c>
      <c r="N38" s="249">
        <f t="shared" si="0"/>
        <v>5941091</v>
      </c>
    </row>
    <row r="39" spans="1:14" s="250" customFormat="1" ht="24" customHeight="1" x14ac:dyDescent="0.35">
      <c r="A39" s="247" t="s">
        <v>1130</v>
      </c>
      <c r="B39" s="248">
        <v>0</v>
      </c>
      <c r="C39" s="248">
        <v>0</v>
      </c>
      <c r="D39" s="248">
        <v>0</v>
      </c>
      <c r="E39" s="248">
        <v>0</v>
      </c>
      <c r="F39" s="248">
        <v>0</v>
      </c>
      <c r="G39" s="248">
        <v>0</v>
      </c>
      <c r="H39" s="248">
        <v>0</v>
      </c>
      <c r="I39" s="248">
        <v>0</v>
      </c>
      <c r="J39" s="248">
        <v>0</v>
      </c>
      <c r="K39" s="248">
        <v>1377948</v>
      </c>
      <c r="L39" s="248">
        <v>0</v>
      </c>
      <c r="M39" s="248">
        <v>0</v>
      </c>
      <c r="N39" s="249">
        <f t="shared" si="0"/>
        <v>1377948</v>
      </c>
    </row>
    <row r="40" spans="1:14" s="250" customFormat="1" ht="24" customHeight="1" x14ac:dyDescent="0.35">
      <c r="A40" s="247" t="s">
        <v>1131</v>
      </c>
      <c r="B40" s="248">
        <v>0</v>
      </c>
      <c r="C40" s="248">
        <v>0</v>
      </c>
      <c r="D40" s="248">
        <v>0</v>
      </c>
      <c r="E40" s="248">
        <v>0</v>
      </c>
      <c r="F40" s="248">
        <v>0</v>
      </c>
      <c r="G40" s="248">
        <v>0</v>
      </c>
      <c r="H40" s="248">
        <v>5832320</v>
      </c>
      <c r="I40" s="248">
        <v>0</v>
      </c>
      <c r="J40" s="248">
        <v>0</v>
      </c>
      <c r="K40" s="248">
        <v>0</v>
      </c>
      <c r="L40" s="248">
        <v>0</v>
      </c>
      <c r="M40" s="248">
        <v>0</v>
      </c>
      <c r="N40" s="249">
        <f t="shared" si="0"/>
        <v>5832320</v>
      </c>
    </row>
    <row r="41" spans="1:14" s="250" customFormat="1" ht="24" customHeight="1" x14ac:dyDescent="0.35">
      <c r="A41" s="247" t="s">
        <v>1132</v>
      </c>
      <c r="B41" s="248">
        <v>0</v>
      </c>
      <c r="C41" s="248">
        <v>0</v>
      </c>
      <c r="D41" s="248">
        <v>0</v>
      </c>
      <c r="E41" s="248">
        <v>0</v>
      </c>
      <c r="F41" s="248">
        <v>0</v>
      </c>
      <c r="G41" s="248">
        <v>0</v>
      </c>
      <c r="H41" s="248">
        <v>0</v>
      </c>
      <c r="I41" s="248">
        <v>6943300</v>
      </c>
      <c r="J41" s="248">
        <v>0</v>
      </c>
      <c r="K41" s="248">
        <v>0</v>
      </c>
      <c r="L41" s="248">
        <v>0</v>
      </c>
      <c r="M41" s="248">
        <v>0</v>
      </c>
      <c r="N41" s="249">
        <f t="shared" si="0"/>
        <v>6943300</v>
      </c>
    </row>
    <row r="42" spans="1:14" s="250" customFormat="1" ht="24" customHeight="1" x14ac:dyDescent="0.35">
      <c r="A42" s="247" t="s">
        <v>1133</v>
      </c>
      <c r="B42" s="248">
        <v>0</v>
      </c>
      <c r="C42" s="248">
        <v>0</v>
      </c>
      <c r="D42" s="248">
        <v>0</v>
      </c>
      <c r="E42" s="248">
        <v>0</v>
      </c>
      <c r="F42" s="248">
        <v>12785624</v>
      </c>
      <c r="G42" s="248">
        <v>0</v>
      </c>
      <c r="H42" s="248">
        <v>0</v>
      </c>
      <c r="I42" s="248">
        <v>0</v>
      </c>
      <c r="J42" s="248">
        <v>0</v>
      </c>
      <c r="K42" s="248">
        <v>0</v>
      </c>
      <c r="L42" s="248">
        <v>0</v>
      </c>
      <c r="M42" s="248">
        <v>0</v>
      </c>
      <c r="N42" s="249">
        <f t="shared" si="0"/>
        <v>12785624</v>
      </c>
    </row>
    <row r="43" spans="1:14" s="250" customFormat="1" ht="24" customHeight="1" x14ac:dyDescent="0.35">
      <c r="A43" s="247" t="s">
        <v>1135</v>
      </c>
      <c r="B43" s="248">
        <v>0</v>
      </c>
      <c r="C43" s="248">
        <v>0</v>
      </c>
      <c r="D43" s="248">
        <v>0</v>
      </c>
      <c r="E43" s="248">
        <v>0</v>
      </c>
      <c r="F43" s="248">
        <v>0</v>
      </c>
      <c r="G43" s="248">
        <v>0</v>
      </c>
      <c r="H43" s="248">
        <v>0</v>
      </c>
      <c r="I43" s="248">
        <v>0</v>
      </c>
      <c r="J43" s="248">
        <v>1866900</v>
      </c>
      <c r="K43" s="248">
        <v>0</v>
      </c>
      <c r="L43" s="248">
        <v>0</v>
      </c>
      <c r="M43" s="248">
        <v>0</v>
      </c>
      <c r="N43" s="249">
        <f t="shared" si="0"/>
        <v>1866900</v>
      </c>
    </row>
    <row r="44" spans="1:14" s="250" customFormat="1" ht="24" customHeight="1" x14ac:dyDescent="0.35">
      <c r="A44" s="247" t="s">
        <v>1136</v>
      </c>
      <c r="B44" s="248">
        <v>0</v>
      </c>
      <c r="C44" s="248">
        <v>13416410</v>
      </c>
      <c r="D44" s="248">
        <v>0</v>
      </c>
      <c r="E44" s="248">
        <v>0</v>
      </c>
      <c r="F44" s="248">
        <v>0</v>
      </c>
      <c r="G44" s="248">
        <v>0</v>
      </c>
      <c r="H44" s="248">
        <v>0</v>
      </c>
      <c r="I44" s="248">
        <v>0</v>
      </c>
      <c r="J44" s="248">
        <v>0</v>
      </c>
      <c r="K44" s="248">
        <v>0</v>
      </c>
      <c r="L44" s="248">
        <v>0</v>
      </c>
      <c r="M44" s="248">
        <v>0</v>
      </c>
      <c r="N44" s="249">
        <f t="shared" si="0"/>
        <v>13416410</v>
      </c>
    </row>
    <row r="45" spans="1:14" s="250" customFormat="1" ht="24" customHeight="1" x14ac:dyDescent="0.35">
      <c r="A45" s="247" t="s">
        <v>1137</v>
      </c>
      <c r="B45" s="248">
        <v>0</v>
      </c>
      <c r="C45" s="248">
        <v>0</v>
      </c>
      <c r="D45" s="248">
        <v>0</v>
      </c>
      <c r="E45" s="248">
        <v>0</v>
      </c>
      <c r="F45" s="248">
        <v>0</v>
      </c>
      <c r="G45" s="248">
        <v>0</v>
      </c>
      <c r="H45" s="248">
        <v>0</v>
      </c>
      <c r="I45" s="248">
        <v>1356885</v>
      </c>
      <c r="J45" s="248">
        <v>0</v>
      </c>
      <c r="K45" s="248">
        <v>0</v>
      </c>
      <c r="L45" s="248">
        <v>0</v>
      </c>
      <c r="M45" s="248">
        <v>0</v>
      </c>
      <c r="N45" s="249">
        <f t="shared" si="0"/>
        <v>1356885</v>
      </c>
    </row>
    <row r="46" spans="1:14" s="250" customFormat="1" ht="24" customHeight="1" x14ac:dyDescent="0.35">
      <c r="A46" s="247" t="s">
        <v>1138</v>
      </c>
      <c r="B46" s="248">
        <v>0</v>
      </c>
      <c r="C46" s="248">
        <v>3370182</v>
      </c>
      <c r="D46" s="248">
        <v>0</v>
      </c>
      <c r="E46" s="248">
        <v>0</v>
      </c>
      <c r="F46" s="248">
        <v>0</v>
      </c>
      <c r="G46" s="248">
        <v>0</v>
      </c>
      <c r="H46" s="248">
        <v>0</v>
      </c>
      <c r="I46" s="248">
        <v>0</v>
      </c>
      <c r="J46" s="248">
        <v>0</v>
      </c>
      <c r="K46" s="248">
        <v>0</v>
      </c>
      <c r="L46" s="248">
        <v>0</v>
      </c>
      <c r="M46" s="248">
        <v>0</v>
      </c>
      <c r="N46" s="249">
        <f t="shared" si="0"/>
        <v>3370182</v>
      </c>
    </row>
    <row r="47" spans="1:14" s="250" customFormat="1" ht="24" customHeight="1" x14ac:dyDescent="0.35">
      <c r="A47" s="247" t="s">
        <v>1139</v>
      </c>
      <c r="B47" s="248">
        <v>18067062</v>
      </c>
      <c r="C47" s="248">
        <v>0</v>
      </c>
      <c r="D47" s="248">
        <v>0</v>
      </c>
      <c r="E47" s="248">
        <v>0</v>
      </c>
      <c r="F47" s="248">
        <v>0</v>
      </c>
      <c r="G47" s="248">
        <v>0</v>
      </c>
      <c r="H47" s="248">
        <v>0</v>
      </c>
      <c r="I47" s="248">
        <v>0</v>
      </c>
      <c r="J47" s="248">
        <v>0</v>
      </c>
      <c r="K47" s="248">
        <v>0</v>
      </c>
      <c r="L47" s="248">
        <v>0</v>
      </c>
      <c r="M47" s="248">
        <v>0</v>
      </c>
      <c r="N47" s="249">
        <f t="shared" si="0"/>
        <v>18067062</v>
      </c>
    </row>
    <row r="48" spans="1:14" s="250" customFormat="1" ht="24" customHeight="1" x14ac:dyDescent="0.35">
      <c r="A48" s="247" t="s">
        <v>1140</v>
      </c>
      <c r="B48" s="248">
        <v>0</v>
      </c>
      <c r="C48" s="248">
        <v>0</v>
      </c>
      <c r="D48" s="248">
        <v>0</v>
      </c>
      <c r="E48" s="248">
        <v>0</v>
      </c>
      <c r="F48" s="248">
        <v>0</v>
      </c>
      <c r="G48" s="248">
        <v>1528735</v>
      </c>
      <c r="H48" s="248">
        <v>0</v>
      </c>
      <c r="I48" s="248">
        <v>0</v>
      </c>
      <c r="J48" s="248">
        <v>0</v>
      </c>
      <c r="K48" s="248">
        <v>0</v>
      </c>
      <c r="L48" s="248">
        <v>0</v>
      </c>
      <c r="M48" s="248">
        <v>0</v>
      </c>
      <c r="N48" s="249">
        <f t="shared" si="0"/>
        <v>1528735</v>
      </c>
    </row>
    <row r="49" spans="1:14" s="250" customFormat="1" ht="24" customHeight="1" x14ac:dyDescent="0.35">
      <c r="A49" s="247" t="s">
        <v>1141</v>
      </c>
      <c r="B49" s="248">
        <v>3304596</v>
      </c>
      <c r="C49" s="248">
        <v>0</v>
      </c>
      <c r="D49" s="248">
        <v>0</v>
      </c>
      <c r="E49" s="248">
        <v>0</v>
      </c>
      <c r="F49" s="248">
        <v>0</v>
      </c>
      <c r="G49" s="248">
        <v>0</v>
      </c>
      <c r="H49" s="248">
        <v>0</v>
      </c>
      <c r="I49" s="248">
        <v>0</v>
      </c>
      <c r="J49" s="248">
        <v>0</v>
      </c>
      <c r="K49" s="248">
        <v>0</v>
      </c>
      <c r="L49" s="248">
        <v>0</v>
      </c>
      <c r="M49" s="248">
        <v>0</v>
      </c>
      <c r="N49" s="249">
        <f t="shared" si="0"/>
        <v>3304596</v>
      </c>
    </row>
    <row r="50" spans="1:14" s="250" customFormat="1" ht="24" customHeight="1" x14ac:dyDescent="0.35">
      <c r="A50" s="247" t="s">
        <v>1142</v>
      </c>
      <c r="B50" s="248">
        <v>0</v>
      </c>
      <c r="C50" s="248">
        <v>0</v>
      </c>
      <c r="D50" s="248">
        <v>0</v>
      </c>
      <c r="E50" s="248">
        <v>0</v>
      </c>
      <c r="F50" s="248">
        <v>0</v>
      </c>
      <c r="G50" s="248">
        <v>0</v>
      </c>
      <c r="H50" s="248">
        <v>0</v>
      </c>
      <c r="I50" s="248">
        <v>0</v>
      </c>
      <c r="J50" s="248">
        <v>0</v>
      </c>
      <c r="K50" s="248">
        <v>0</v>
      </c>
      <c r="L50" s="248">
        <v>2671306</v>
      </c>
      <c r="M50" s="248">
        <v>0</v>
      </c>
      <c r="N50" s="249">
        <f t="shared" si="0"/>
        <v>2671306</v>
      </c>
    </row>
    <row r="51" spans="1:14" s="250" customFormat="1" ht="24" customHeight="1" x14ac:dyDescent="0.35">
      <c r="A51" s="247" t="s">
        <v>1143</v>
      </c>
      <c r="B51" s="248">
        <v>4275084</v>
      </c>
      <c r="C51" s="248">
        <v>0</v>
      </c>
      <c r="D51" s="248">
        <v>0</v>
      </c>
      <c r="E51" s="248">
        <v>0</v>
      </c>
      <c r="F51" s="248">
        <v>0</v>
      </c>
      <c r="G51" s="248">
        <v>0</v>
      </c>
      <c r="H51" s="248">
        <v>0</v>
      </c>
      <c r="I51" s="248">
        <v>0</v>
      </c>
      <c r="J51" s="248">
        <v>0</v>
      </c>
      <c r="K51" s="248">
        <v>0</v>
      </c>
      <c r="L51" s="248">
        <v>0</v>
      </c>
      <c r="M51" s="248">
        <v>0</v>
      </c>
      <c r="N51" s="249">
        <f t="shared" si="0"/>
        <v>4275084</v>
      </c>
    </row>
    <row r="52" spans="1:14" s="250" customFormat="1" ht="24" customHeight="1" x14ac:dyDescent="0.35">
      <c r="A52" s="247" t="s">
        <v>1144</v>
      </c>
      <c r="B52" s="248">
        <v>0</v>
      </c>
      <c r="C52" s="248">
        <v>0</v>
      </c>
      <c r="D52" s="248">
        <v>4313937</v>
      </c>
      <c r="E52" s="248">
        <v>0</v>
      </c>
      <c r="F52" s="248">
        <v>0</v>
      </c>
      <c r="G52" s="248">
        <v>0</v>
      </c>
      <c r="H52" s="248">
        <v>0</v>
      </c>
      <c r="I52" s="248">
        <v>0</v>
      </c>
      <c r="J52" s="248">
        <v>0</v>
      </c>
      <c r="K52" s="248">
        <v>0</v>
      </c>
      <c r="L52" s="248">
        <v>0</v>
      </c>
      <c r="M52" s="248">
        <v>0</v>
      </c>
      <c r="N52" s="249">
        <f t="shared" si="0"/>
        <v>4313937</v>
      </c>
    </row>
    <row r="53" spans="1:14" s="250" customFormat="1" ht="24" customHeight="1" x14ac:dyDescent="0.35">
      <c r="A53" s="247" t="s">
        <v>1145</v>
      </c>
      <c r="B53" s="248">
        <v>0</v>
      </c>
      <c r="C53" s="248">
        <v>0</v>
      </c>
      <c r="D53" s="248">
        <v>0</v>
      </c>
      <c r="E53" s="248">
        <v>0</v>
      </c>
      <c r="F53" s="248">
        <v>0</v>
      </c>
      <c r="G53" s="248">
        <v>0</v>
      </c>
      <c r="H53" s="248">
        <v>0</v>
      </c>
      <c r="I53" s="248">
        <v>0</v>
      </c>
      <c r="J53" s="248">
        <v>4796908</v>
      </c>
      <c r="K53" s="248">
        <v>0</v>
      </c>
      <c r="L53" s="248">
        <v>0</v>
      </c>
      <c r="M53" s="248">
        <v>0</v>
      </c>
      <c r="N53" s="249">
        <f t="shared" si="0"/>
        <v>4796908</v>
      </c>
    </row>
    <row r="54" spans="1:14" s="250" customFormat="1" ht="24" customHeight="1" x14ac:dyDescent="0.35">
      <c r="A54" s="247" t="s">
        <v>1146</v>
      </c>
      <c r="B54" s="248">
        <v>0</v>
      </c>
      <c r="C54" s="248">
        <v>0</v>
      </c>
      <c r="D54" s="248">
        <v>0</v>
      </c>
      <c r="E54" s="248">
        <v>0</v>
      </c>
      <c r="F54" s="248">
        <v>0</v>
      </c>
      <c r="G54" s="248">
        <v>0</v>
      </c>
      <c r="H54" s="248">
        <v>0</v>
      </c>
      <c r="I54" s="248">
        <v>0</v>
      </c>
      <c r="J54" s="248">
        <v>6594820</v>
      </c>
      <c r="K54" s="248">
        <v>0</v>
      </c>
      <c r="L54" s="248">
        <v>0</v>
      </c>
      <c r="M54" s="248">
        <v>0</v>
      </c>
      <c r="N54" s="249">
        <f t="shared" si="0"/>
        <v>6594820</v>
      </c>
    </row>
    <row r="55" spans="1:14" s="250" customFormat="1" ht="24" customHeight="1" x14ac:dyDescent="0.35">
      <c r="A55" s="247" t="s">
        <v>1147</v>
      </c>
      <c r="B55" s="248">
        <v>5324221</v>
      </c>
      <c r="C55" s="248">
        <v>0</v>
      </c>
      <c r="D55" s="248">
        <v>0</v>
      </c>
      <c r="E55" s="248">
        <v>0</v>
      </c>
      <c r="F55" s="248">
        <v>0</v>
      </c>
      <c r="G55" s="248">
        <v>0</v>
      </c>
      <c r="H55" s="248">
        <v>0</v>
      </c>
      <c r="I55" s="248">
        <v>7198636</v>
      </c>
      <c r="J55" s="248">
        <v>0</v>
      </c>
      <c r="K55" s="248">
        <v>4437695</v>
      </c>
      <c r="L55" s="248">
        <v>0</v>
      </c>
      <c r="M55" s="248">
        <v>0</v>
      </c>
      <c r="N55" s="249">
        <f t="shared" si="0"/>
        <v>16960552</v>
      </c>
    </row>
    <row r="56" spans="1:14" s="250" customFormat="1" ht="24" customHeight="1" x14ac:dyDescent="0.35">
      <c r="A56" s="247" t="s">
        <v>1148</v>
      </c>
      <c r="B56" s="248">
        <v>0</v>
      </c>
      <c r="C56" s="248">
        <v>1240575</v>
      </c>
      <c r="D56" s="248">
        <v>0</v>
      </c>
      <c r="E56" s="248">
        <v>0</v>
      </c>
      <c r="F56" s="248">
        <v>0</v>
      </c>
      <c r="G56" s="248">
        <v>0</v>
      </c>
      <c r="H56" s="248">
        <v>0</v>
      </c>
      <c r="I56" s="248">
        <v>0</v>
      </c>
      <c r="J56" s="248">
        <v>0</v>
      </c>
      <c r="K56" s="248">
        <v>6192618</v>
      </c>
      <c r="L56" s="248">
        <v>0</v>
      </c>
      <c r="M56" s="248">
        <v>0</v>
      </c>
      <c r="N56" s="249">
        <f t="shared" si="0"/>
        <v>7433193</v>
      </c>
    </row>
    <row r="57" spans="1:14" s="250" customFormat="1" ht="24" customHeight="1" x14ac:dyDescent="0.35">
      <c r="A57" s="247" t="s">
        <v>1149</v>
      </c>
      <c r="B57" s="248">
        <v>0</v>
      </c>
      <c r="C57" s="248">
        <v>0</v>
      </c>
      <c r="D57" s="248">
        <v>0</v>
      </c>
      <c r="E57" s="248">
        <v>0</v>
      </c>
      <c r="F57" s="248">
        <v>0</v>
      </c>
      <c r="G57" s="248">
        <v>0</v>
      </c>
      <c r="H57" s="248">
        <v>5255244</v>
      </c>
      <c r="I57" s="248">
        <v>0</v>
      </c>
      <c r="J57" s="248">
        <v>0</v>
      </c>
      <c r="K57" s="248">
        <v>0</v>
      </c>
      <c r="L57" s="248">
        <v>0</v>
      </c>
      <c r="M57" s="248">
        <v>0</v>
      </c>
      <c r="N57" s="249">
        <f t="shared" si="0"/>
        <v>5255244</v>
      </c>
    </row>
    <row r="58" spans="1:14" s="250" customFormat="1" ht="24" customHeight="1" x14ac:dyDescent="0.35">
      <c r="A58" s="247" t="s">
        <v>1150</v>
      </c>
      <c r="B58" s="248">
        <v>0</v>
      </c>
      <c r="C58" s="248">
        <v>0</v>
      </c>
      <c r="D58" s="248">
        <v>0</v>
      </c>
      <c r="E58" s="248">
        <v>0</v>
      </c>
      <c r="F58" s="248">
        <v>0</v>
      </c>
      <c r="G58" s="248">
        <v>6438095</v>
      </c>
      <c r="H58" s="248">
        <v>0</v>
      </c>
      <c r="I58" s="248">
        <v>0</v>
      </c>
      <c r="J58" s="248">
        <v>0</v>
      </c>
      <c r="K58" s="248">
        <v>0</v>
      </c>
      <c r="L58" s="248">
        <v>0</v>
      </c>
      <c r="M58" s="248">
        <v>0</v>
      </c>
      <c r="N58" s="249">
        <f t="shared" si="0"/>
        <v>6438095</v>
      </c>
    </row>
    <row r="59" spans="1:14" s="250" customFormat="1" ht="24" customHeight="1" x14ac:dyDescent="0.35">
      <c r="A59" s="247" t="s">
        <v>1151</v>
      </c>
      <c r="B59" s="248">
        <v>0</v>
      </c>
      <c r="C59" s="248">
        <v>0</v>
      </c>
      <c r="D59" s="248">
        <v>0</v>
      </c>
      <c r="E59" s="248">
        <v>0</v>
      </c>
      <c r="F59" s="248">
        <v>0</v>
      </c>
      <c r="G59" s="248">
        <v>0</v>
      </c>
      <c r="H59" s="248">
        <v>0</v>
      </c>
      <c r="I59" s="248">
        <v>0</v>
      </c>
      <c r="J59" s="248">
        <v>2672000</v>
      </c>
      <c r="K59" s="248">
        <v>0</v>
      </c>
      <c r="L59" s="248">
        <v>0</v>
      </c>
      <c r="M59" s="248">
        <v>0</v>
      </c>
      <c r="N59" s="249">
        <f t="shared" si="0"/>
        <v>2672000</v>
      </c>
    </row>
    <row r="60" spans="1:14" s="250" customFormat="1" ht="24" customHeight="1" x14ac:dyDescent="0.35">
      <c r="A60" s="247" t="s">
        <v>1152</v>
      </c>
      <c r="B60" s="248">
        <v>0</v>
      </c>
      <c r="C60" s="248">
        <v>0</v>
      </c>
      <c r="D60" s="248">
        <v>0</v>
      </c>
      <c r="E60" s="248">
        <v>0</v>
      </c>
      <c r="F60" s="248">
        <v>0</v>
      </c>
      <c r="G60" s="248">
        <v>0</v>
      </c>
      <c r="H60" s="248">
        <v>0</v>
      </c>
      <c r="I60" s="248">
        <v>6800576</v>
      </c>
      <c r="J60" s="248">
        <v>0</v>
      </c>
      <c r="K60" s="248">
        <v>0</v>
      </c>
      <c r="L60" s="248">
        <v>0</v>
      </c>
      <c r="M60" s="248">
        <v>0</v>
      </c>
      <c r="N60" s="249">
        <f t="shared" si="0"/>
        <v>6800576</v>
      </c>
    </row>
    <row r="61" spans="1:14" s="250" customFormat="1" ht="24" customHeight="1" x14ac:dyDescent="0.35">
      <c r="A61" s="247" t="s">
        <v>1153</v>
      </c>
      <c r="B61" s="248">
        <v>0</v>
      </c>
      <c r="C61" s="248">
        <v>0</v>
      </c>
      <c r="D61" s="248">
        <v>0</v>
      </c>
      <c r="E61" s="248">
        <v>0</v>
      </c>
      <c r="F61" s="248">
        <v>0</v>
      </c>
      <c r="G61" s="248">
        <v>0</v>
      </c>
      <c r="H61" s="248">
        <v>0</v>
      </c>
      <c r="I61" s="248">
        <v>0</v>
      </c>
      <c r="J61" s="248">
        <v>1902560</v>
      </c>
      <c r="K61" s="248">
        <v>0</v>
      </c>
      <c r="L61" s="248">
        <v>0</v>
      </c>
      <c r="M61" s="248">
        <v>0</v>
      </c>
      <c r="N61" s="249">
        <f t="shared" si="0"/>
        <v>1902560</v>
      </c>
    </row>
    <row r="62" spans="1:14" s="250" customFormat="1" ht="24" customHeight="1" x14ac:dyDescent="0.35">
      <c r="A62" s="247" t="s">
        <v>1154</v>
      </c>
      <c r="B62" s="248">
        <v>0</v>
      </c>
      <c r="C62" s="248">
        <v>0</v>
      </c>
      <c r="D62" s="248">
        <v>0</v>
      </c>
      <c r="E62" s="248">
        <v>0</v>
      </c>
      <c r="F62" s="248">
        <v>0</v>
      </c>
      <c r="G62" s="248">
        <v>0</v>
      </c>
      <c r="H62" s="248">
        <v>0</v>
      </c>
      <c r="I62" s="248">
        <v>0</v>
      </c>
      <c r="J62" s="248">
        <v>0</v>
      </c>
      <c r="K62" s="248">
        <v>4872609</v>
      </c>
      <c r="L62" s="248">
        <v>0</v>
      </c>
      <c r="M62" s="248">
        <v>0</v>
      </c>
      <c r="N62" s="249">
        <f t="shared" si="0"/>
        <v>4872609</v>
      </c>
    </row>
    <row r="63" spans="1:14" s="250" customFormat="1" ht="24" customHeight="1" x14ac:dyDescent="0.35">
      <c r="A63" s="247" t="s">
        <v>1155</v>
      </c>
      <c r="B63" s="248">
        <v>0</v>
      </c>
      <c r="C63" s="248">
        <v>6242976</v>
      </c>
      <c r="D63" s="248">
        <v>3540726</v>
      </c>
      <c r="E63" s="248">
        <v>3946464</v>
      </c>
      <c r="F63" s="248">
        <v>0</v>
      </c>
      <c r="G63" s="248">
        <v>0</v>
      </c>
      <c r="H63" s="248">
        <v>0</v>
      </c>
      <c r="I63" s="248">
        <v>0</v>
      </c>
      <c r="J63" s="248">
        <v>0</v>
      </c>
      <c r="K63" s="248">
        <v>0</v>
      </c>
      <c r="L63" s="248">
        <v>0</v>
      </c>
      <c r="M63" s="248">
        <v>0</v>
      </c>
      <c r="N63" s="249">
        <f t="shared" si="0"/>
        <v>13730166</v>
      </c>
    </row>
    <row r="64" spans="1:14" s="250" customFormat="1" ht="24" customHeight="1" x14ac:dyDescent="0.35">
      <c r="A64" s="247" t="s">
        <v>1156</v>
      </c>
      <c r="B64" s="248">
        <v>4635288</v>
      </c>
      <c r="C64" s="248">
        <v>0</v>
      </c>
      <c r="D64" s="248">
        <v>0</v>
      </c>
      <c r="E64" s="248">
        <v>0</v>
      </c>
      <c r="F64" s="248">
        <v>0</v>
      </c>
      <c r="G64" s="248">
        <v>0</v>
      </c>
      <c r="H64" s="248">
        <v>0</v>
      </c>
      <c r="I64" s="248">
        <v>0</v>
      </c>
      <c r="J64" s="248">
        <v>0</v>
      </c>
      <c r="K64" s="248">
        <v>0</v>
      </c>
      <c r="L64" s="248">
        <v>0</v>
      </c>
      <c r="M64" s="248">
        <v>0</v>
      </c>
      <c r="N64" s="249">
        <f t="shared" si="0"/>
        <v>4635288</v>
      </c>
    </row>
    <row r="65" spans="1:14" s="250" customFormat="1" ht="24" customHeight="1" x14ac:dyDescent="0.35">
      <c r="A65" s="247" t="s">
        <v>1157</v>
      </c>
      <c r="B65" s="248">
        <v>0</v>
      </c>
      <c r="C65" s="248">
        <v>0</v>
      </c>
      <c r="D65" s="248">
        <v>0</v>
      </c>
      <c r="E65" s="248">
        <v>0</v>
      </c>
      <c r="F65" s="248">
        <v>5225856</v>
      </c>
      <c r="G65" s="248">
        <v>0</v>
      </c>
      <c r="H65" s="248">
        <v>0</v>
      </c>
      <c r="I65" s="248">
        <v>0</v>
      </c>
      <c r="J65" s="248">
        <v>0</v>
      </c>
      <c r="K65" s="248">
        <v>0</v>
      </c>
      <c r="L65" s="248">
        <v>0</v>
      </c>
      <c r="M65" s="248">
        <v>0</v>
      </c>
      <c r="N65" s="249">
        <f t="shared" si="0"/>
        <v>5225856</v>
      </c>
    </row>
    <row r="66" spans="1:14" s="250" customFormat="1" ht="24" customHeight="1" x14ac:dyDescent="0.35">
      <c r="A66" s="247" t="s">
        <v>1158</v>
      </c>
      <c r="B66" s="248">
        <v>0</v>
      </c>
      <c r="C66" s="248">
        <v>0</v>
      </c>
      <c r="D66" s="248">
        <v>3621286</v>
      </c>
      <c r="E66" s="248">
        <v>0</v>
      </c>
      <c r="F66" s="248">
        <v>5477964</v>
      </c>
      <c r="G66" s="248">
        <v>0</v>
      </c>
      <c r="H66" s="248">
        <v>0</v>
      </c>
      <c r="I66" s="248">
        <v>2446290</v>
      </c>
      <c r="J66" s="248">
        <v>5795784</v>
      </c>
      <c r="K66" s="248">
        <v>0</v>
      </c>
      <c r="L66" s="248">
        <v>0</v>
      </c>
      <c r="M66" s="248">
        <v>0</v>
      </c>
      <c r="N66" s="249">
        <f t="shared" si="0"/>
        <v>17341324</v>
      </c>
    </row>
    <row r="67" spans="1:14" s="250" customFormat="1" ht="24" customHeight="1" x14ac:dyDescent="0.35">
      <c r="A67" s="247" t="s">
        <v>1159</v>
      </c>
      <c r="B67" s="248">
        <v>0</v>
      </c>
      <c r="C67" s="248">
        <v>0</v>
      </c>
      <c r="D67" s="248">
        <v>0</v>
      </c>
      <c r="E67" s="248">
        <v>0</v>
      </c>
      <c r="F67" s="248">
        <v>0</v>
      </c>
      <c r="G67" s="248">
        <v>0</v>
      </c>
      <c r="H67" s="248">
        <v>0</v>
      </c>
      <c r="I67" s="248">
        <v>0</v>
      </c>
      <c r="J67" s="248">
        <v>0</v>
      </c>
      <c r="K67" s="248">
        <v>0</v>
      </c>
      <c r="L67" s="248">
        <v>4704803</v>
      </c>
      <c r="M67" s="248">
        <v>0</v>
      </c>
      <c r="N67" s="249">
        <f t="shared" ref="N67:N130" si="1">SUM(B67:M67)</f>
        <v>4704803</v>
      </c>
    </row>
    <row r="68" spans="1:14" s="250" customFormat="1" ht="24" customHeight="1" x14ac:dyDescent="0.35">
      <c r="A68" s="247" t="s">
        <v>1160</v>
      </c>
      <c r="B68" s="248">
        <v>0</v>
      </c>
      <c r="C68" s="248">
        <v>0</v>
      </c>
      <c r="D68" s="248">
        <v>0</v>
      </c>
      <c r="E68" s="248">
        <v>0</v>
      </c>
      <c r="F68" s="248">
        <v>0</v>
      </c>
      <c r="G68" s="248">
        <v>0</v>
      </c>
      <c r="H68" s="248">
        <v>0</v>
      </c>
      <c r="I68" s="248">
        <v>1351636</v>
      </c>
      <c r="J68" s="248">
        <v>0</v>
      </c>
      <c r="K68" s="248">
        <v>0</v>
      </c>
      <c r="L68" s="248">
        <v>0</v>
      </c>
      <c r="M68" s="248">
        <v>0</v>
      </c>
      <c r="N68" s="249">
        <f t="shared" si="1"/>
        <v>1351636</v>
      </c>
    </row>
    <row r="69" spans="1:14" s="250" customFormat="1" ht="24" customHeight="1" x14ac:dyDescent="0.35">
      <c r="A69" s="247" t="s">
        <v>1162</v>
      </c>
      <c r="B69" s="248">
        <v>0</v>
      </c>
      <c r="C69" s="248">
        <v>0</v>
      </c>
      <c r="D69" s="248">
        <v>0</v>
      </c>
      <c r="E69" s="248">
        <v>0</v>
      </c>
      <c r="F69" s="248">
        <v>0</v>
      </c>
      <c r="G69" s="248">
        <v>0</v>
      </c>
      <c r="H69" s="248">
        <v>0</v>
      </c>
      <c r="I69" s="248">
        <v>0</v>
      </c>
      <c r="J69" s="248">
        <v>0</v>
      </c>
      <c r="K69" s="248">
        <v>4274517</v>
      </c>
      <c r="L69" s="248">
        <v>0</v>
      </c>
      <c r="M69" s="248">
        <v>0</v>
      </c>
      <c r="N69" s="249">
        <f t="shared" si="1"/>
        <v>4274517</v>
      </c>
    </row>
    <row r="70" spans="1:14" s="250" customFormat="1" ht="24" customHeight="1" x14ac:dyDescent="0.35">
      <c r="A70" s="247" t="s">
        <v>1161</v>
      </c>
      <c r="B70" s="248">
        <v>6147545</v>
      </c>
      <c r="C70" s="248">
        <v>13208887</v>
      </c>
      <c r="D70" s="248">
        <v>11496854</v>
      </c>
      <c r="E70" s="248">
        <v>16539348</v>
      </c>
      <c r="F70" s="248">
        <v>11448105</v>
      </c>
      <c r="G70" s="248">
        <v>2385175</v>
      </c>
      <c r="H70" s="248">
        <v>0</v>
      </c>
      <c r="I70" s="248">
        <v>10742439</v>
      </c>
      <c r="J70" s="248">
        <v>5618504</v>
      </c>
      <c r="K70" s="248">
        <v>19159389</v>
      </c>
      <c r="L70" s="248">
        <v>3035136</v>
      </c>
      <c r="M70" s="248">
        <v>0</v>
      </c>
      <c r="N70" s="249">
        <f t="shared" si="1"/>
        <v>99781382</v>
      </c>
    </row>
    <row r="71" spans="1:14" s="250" customFormat="1" ht="24" customHeight="1" x14ac:dyDescent="0.35">
      <c r="A71" s="247" t="s">
        <v>1163</v>
      </c>
      <c r="B71" s="248">
        <v>0</v>
      </c>
      <c r="C71" s="248">
        <v>0</v>
      </c>
      <c r="D71" s="248">
        <v>0</v>
      </c>
      <c r="E71" s="248">
        <v>0</v>
      </c>
      <c r="F71" s="248">
        <v>0</v>
      </c>
      <c r="G71" s="248">
        <v>0</v>
      </c>
      <c r="H71" s="248">
        <v>0</v>
      </c>
      <c r="I71" s="248">
        <v>0</v>
      </c>
      <c r="J71" s="248">
        <v>0</v>
      </c>
      <c r="K71" s="248">
        <v>0</v>
      </c>
      <c r="L71" s="248">
        <v>1996896</v>
      </c>
      <c r="M71" s="248">
        <v>0</v>
      </c>
      <c r="N71" s="249">
        <f t="shared" si="1"/>
        <v>1996896</v>
      </c>
    </row>
    <row r="72" spans="1:14" s="250" customFormat="1" ht="24" customHeight="1" x14ac:dyDescent="0.35">
      <c r="A72" s="247" t="s">
        <v>1164</v>
      </c>
      <c r="B72" s="248">
        <v>0</v>
      </c>
      <c r="C72" s="248">
        <v>0</v>
      </c>
      <c r="D72" s="248">
        <v>0</v>
      </c>
      <c r="E72" s="248">
        <v>0</v>
      </c>
      <c r="F72" s="248">
        <v>0</v>
      </c>
      <c r="G72" s="248">
        <v>0</v>
      </c>
      <c r="H72" s="248">
        <v>0</v>
      </c>
      <c r="I72" s="248">
        <v>1577225</v>
      </c>
      <c r="J72" s="248">
        <v>0</v>
      </c>
      <c r="K72" s="248">
        <v>0</v>
      </c>
      <c r="L72" s="248">
        <v>0</v>
      </c>
      <c r="M72" s="248">
        <v>0</v>
      </c>
      <c r="N72" s="249">
        <f t="shared" si="1"/>
        <v>1577225</v>
      </c>
    </row>
    <row r="73" spans="1:14" s="250" customFormat="1" ht="24" customHeight="1" x14ac:dyDescent="0.35">
      <c r="A73" s="247" t="s">
        <v>1165</v>
      </c>
      <c r="B73" s="248">
        <v>0</v>
      </c>
      <c r="C73" s="248">
        <v>0</v>
      </c>
      <c r="D73" s="248">
        <v>0</v>
      </c>
      <c r="E73" s="248">
        <v>0</v>
      </c>
      <c r="F73" s="248">
        <v>0</v>
      </c>
      <c r="G73" s="248">
        <v>0</v>
      </c>
      <c r="H73" s="248">
        <v>0</v>
      </c>
      <c r="I73" s="248">
        <v>0</v>
      </c>
      <c r="J73" s="248">
        <v>0</v>
      </c>
      <c r="K73" s="248">
        <v>3223200</v>
      </c>
      <c r="L73" s="248">
        <v>0</v>
      </c>
      <c r="M73" s="248">
        <v>0</v>
      </c>
      <c r="N73" s="249">
        <f t="shared" si="1"/>
        <v>3223200</v>
      </c>
    </row>
    <row r="74" spans="1:14" s="250" customFormat="1" ht="24" customHeight="1" x14ac:dyDescent="0.35">
      <c r="A74" s="247" t="s">
        <v>1166</v>
      </c>
      <c r="B74" s="248">
        <v>0</v>
      </c>
      <c r="C74" s="248">
        <v>0</v>
      </c>
      <c r="D74" s="248">
        <v>0</v>
      </c>
      <c r="E74" s="248">
        <v>0</v>
      </c>
      <c r="F74" s="248">
        <v>0</v>
      </c>
      <c r="G74" s="248">
        <v>0</v>
      </c>
      <c r="H74" s="248">
        <v>4638410</v>
      </c>
      <c r="I74" s="248">
        <v>0</v>
      </c>
      <c r="J74" s="248">
        <v>0</v>
      </c>
      <c r="K74" s="248">
        <v>0</v>
      </c>
      <c r="L74" s="248">
        <v>4296810</v>
      </c>
      <c r="M74" s="248">
        <v>0</v>
      </c>
      <c r="N74" s="249">
        <f t="shared" si="1"/>
        <v>8935220</v>
      </c>
    </row>
    <row r="75" spans="1:14" s="250" customFormat="1" ht="24" customHeight="1" x14ac:dyDescent="0.35">
      <c r="A75" s="247" t="s">
        <v>1167</v>
      </c>
      <c r="B75" s="248">
        <v>0</v>
      </c>
      <c r="C75" s="248">
        <v>0</v>
      </c>
      <c r="D75" s="248">
        <v>0</v>
      </c>
      <c r="E75" s="248">
        <v>0</v>
      </c>
      <c r="F75" s="248">
        <v>0</v>
      </c>
      <c r="G75" s="248">
        <v>6097110</v>
      </c>
      <c r="H75" s="248">
        <v>0</v>
      </c>
      <c r="I75" s="248">
        <v>0</v>
      </c>
      <c r="J75" s="248">
        <v>0</v>
      </c>
      <c r="K75" s="248">
        <v>0</v>
      </c>
      <c r="L75" s="248">
        <v>0</v>
      </c>
      <c r="M75" s="248">
        <v>0</v>
      </c>
      <c r="N75" s="249">
        <f t="shared" si="1"/>
        <v>6097110</v>
      </c>
    </row>
    <row r="76" spans="1:14" s="250" customFormat="1" ht="24" customHeight="1" x14ac:dyDescent="0.35">
      <c r="A76" s="247" t="s">
        <v>1168</v>
      </c>
      <c r="B76" s="248">
        <v>0</v>
      </c>
      <c r="C76" s="248">
        <v>0</v>
      </c>
      <c r="D76" s="248">
        <v>0</v>
      </c>
      <c r="E76" s="248">
        <v>2895288</v>
      </c>
      <c r="F76" s="248">
        <v>0</v>
      </c>
      <c r="G76" s="248">
        <v>0</v>
      </c>
      <c r="H76" s="248">
        <v>0</v>
      </c>
      <c r="I76" s="248">
        <v>0</v>
      </c>
      <c r="J76" s="248">
        <v>0</v>
      </c>
      <c r="K76" s="248">
        <v>0</v>
      </c>
      <c r="L76" s="248">
        <v>0</v>
      </c>
      <c r="M76" s="248">
        <v>0</v>
      </c>
      <c r="N76" s="249">
        <f t="shared" si="1"/>
        <v>2895288</v>
      </c>
    </row>
    <row r="77" spans="1:14" s="250" customFormat="1" ht="24" customHeight="1" x14ac:dyDescent="0.35">
      <c r="A77" s="247" t="s">
        <v>1169</v>
      </c>
      <c r="B77" s="248">
        <v>0</v>
      </c>
      <c r="C77" s="248">
        <v>0</v>
      </c>
      <c r="D77" s="248">
        <v>0</v>
      </c>
      <c r="E77" s="248">
        <v>0</v>
      </c>
      <c r="F77" s="248">
        <v>0</v>
      </c>
      <c r="G77" s="248">
        <v>0</v>
      </c>
      <c r="H77" s="248">
        <v>0</v>
      </c>
      <c r="I77" s="248">
        <v>0</v>
      </c>
      <c r="J77" s="248">
        <v>8314173</v>
      </c>
      <c r="K77" s="248">
        <v>0</v>
      </c>
      <c r="L77" s="248">
        <v>0</v>
      </c>
      <c r="M77" s="248">
        <v>0</v>
      </c>
      <c r="N77" s="249">
        <f t="shared" si="1"/>
        <v>8314173</v>
      </c>
    </row>
    <row r="78" spans="1:14" s="250" customFormat="1" ht="24" customHeight="1" x14ac:dyDescent="0.35">
      <c r="A78" s="247" t="s">
        <v>1170</v>
      </c>
      <c r="B78" s="248">
        <v>0</v>
      </c>
      <c r="C78" s="248">
        <v>0</v>
      </c>
      <c r="D78" s="248">
        <v>0</v>
      </c>
      <c r="E78" s="248">
        <v>0</v>
      </c>
      <c r="F78" s="248">
        <v>5331045</v>
      </c>
      <c r="G78" s="248">
        <v>0</v>
      </c>
      <c r="H78" s="248">
        <v>0</v>
      </c>
      <c r="I78" s="248">
        <v>0</v>
      </c>
      <c r="J78" s="248">
        <v>0</v>
      </c>
      <c r="K78" s="248">
        <v>0</v>
      </c>
      <c r="L78" s="248">
        <v>0</v>
      </c>
      <c r="M78" s="248">
        <v>0</v>
      </c>
      <c r="N78" s="249">
        <f t="shared" si="1"/>
        <v>5331045</v>
      </c>
    </row>
    <row r="79" spans="1:14" s="250" customFormat="1" ht="24" customHeight="1" x14ac:dyDescent="0.35">
      <c r="A79" s="247" t="s">
        <v>1171</v>
      </c>
      <c r="B79" s="248">
        <v>0</v>
      </c>
      <c r="C79" s="248">
        <v>0</v>
      </c>
      <c r="D79" s="248">
        <v>0</v>
      </c>
      <c r="E79" s="248">
        <v>0</v>
      </c>
      <c r="F79" s="248">
        <v>0</v>
      </c>
      <c r="G79" s="248">
        <v>0</v>
      </c>
      <c r="H79" s="248">
        <v>0</v>
      </c>
      <c r="I79" s="248">
        <v>7530354</v>
      </c>
      <c r="J79" s="248">
        <v>0</v>
      </c>
      <c r="K79" s="248">
        <v>0</v>
      </c>
      <c r="L79" s="248">
        <v>0</v>
      </c>
      <c r="M79" s="248">
        <v>0</v>
      </c>
      <c r="N79" s="249">
        <f t="shared" si="1"/>
        <v>7530354</v>
      </c>
    </row>
    <row r="80" spans="1:14" s="250" customFormat="1" ht="24" customHeight="1" x14ac:dyDescent="0.35">
      <c r="A80" s="247" t="s">
        <v>1172</v>
      </c>
      <c r="B80" s="248">
        <v>0</v>
      </c>
      <c r="C80" s="248">
        <v>0</v>
      </c>
      <c r="D80" s="248">
        <v>0</v>
      </c>
      <c r="E80" s="248">
        <v>2810830</v>
      </c>
      <c r="F80" s="248">
        <v>0</v>
      </c>
      <c r="G80" s="248">
        <v>0</v>
      </c>
      <c r="H80" s="248">
        <v>0</v>
      </c>
      <c r="I80" s="248">
        <v>0</v>
      </c>
      <c r="J80" s="248">
        <v>0</v>
      </c>
      <c r="K80" s="248">
        <v>0</v>
      </c>
      <c r="L80" s="248">
        <v>0</v>
      </c>
      <c r="M80" s="248">
        <v>0</v>
      </c>
      <c r="N80" s="249">
        <f t="shared" si="1"/>
        <v>2810830</v>
      </c>
    </row>
    <row r="81" spans="1:14" s="250" customFormat="1" ht="24" customHeight="1" x14ac:dyDescent="0.35">
      <c r="A81" s="247" t="s">
        <v>1173</v>
      </c>
      <c r="B81" s="248">
        <v>0</v>
      </c>
      <c r="C81" s="248">
        <v>0</v>
      </c>
      <c r="D81" s="248">
        <v>0</v>
      </c>
      <c r="E81" s="248">
        <v>0</v>
      </c>
      <c r="F81" s="248">
        <v>0</v>
      </c>
      <c r="G81" s="248">
        <v>7446900</v>
      </c>
      <c r="H81" s="248">
        <v>0</v>
      </c>
      <c r="I81" s="248">
        <v>0</v>
      </c>
      <c r="J81" s="248">
        <v>0</v>
      </c>
      <c r="K81" s="248">
        <v>0</v>
      </c>
      <c r="L81" s="248">
        <v>0</v>
      </c>
      <c r="M81" s="248">
        <v>0</v>
      </c>
      <c r="N81" s="249">
        <f t="shared" si="1"/>
        <v>7446900</v>
      </c>
    </row>
    <row r="82" spans="1:14" s="250" customFormat="1" ht="24" customHeight="1" x14ac:dyDescent="0.35">
      <c r="A82" s="247" t="s">
        <v>1174</v>
      </c>
      <c r="B82" s="248">
        <v>0</v>
      </c>
      <c r="C82" s="248">
        <v>0</v>
      </c>
      <c r="D82" s="248">
        <v>0</v>
      </c>
      <c r="E82" s="248">
        <v>0</v>
      </c>
      <c r="F82" s="248">
        <v>0</v>
      </c>
      <c r="G82" s="248">
        <v>5250229</v>
      </c>
      <c r="H82" s="248">
        <v>0</v>
      </c>
      <c r="I82" s="248">
        <v>0</v>
      </c>
      <c r="J82" s="248">
        <v>0</v>
      </c>
      <c r="K82" s="248">
        <v>0</v>
      </c>
      <c r="L82" s="248">
        <v>0</v>
      </c>
      <c r="M82" s="248">
        <v>0</v>
      </c>
      <c r="N82" s="249">
        <f t="shared" si="1"/>
        <v>5250229</v>
      </c>
    </row>
    <row r="83" spans="1:14" s="250" customFormat="1" ht="24" customHeight="1" x14ac:dyDescent="0.35">
      <c r="A83" s="247" t="s">
        <v>1175</v>
      </c>
      <c r="B83" s="248">
        <v>0</v>
      </c>
      <c r="C83" s="248">
        <v>0</v>
      </c>
      <c r="D83" s="248">
        <v>3667648</v>
      </c>
      <c r="E83" s="248">
        <v>0</v>
      </c>
      <c r="F83" s="248">
        <v>0</v>
      </c>
      <c r="G83" s="248">
        <v>0</v>
      </c>
      <c r="H83" s="248">
        <v>0</v>
      </c>
      <c r="I83" s="248">
        <v>0</v>
      </c>
      <c r="J83" s="248">
        <v>0</v>
      </c>
      <c r="K83" s="248">
        <v>0</v>
      </c>
      <c r="L83" s="248">
        <v>0</v>
      </c>
      <c r="M83" s="248">
        <v>0</v>
      </c>
      <c r="N83" s="249">
        <f t="shared" si="1"/>
        <v>3667648</v>
      </c>
    </row>
    <row r="84" spans="1:14" s="250" customFormat="1" ht="24" customHeight="1" x14ac:dyDescent="0.35">
      <c r="A84" s="247" t="s">
        <v>1176</v>
      </c>
      <c r="B84" s="248">
        <v>0</v>
      </c>
      <c r="C84" s="248">
        <v>0</v>
      </c>
      <c r="D84" s="248">
        <v>0</v>
      </c>
      <c r="E84" s="248">
        <v>0</v>
      </c>
      <c r="F84" s="248">
        <v>5275072</v>
      </c>
      <c r="G84" s="248">
        <v>0</v>
      </c>
      <c r="H84" s="248">
        <v>0</v>
      </c>
      <c r="I84" s="248">
        <v>0</v>
      </c>
      <c r="J84" s="248">
        <v>0</v>
      </c>
      <c r="K84" s="248">
        <v>0</v>
      </c>
      <c r="L84" s="248">
        <v>0</v>
      </c>
      <c r="M84" s="248">
        <v>0</v>
      </c>
      <c r="N84" s="249">
        <f t="shared" si="1"/>
        <v>5275072</v>
      </c>
    </row>
    <row r="85" spans="1:14" s="250" customFormat="1" ht="24" customHeight="1" x14ac:dyDescent="0.35">
      <c r="A85" s="247" t="s">
        <v>1177</v>
      </c>
      <c r="B85" s="248">
        <v>0</v>
      </c>
      <c r="C85" s="248">
        <v>1082720</v>
      </c>
      <c r="D85" s="248">
        <v>0</v>
      </c>
      <c r="E85" s="248">
        <v>0</v>
      </c>
      <c r="F85" s="248">
        <v>0</v>
      </c>
      <c r="G85" s="248">
        <v>0</v>
      </c>
      <c r="H85" s="248">
        <v>0</v>
      </c>
      <c r="I85" s="248">
        <v>0</v>
      </c>
      <c r="J85" s="248">
        <v>0</v>
      </c>
      <c r="K85" s="248">
        <v>0</v>
      </c>
      <c r="L85" s="248">
        <v>0</v>
      </c>
      <c r="M85" s="248">
        <v>0</v>
      </c>
      <c r="N85" s="249">
        <f t="shared" si="1"/>
        <v>1082720</v>
      </c>
    </row>
    <row r="86" spans="1:14" s="250" customFormat="1" ht="24" customHeight="1" x14ac:dyDescent="0.35">
      <c r="A86" s="247" t="s">
        <v>1178</v>
      </c>
      <c r="B86" s="248">
        <v>0</v>
      </c>
      <c r="C86" s="248">
        <v>0</v>
      </c>
      <c r="D86" s="248">
        <v>0</v>
      </c>
      <c r="E86" s="248">
        <v>0</v>
      </c>
      <c r="F86" s="248">
        <v>0</v>
      </c>
      <c r="G86" s="248">
        <v>0</v>
      </c>
      <c r="H86" s="248">
        <v>0</v>
      </c>
      <c r="I86" s="248">
        <v>4109952</v>
      </c>
      <c r="J86" s="248">
        <v>0</v>
      </c>
      <c r="K86" s="248">
        <v>0</v>
      </c>
      <c r="L86" s="248">
        <v>0</v>
      </c>
      <c r="M86" s="248">
        <v>0</v>
      </c>
      <c r="N86" s="249">
        <f t="shared" si="1"/>
        <v>4109952</v>
      </c>
    </row>
    <row r="87" spans="1:14" s="250" customFormat="1" ht="24" customHeight="1" x14ac:dyDescent="0.35">
      <c r="A87" s="247" t="s">
        <v>1179</v>
      </c>
      <c r="B87" s="248">
        <v>0</v>
      </c>
      <c r="C87" s="248">
        <v>0</v>
      </c>
      <c r="D87" s="248">
        <v>0</v>
      </c>
      <c r="E87" s="248">
        <v>0</v>
      </c>
      <c r="F87" s="248">
        <v>0</v>
      </c>
      <c r="G87" s="248">
        <v>5592580</v>
      </c>
      <c r="H87" s="248">
        <v>0</v>
      </c>
      <c r="I87" s="248">
        <v>0</v>
      </c>
      <c r="J87" s="248">
        <v>0</v>
      </c>
      <c r="K87" s="248">
        <v>0</v>
      </c>
      <c r="L87" s="248">
        <v>0</v>
      </c>
      <c r="M87" s="248">
        <v>0</v>
      </c>
      <c r="N87" s="249">
        <f t="shared" si="1"/>
        <v>5592580</v>
      </c>
    </row>
    <row r="88" spans="1:14" s="250" customFormat="1" ht="24" customHeight="1" x14ac:dyDescent="0.35">
      <c r="A88" s="247" t="s">
        <v>1180</v>
      </c>
      <c r="B88" s="248">
        <v>0</v>
      </c>
      <c r="C88" s="248">
        <v>0</v>
      </c>
      <c r="D88" s="248">
        <v>0</v>
      </c>
      <c r="E88" s="248">
        <v>0</v>
      </c>
      <c r="F88" s="248">
        <v>0</v>
      </c>
      <c r="G88" s="248">
        <v>0</v>
      </c>
      <c r="H88" s="248">
        <v>0</v>
      </c>
      <c r="I88" s="248">
        <v>0</v>
      </c>
      <c r="J88" s="248">
        <v>0</v>
      </c>
      <c r="K88" s="248">
        <v>5403480</v>
      </c>
      <c r="L88" s="248">
        <v>0</v>
      </c>
      <c r="M88" s="248">
        <v>0</v>
      </c>
      <c r="N88" s="249">
        <f t="shared" si="1"/>
        <v>5403480</v>
      </c>
    </row>
    <row r="89" spans="1:14" s="250" customFormat="1" ht="24" customHeight="1" x14ac:dyDescent="0.35">
      <c r="A89" s="247" t="s">
        <v>1181</v>
      </c>
      <c r="B89" s="248">
        <v>0</v>
      </c>
      <c r="C89" s="248">
        <v>0</v>
      </c>
      <c r="D89" s="248">
        <v>0</v>
      </c>
      <c r="E89" s="248">
        <v>0</v>
      </c>
      <c r="F89" s="248">
        <v>4031760</v>
      </c>
      <c r="G89" s="248">
        <v>0</v>
      </c>
      <c r="H89" s="248">
        <v>0</v>
      </c>
      <c r="I89" s="248">
        <v>0</v>
      </c>
      <c r="J89" s="248">
        <v>0</v>
      </c>
      <c r="K89" s="248">
        <v>0</v>
      </c>
      <c r="L89" s="248">
        <v>0</v>
      </c>
      <c r="M89" s="248">
        <v>0</v>
      </c>
      <c r="N89" s="249">
        <f t="shared" si="1"/>
        <v>4031760</v>
      </c>
    </row>
    <row r="90" spans="1:14" s="250" customFormat="1" ht="24" customHeight="1" x14ac:dyDescent="0.35">
      <c r="A90" s="247" t="s">
        <v>1182</v>
      </c>
      <c r="B90" s="248">
        <v>0</v>
      </c>
      <c r="C90" s="248">
        <v>0</v>
      </c>
      <c r="D90" s="248">
        <v>0</v>
      </c>
      <c r="E90" s="248">
        <v>7658672</v>
      </c>
      <c r="F90" s="248">
        <v>0</v>
      </c>
      <c r="G90" s="248">
        <v>0</v>
      </c>
      <c r="H90" s="248">
        <v>0</v>
      </c>
      <c r="I90" s="248">
        <v>0</v>
      </c>
      <c r="J90" s="248">
        <v>0</v>
      </c>
      <c r="K90" s="248">
        <v>0</v>
      </c>
      <c r="L90" s="248">
        <v>0</v>
      </c>
      <c r="M90" s="248">
        <v>0</v>
      </c>
      <c r="N90" s="249">
        <f t="shared" si="1"/>
        <v>7658672</v>
      </c>
    </row>
    <row r="91" spans="1:14" s="250" customFormat="1" ht="24" customHeight="1" x14ac:dyDescent="0.35">
      <c r="A91" s="247" t="s">
        <v>1183</v>
      </c>
      <c r="B91" s="248">
        <v>0</v>
      </c>
      <c r="C91" s="248">
        <v>0</v>
      </c>
      <c r="D91" s="248">
        <v>2875698</v>
      </c>
      <c r="E91" s="248">
        <v>0</v>
      </c>
      <c r="F91" s="248">
        <v>0</v>
      </c>
      <c r="G91" s="248">
        <v>0</v>
      </c>
      <c r="H91" s="248">
        <v>0</v>
      </c>
      <c r="I91" s="248">
        <v>0</v>
      </c>
      <c r="J91" s="248">
        <v>0</v>
      </c>
      <c r="K91" s="248">
        <v>0</v>
      </c>
      <c r="L91" s="248">
        <v>0</v>
      </c>
      <c r="M91" s="248">
        <v>0</v>
      </c>
      <c r="N91" s="249">
        <f t="shared" si="1"/>
        <v>2875698</v>
      </c>
    </row>
    <row r="92" spans="1:14" s="250" customFormat="1" ht="24" customHeight="1" x14ac:dyDescent="0.35">
      <c r="A92" s="247" t="s">
        <v>1184</v>
      </c>
      <c r="B92" s="248">
        <v>9388344</v>
      </c>
      <c r="C92" s="248">
        <v>9528814</v>
      </c>
      <c r="D92" s="248">
        <v>28547992</v>
      </c>
      <c r="E92" s="248">
        <v>16439280</v>
      </c>
      <c r="F92" s="248">
        <v>11901486</v>
      </c>
      <c r="G92" s="248">
        <v>7445810</v>
      </c>
      <c r="H92" s="248">
        <v>12222578</v>
      </c>
      <c r="I92" s="248">
        <v>21501939</v>
      </c>
      <c r="J92" s="248">
        <v>23702372</v>
      </c>
      <c r="K92" s="248">
        <v>9183834</v>
      </c>
      <c r="L92" s="248">
        <v>22954262</v>
      </c>
      <c r="M92" s="248">
        <v>0</v>
      </c>
      <c r="N92" s="249">
        <f t="shared" si="1"/>
        <v>172816711</v>
      </c>
    </row>
    <row r="93" spans="1:14" s="250" customFormat="1" ht="24" customHeight="1" x14ac:dyDescent="0.35">
      <c r="A93" s="247" t="s">
        <v>1185</v>
      </c>
      <c r="B93" s="248">
        <v>0</v>
      </c>
      <c r="C93" s="248">
        <v>0</v>
      </c>
      <c r="D93" s="248">
        <v>0</v>
      </c>
      <c r="E93" s="248">
        <v>0</v>
      </c>
      <c r="F93" s="248">
        <v>3206472</v>
      </c>
      <c r="G93" s="248">
        <v>0</v>
      </c>
      <c r="H93" s="248">
        <v>0</v>
      </c>
      <c r="I93" s="248">
        <v>0</v>
      </c>
      <c r="J93" s="248">
        <v>0</v>
      </c>
      <c r="K93" s="248">
        <v>0</v>
      </c>
      <c r="L93" s="248">
        <v>0</v>
      </c>
      <c r="M93" s="248">
        <v>0</v>
      </c>
      <c r="N93" s="249">
        <f t="shared" si="1"/>
        <v>3206472</v>
      </c>
    </row>
    <row r="94" spans="1:14" s="250" customFormat="1" ht="24" customHeight="1" x14ac:dyDescent="0.35">
      <c r="A94" s="247" t="s">
        <v>1186</v>
      </c>
      <c r="B94" s="248">
        <v>0</v>
      </c>
      <c r="C94" s="248">
        <v>0</v>
      </c>
      <c r="D94" s="248">
        <v>0</v>
      </c>
      <c r="E94" s="248">
        <v>0</v>
      </c>
      <c r="F94" s="248">
        <v>0</v>
      </c>
      <c r="G94" s="248">
        <v>0</v>
      </c>
      <c r="H94" s="248">
        <v>0</v>
      </c>
      <c r="I94" s="248">
        <v>0</v>
      </c>
      <c r="J94" s="248">
        <v>0</v>
      </c>
      <c r="K94" s="248">
        <v>3097165</v>
      </c>
      <c r="L94" s="248">
        <v>0</v>
      </c>
      <c r="M94" s="248">
        <v>0</v>
      </c>
      <c r="N94" s="249">
        <f t="shared" si="1"/>
        <v>3097165</v>
      </c>
    </row>
    <row r="95" spans="1:14" s="250" customFormat="1" ht="24" customHeight="1" x14ac:dyDescent="0.35">
      <c r="A95" s="247" t="s">
        <v>1187</v>
      </c>
      <c r="B95" s="248">
        <v>0</v>
      </c>
      <c r="C95" s="248">
        <v>0</v>
      </c>
      <c r="D95" s="248">
        <v>0</v>
      </c>
      <c r="E95" s="248">
        <v>0</v>
      </c>
      <c r="F95" s="248">
        <v>0</v>
      </c>
      <c r="G95" s="248">
        <v>0</v>
      </c>
      <c r="H95" s="248">
        <v>0</v>
      </c>
      <c r="I95" s="248">
        <v>0</v>
      </c>
      <c r="J95" s="248">
        <v>0</v>
      </c>
      <c r="K95" s="248">
        <v>0</v>
      </c>
      <c r="L95" s="248">
        <v>5859720</v>
      </c>
      <c r="M95" s="248">
        <v>0</v>
      </c>
      <c r="N95" s="249">
        <f t="shared" si="1"/>
        <v>5859720</v>
      </c>
    </row>
    <row r="96" spans="1:14" s="250" customFormat="1" ht="24" customHeight="1" x14ac:dyDescent="0.35">
      <c r="A96" s="247" t="s">
        <v>1188</v>
      </c>
      <c r="B96" s="248">
        <v>0</v>
      </c>
      <c r="C96" s="248">
        <v>0</v>
      </c>
      <c r="D96" s="248">
        <v>0</v>
      </c>
      <c r="E96" s="248">
        <v>0</v>
      </c>
      <c r="F96" s="248">
        <v>0</v>
      </c>
      <c r="G96" s="248">
        <v>0</v>
      </c>
      <c r="H96" s="248">
        <v>0</v>
      </c>
      <c r="I96" s="248">
        <v>0</v>
      </c>
      <c r="J96" s="248">
        <v>0</v>
      </c>
      <c r="K96" s="248">
        <v>1988600</v>
      </c>
      <c r="L96" s="248">
        <v>0</v>
      </c>
      <c r="M96" s="248">
        <v>0</v>
      </c>
      <c r="N96" s="249">
        <f t="shared" si="1"/>
        <v>1988600</v>
      </c>
    </row>
    <row r="97" spans="1:14" s="250" customFormat="1" ht="24" customHeight="1" x14ac:dyDescent="0.35">
      <c r="A97" s="247" t="s">
        <v>1189</v>
      </c>
      <c r="B97" s="248">
        <v>0</v>
      </c>
      <c r="C97" s="248">
        <v>0</v>
      </c>
      <c r="D97" s="248">
        <v>0</v>
      </c>
      <c r="E97" s="248">
        <v>0</v>
      </c>
      <c r="F97" s="248">
        <v>0</v>
      </c>
      <c r="G97" s="248">
        <v>0</v>
      </c>
      <c r="H97" s="248">
        <v>0</v>
      </c>
      <c r="I97" s="248">
        <v>0</v>
      </c>
      <c r="J97" s="248">
        <v>0</v>
      </c>
      <c r="K97" s="248">
        <v>4124160</v>
      </c>
      <c r="L97" s="248">
        <v>0</v>
      </c>
      <c r="M97" s="248">
        <v>0</v>
      </c>
      <c r="N97" s="249">
        <f t="shared" si="1"/>
        <v>4124160</v>
      </c>
    </row>
    <row r="98" spans="1:14" s="250" customFormat="1" ht="24" customHeight="1" x14ac:dyDescent="0.35">
      <c r="A98" s="247" t="s">
        <v>1190</v>
      </c>
      <c r="B98" s="248">
        <v>0</v>
      </c>
      <c r="C98" s="248">
        <v>0</v>
      </c>
      <c r="D98" s="248">
        <v>6667920</v>
      </c>
      <c r="E98" s="248">
        <v>0</v>
      </c>
      <c r="F98" s="248">
        <v>0</v>
      </c>
      <c r="G98" s="248">
        <v>0</v>
      </c>
      <c r="H98" s="248">
        <v>0</v>
      </c>
      <c r="I98" s="248">
        <v>0</v>
      </c>
      <c r="J98" s="248">
        <v>0</v>
      </c>
      <c r="K98" s="248">
        <v>0</v>
      </c>
      <c r="L98" s="248">
        <v>0</v>
      </c>
      <c r="M98" s="248">
        <v>0</v>
      </c>
      <c r="N98" s="249">
        <f t="shared" si="1"/>
        <v>6667920</v>
      </c>
    </row>
    <row r="99" spans="1:14" s="250" customFormat="1" ht="24" customHeight="1" x14ac:dyDescent="0.35">
      <c r="A99" s="247" t="s">
        <v>1191</v>
      </c>
      <c r="B99" s="248">
        <v>0</v>
      </c>
      <c r="C99" s="248">
        <v>0</v>
      </c>
      <c r="D99" s="248">
        <v>0</v>
      </c>
      <c r="E99" s="248">
        <v>0</v>
      </c>
      <c r="F99" s="248">
        <v>0</v>
      </c>
      <c r="G99" s="248">
        <v>0</v>
      </c>
      <c r="H99" s="248">
        <v>0</v>
      </c>
      <c r="I99" s="248">
        <v>0</v>
      </c>
      <c r="J99" s="248">
        <v>0</v>
      </c>
      <c r="K99" s="248">
        <v>0</v>
      </c>
      <c r="L99" s="248">
        <v>6334720</v>
      </c>
      <c r="M99" s="248">
        <v>0</v>
      </c>
      <c r="N99" s="249">
        <f t="shared" si="1"/>
        <v>6334720</v>
      </c>
    </row>
    <row r="100" spans="1:14" s="250" customFormat="1" ht="24" customHeight="1" x14ac:dyDescent="0.35">
      <c r="A100" s="247" t="s">
        <v>1192</v>
      </c>
      <c r="B100" s="248">
        <v>0</v>
      </c>
      <c r="C100" s="248">
        <v>0</v>
      </c>
      <c r="D100" s="248">
        <v>0</v>
      </c>
      <c r="E100" s="248">
        <v>0</v>
      </c>
      <c r="F100" s="248">
        <v>0</v>
      </c>
      <c r="G100" s="248">
        <v>0</v>
      </c>
      <c r="H100" s="248">
        <v>0</v>
      </c>
      <c r="I100" s="248">
        <v>0</v>
      </c>
      <c r="J100" s="248">
        <v>0</v>
      </c>
      <c r="K100" s="248">
        <v>4107438</v>
      </c>
      <c r="L100" s="248">
        <v>0</v>
      </c>
      <c r="M100" s="248">
        <v>0</v>
      </c>
      <c r="N100" s="249">
        <f t="shared" si="1"/>
        <v>4107438</v>
      </c>
    </row>
    <row r="101" spans="1:14" s="250" customFormat="1" ht="24" customHeight="1" x14ac:dyDescent="0.35">
      <c r="A101" s="247" t="s">
        <v>1193</v>
      </c>
      <c r="B101" s="248">
        <v>0</v>
      </c>
      <c r="C101" s="248">
        <v>0</v>
      </c>
      <c r="D101" s="248">
        <v>0</v>
      </c>
      <c r="E101" s="248">
        <v>0</v>
      </c>
      <c r="F101" s="248">
        <v>0</v>
      </c>
      <c r="G101" s="248">
        <v>0</v>
      </c>
      <c r="H101" s="248">
        <v>0</v>
      </c>
      <c r="I101" s="248">
        <v>4485908</v>
      </c>
      <c r="J101" s="248">
        <v>0</v>
      </c>
      <c r="K101" s="248">
        <v>0</v>
      </c>
      <c r="L101" s="248">
        <v>0</v>
      </c>
      <c r="M101" s="248">
        <v>0</v>
      </c>
      <c r="N101" s="249">
        <f t="shared" si="1"/>
        <v>4485908</v>
      </c>
    </row>
    <row r="102" spans="1:14" s="250" customFormat="1" ht="24" customHeight="1" x14ac:dyDescent="0.35">
      <c r="A102" s="247" t="s">
        <v>1194</v>
      </c>
      <c r="B102" s="248">
        <v>2492001</v>
      </c>
      <c r="C102" s="248">
        <v>0</v>
      </c>
      <c r="D102" s="248">
        <v>0</v>
      </c>
      <c r="E102" s="248">
        <v>0</v>
      </c>
      <c r="F102" s="248">
        <v>0</v>
      </c>
      <c r="G102" s="248">
        <v>0</v>
      </c>
      <c r="H102" s="248">
        <v>0</v>
      </c>
      <c r="I102" s="248">
        <v>0</v>
      </c>
      <c r="J102" s="248">
        <v>0</v>
      </c>
      <c r="K102" s="248">
        <v>0</v>
      </c>
      <c r="L102" s="248">
        <v>0</v>
      </c>
      <c r="M102" s="248">
        <v>0</v>
      </c>
      <c r="N102" s="249">
        <f t="shared" si="1"/>
        <v>2492001</v>
      </c>
    </row>
    <row r="103" spans="1:14" s="250" customFormat="1" ht="24" customHeight="1" x14ac:dyDescent="0.35">
      <c r="A103" s="247" t="s">
        <v>1195</v>
      </c>
      <c r="B103" s="248">
        <v>0</v>
      </c>
      <c r="C103" s="248">
        <v>0</v>
      </c>
      <c r="D103" s="248">
        <v>0</v>
      </c>
      <c r="E103" s="248">
        <v>0</v>
      </c>
      <c r="F103" s="248">
        <v>0</v>
      </c>
      <c r="G103" s="248">
        <v>1647398</v>
      </c>
      <c r="H103" s="248">
        <v>0</v>
      </c>
      <c r="I103" s="248">
        <v>0</v>
      </c>
      <c r="J103" s="248">
        <v>0</v>
      </c>
      <c r="K103" s="248">
        <v>0</v>
      </c>
      <c r="L103" s="248">
        <v>0</v>
      </c>
      <c r="M103" s="248">
        <v>0</v>
      </c>
      <c r="N103" s="249">
        <f t="shared" si="1"/>
        <v>1647398</v>
      </c>
    </row>
    <row r="104" spans="1:14" s="250" customFormat="1" ht="24" customHeight="1" x14ac:dyDescent="0.35">
      <c r="A104" s="247" t="s">
        <v>1196</v>
      </c>
      <c r="B104" s="248">
        <v>0</v>
      </c>
      <c r="C104" s="248">
        <v>0</v>
      </c>
      <c r="D104" s="248">
        <v>4675605</v>
      </c>
      <c r="E104" s="248">
        <v>0</v>
      </c>
      <c r="F104" s="248">
        <v>0</v>
      </c>
      <c r="G104" s="248">
        <v>0</v>
      </c>
      <c r="H104" s="248">
        <v>0</v>
      </c>
      <c r="I104" s="248">
        <v>0</v>
      </c>
      <c r="J104" s="248">
        <v>0</v>
      </c>
      <c r="K104" s="248">
        <v>0</v>
      </c>
      <c r="L104" s="248">
        <v>0</v>
      </c>
      <c r="M104" s="248">
        <v>0</v>
      </c>
      <c r="N104" s="249">
        <f t="shared" si="1"/>
        <v>4675605</v>
      </c>
    </row>
    <row r="105" spans="1:14" s="250" customFormat="1" ht="24" customHeight="1" x14ac:dyDescent="0.35">
      <c r="A105" s="247" t="s">
        <v>1197</v>
      </c>
      <c r="B105" s="248">
        <v>6775020</v>
      </c>
      <c r="C105" s="248">
        <v>0</v>
      </c>
      <c r="D105" s="248">
        <v>0</v>
      </c>
      <c r="E105" s="248">
        <v>0</v>
      </c>
      <c r="F105" s="248">
        <v>0</v>
      </c>
      <c r="G105" s="248">
        <v>0</v>
      </c>
      <c r="H105" s="248">
        <v>0</v>
      </c>
      <c r="I105" s="248">
        <v>0</v>
      </c>
      <c r="J105" s="248">
        <v>0</v>
      </c>
      <c r="K105" s="248">
        <v>0</v>
      </c>
      <c r="L105" s="248">
        <v>0</v>
      </c>
      <c r="M105" s="248">
        <v>0</v>
      </c>
      <c r="N105" s="249">
        <f t="shared" si="1"/>
        <v>6775020</v>
      </c>
    </row>
    <row r="106" spans="1:14" s="250" customFormat="1" ht="24" customHeight="1" x14ac:dyDescent="0.35">
      <c r="A106" s="247" t="s">
        <v>1198</v>
      </c>
      <c r="B106" s="248">
        <v>0</v>
      </c>
      <c r="C106" s="248">
        <v>0</v>
      </c>
      <c r="D106" s="248">
        <v>0</v>
      </c>
      <c r="E106" s="248">
        <v>0</v>
      </c>
      <c r="F106" s="248">
        <v>0</v>
      </c>
      <c r="G106" s="248">
        <v>0</v>
      </c>
      <c r="H106" s="248">
        <v>0</v>
      </c>
      <c r="I106" s="248">
        <v>3670800</v>
      </c>
      <c r="J106" s="248">
        <v>0</v>
      </c>
      <c r="K106" s="248">
        <v>0</v>
      </c>
      <c r="L106" s="248">
        <v>0</v>
      </c>
      <c r="M106" s="248">
        <v>0</v>
      </c>
      <c r="N106" s="249">
        <f t="shared" si="1"/>
        <v>3670800</v>
      </c>
    </row>
    <row r="107" spans="1:14" s="250" customFormat="1" ht="24" customHeight="1" x14ac:dyDescent="0.35">
      <c r="A107" s="247" t="s">
        <v>1199</v>
      </c>
      <c r="B107" s="248">
        <v>0</v>
      </c>
      <c r="C107" s="248">
        <v>0</v>
      </c>
      <c r="D107" s="248">
        <v>0</v>
      </c>
      <c r="E107" s="248">
        <v>0</v>
      </c>
      <c r="F107" s="248">
        <v>1797276</v>
      </c>
      <c r="G107" s="248">
        <v>0</v>
      </c>
      <c r="H107" s="248">
        <v>0</v>
      </c>
      <c r="I107" s="248">
        <v>0</v>
      </c>
      <c r="J107" s="248">
        <v>0</v>
      </c>
      <c r="K107" s="248">
        <v>0</v>
      </c>
      <c r="L107" s="248">
        <v>0</v>
      </c>
      <c r="M107" s="248">
        <v>0</v>
      </c>
      <c r="N107" s="249">
        <f t="shared" si="1"/>
        <v>1797276</v>
      </c>
    </row>
    <row r="108" spans="1:14" s="250" customFormat="1" ht="24" customHeight="1" x14ac:dyDescent="0.35">
      <c r="A108" s="247" t="s">
        <v>1200</v>
      </c>
      <c r="B108" s="248">
        <v>0</v>
      </c>
      <c r="C108" s="248">
        <v>0</v>
      </c>
      <c r="D108" s="248">
        <v>0</v>
      </c>
      <c r="E108" s="248">
        <v>0</v>
      </c>
      <c r="F108" s="248">
        <v>0</v>
      </c>
      <c r="G108" s="248">
        <v>0</v>
      </c>
      <c r="H108" s="248">
        <v>0</v>
      </c>
      <c r="I108" s="248">
        <v>0</v>
      </c>
      <c r="J108" s="248">
        <v>1117455</v>
      </c>
      <c r="K108" s="248">
        <v>0</v>
      </c>
      <c r="L108" s="248">
        <v>0</v>
      </c>
      <c r="M108" s="248">
        <v>0</v>
      </c>
      <c r="N108" s="249">
        <f t="shared" si="1"/>
        <v>1117455</v>
      </c>
    </row>
    <row r="109" spans="1:14" s="250" customFormat="1" ht="24" customHeight="1" x14ac:dyDescent="0.35">
      <c r="A109" s="247" t="s">
        <v>1201</v>
      </c>
      <c r="B109" s="248">
        <v>0</v>
      </c>
      <c r="C109" s="248">
        <v>0</v>
      </c>
      <c r="D109" s="248">
        <v>0</v>
      </c>
      <c r="E109" s="248">
        <v>0</v>
      </c>
      <c r="F109" s="248">
        <v>0</v>
      </c>
      <c r="G109" s="248">
        <v>0</v>
      </c>
      <c r="H109" s="248">
        <v>0</v>
      </c>
      <c r="I109" s="248">
        <v>0</v>
      </c>
      <c r="J109" s="248">
        <v>5819940</v>
      </c>
      <c r="K109" s="248">
        <v>0</v>
      </c>
      <c r="L109" s="248">
        <v>0</v>
      </c>
      <c r="M109" s="248">
        <v>0</v>
      </c>
      <c r="N109" s="249">
        <f t="shared" si="1"/>
        <v>5819940</v>
      </c>
    </row>
    <row r="110" spans="1:14" s="250" customFormat="1" ht="24" customHeight="1" x14ac:dyDescent="0.35">
      <c r="A110" s="247" t="s">
        <v>1202</v>
      </c>
      <c r="B110" s="248">
        <v>0</v>
      </c>
      <c r="C110" s="248">
        <v>0</v>
      </c>
      <c r="D110" s="248">
        <v>0</v>
      </c>
      <c r="E110" s="248">
        <v>0</v>
      </c>
      <c r="F110" s="248">
        <v>0</v>
      </c>
      <c r="G110" s="248">
        <v>0</v>
      </c>
      <c r="H110" s="248">
        <v>0</v>
      </c>
      <c r="I110" s="248">
        <v>4445500</v>
      </c>
      <c r="J110" s="248">
        <v>0</v>
      </c>
      <c r="K110" s="248">
        <v>0</v>
      </c>
      <c r="L110" s="248">
        <v>0</v>
      </c>
      <c r="M110" s="248">
        <v>0</v>
      </c>
      <c r="N110" s="249">
        <f t="shared" si="1"/>
        <v>4445500</v>
      </c>
    </row>
    <row r="111" spans="1:14" s="250" customFormat="1" ht="24" customHeight="1" x14ac:dyDescent="0.35">
      <c r="A111" s="247" t="s">
        <v>1203</v>
      </c>
      <c r="B111" s="248">
        <v>0</v>
      </c>
      <c r="C111" s="248">
        <v>0</v>
      </c>
      <c r="D111" s="248">
        <v>0</v>
      </c>
      <c r="E111" s="248">
        <v>0</v>
      </c>
      <c r="F111" s="248">
        <v>0</v>
      </c>
      <c r="G111" s="248">
        <v>0</v>
      </c>
      <c r="H111" s="248">
        <v>0</v>
      </c>
      <c r="I111" s="248">
        <v>0</v>
      </c>
      <c r="J111" s="248">
        <v>0</v>
      </c>
      <c r="K111" s="248">
        <v>0</v>
      </c>
      <c r="L111" s="248">
        <v>3252402</v>
      </c>
      <c r="M111" s="248">
        <v>0</v>
      </c>
      <c r="N111" s="249">
        <f t="shared" si="1"/>
        <v>3252402</v>
      </c>
    </row>
    <row r="112" spans="1:14" s="250" customFormat="1" ht="24" customHeight="1" x14ac:dyDescent="0.35">
      <c r="A112" s="247" t="s">
        <v>1204</v>
      </c>
      <c r="B112" s="248">
        <v>0</v>
      </c>
      <c r="C112" s="248">
        <v>0</v>
      </c>
      <c r="D112" s="248">
        <v>0</v>
      </c>
      <c r="E112" s="248">
        <v>0</v>
      </c>
      <c r="F112" s="248">
        <v>3336606</v>
      </c>
      <c r="G112" s="248">
        <v>0</v>
      </c>
      <c r="H112" s="248">
        <v>0</v>
      </c>
      <c r="I112" s="248">
        <v>0</v>
      </c>
      <c r="J112" s="248">
        <v>0</v>
      </c>
      <c r="K112" s="248">
        <v>0</v>
      </c>
      <c r="L112" s="248">
        <v>0</v>
      </c>
      <c r="M112" s="248">
        <v>0</v>
      </c>
      <c r="N112" s="249">
        <f t="shared" si="1"/>
        <v>3336606</v>
      </c>
    </row>
    <row r="113" spans="1:14" s="250" customFormat="1" ht="24" customHeight="1" x14ac:dyDescent="0.35">
      <c r="A113" s="247" t="s">
        <v>1205</v>
      </c>
      <c r="B113" s="248">
        <v>0</v>
      </c>
      <c r="C113" s="248">
        <v>3552240</v>
      </c>
      <c r="D113" s="248">
        <v>0</v>
      </c>
      <c r="E113" s="248">
        <v>0</v>
      </c>
      <c r="F113" s="248">
        <v>0</v>
      </c>
      <c r="G113" s="248">
        <v>0</v>
      </c>
      <c r="H113" s="248">
        <v>0</v>
      </c>
      <c r="I113" s="248">
        <v>0</v>
      </c>
      <c r="J113" s="248">
        <v>0</v>
      </c>
      <c r="K113" s="248">
        <v>0</v>
      </c>
      <c r="L113" s="248">
        <v>0</v>
      </c>
      <c r="M113" s="248">
        <v>0</v>
      </c>
      <c r="N113" s="249">
        <f t="shared" si="1"/>
        <v>3552240</v>
      </c>
    </row>
    <row r="114" spans="1:14" s="250" customFormat="1" ht="24" customHeight="1" x14ac:dyDescent="0.35">
      <c r="A114" s="247" t="s">
        <v>1206</v>
      </c>
      <c r="B114" s="248">
        <v>6414320</v>
      </c>
      <c r="C114" s="248">
        <v>0</v>
      </c>
      <c r="D114" s="248">
        <v>0</v>
      </c>
      <c r="E114" s="248">
        <v>0</v>
      </c>
      <c r="F114" s="248">
        <v>0</v>
      </c>
      <c r="G114" s="248">
        <v>0</v>
      </c>
      <c r="H114" s="248">
        <v>0</v>
      </c>
      <c r="I114" s="248">
        <v>0</v>
      </c>
      <c r="J114" s="248">
        <v>0</v>
      </c>
      <c r="K114" s="248">
        <v>0</v>
      </c>
      <c r="L114" s="248">
        <v>0</v>
      </c>
      <c r="M114" s="248">
        <v>0</v>
      </c>
      <c r="N114" s="249">
        <f t="shared" si="1"/>
        <v>6414320</v>
      </c>
    </row>
    <row r="115" spans="1:14" s="250" customFormat="1" ht="24" customHeight="1" x14ac:dyDescent="0.35">
      <c r="A115" s="247" t="s">
        <v>1207</v>
      </c>
      <c r="B115" s="248">
        <v>2553980</v>
      </c>
      <c r="C115" s="248">
        <v>0</v>
      </c>
      <c r="D115" s="248">
        <v>0</v>
      </c>
      <c r="E115" s="248">
        <v>0</v>
      </c>
      <c r="F115" s="248">
        <v>0</v>
      </c>
      <c r="G115" s="248">
        <v>0</v>
      </c>
      <c r="H115" s="248">
        <v>0</v>
      </c>
      <c r="I115" s="248">
        <v>0</v>
      </c>
      <c r="J115" s="248">
        <v>0</v>
      </c>
      <c r="K115" s="248">
        <v>0</v>
      </c>
      <c r="L115" s="248">
        <v>0</v>
      </c>
      <c r="M115" s="248">
        <v>0</v>
      </c>
      <c r="N115" s="249">
        <f t="shared" si="1"/>
        <v>2553980</v>
      </c>
    </row>
    <row r="116" spans="1:14" s="250" customFormat="1" ht="24" customHeight="1" x14ac:dyDescent="0.35">
      <c r="A116" s="247" t="s">
        <v>1208</v>
      </c>
      <c r="B116" s="248">
        <v>0</v>
      </c>
      <c r="C116" s="248">
        <v>0</v>
      </c>
      <c r="D116" s="248">
        <v>0</v>
      </c>
      <c r="E116" s="248">
        <v>0</v>
      </c>
      <c r="F116" s="248">
        <v>0</v>
      </c>
      <c r="G116" s="248">
        <v>0</v>
      </c>
      <c r="H116" s="248">
        <v>2927020</v>
      </c>
      <c r="I116" s="248">
        <v>0</v>
      </c>
      <c r="J116" s="248">
        <v>0</v>
      </c>
      <c r="K116" s="248">
        <v>0</v>
      </c>
      <c r="L116" s="248">
        <v>0</v>
      </c>
      <c r="M116" s="248">
        <v>0</v>
      </c>
      <c r="N116" s="249">
        <f t="shared" si="1"/>
        <v>2927020</v>
      </c>
    </row>
    <row r="117" spans="1:14" s="250" customFormat="1" ht="24" customHeight="1" x14ac:dyDescent="0.35">
      <c r="A117" s="247" t="s">
        <v>1209</v>
      </c>
      <c r="B117" s="248">
        <v>0</v>
      </c>
      <c r="C117" s="248">
        <v>0</v>
      </c>
      <c r="D117" s="248">
        <v>0</v>
      </c>
      <c r="E117" s="248">
        <v>0</v>
      </c>
      <c r="F117" s="248">
        <v>0</v>
      </c>
      <c r="G117" s="248">
        <v>1705632</v>
      </c>
      <c r="H117" s="248">
        <v>0</v>
      </c>
      <c r="I117" s="248">
        <v>0</v>
      </c>
      <c r="J117" s="248">
        <v>0</v>
      </c>
      <c r="K117" s="248">
        <v>0</v>
      </c>
      <c r="L117" s="248">
        <v>0</v>
      </c>
      <c r="M117" s="248">
        <v>0</v>
      </c>
      <c r="N117" s="249">
        <f t="shared" si="1"/>
        <v>1705632</v>
      </c>
    </row>
    <row r="118" spans="1:14" s="250" customFormat="1" ht="24" customHeight="1" x14ac:dyDescent="0.35">
      <c r="A118" s="247" t="s">
        <v>1210</v>
      </c>
      <c r="B118" s="248">
        <v>0</v>
      </c>
      <c r="C118" s="248">
        <v>0</v>
      </c>
      <c r="D118" s="248">
        <v>0</v>
      </c>
      <c r="E118" s="248">
        <v>0</v>
      </c>
      <c r="F118" s="248">
        <v>0</v>
      </c>
      <c r="G118" s="248">
        <v>0</v>
      </c>
      <c r="H118" s="248">
        <v>0</v>
      </c>
      <c r="I118" s="248">
        <v>0</v>
      </c>
      <c r="J118" s="248">
        <v>0</v>
      </c>
      <c r="K118" s="248">
        <v>5193090</v>
      </c>
      <c r="L118" s="248">
        <v>0</v>
      </c>
      <c r="M118" s="248">
        <v>0</v>
      </c>
      <c r="N118" s="249">
        <f t="shared" si="1"/>
        <v>5193090</v>
      </c>
    </row>
    <row r="119" spans="1:14" s="250" customFormat="1" ht="24" customHeight="1" x14ac:dyDescent="0.35">
      <c r="A119" s="247" t="s">
        <v>1211</v>
      </c>
      <c r="B119" s="248">
        <v>7271810</v>
      </c>
      <c r="C119" s="248">
        <v>0</v>
      </c>
      <c r="D119" s="248">
        <v>0</v>
      </c>
      <c r="E119" s="248">
        <v>0</v>
      </c>
      <c r="F119" s="248">
        <v>0</v>
      </c>
      <c r="G119" s="248">
        <v>0</v>
      </c>
      <c r="H119" s="248">
        <v>0</v>
      </c>
      <c r="I119" s="248">
        <v>0</v>
      </c>
      <c r="J119" s="248">
        <v>0</v>
      </c>
      <c r="K119" s="248">
        <v>0</v>
      </c>
      <c r="L119" s="248">
        <v>0</v>
      </c>
      <c r="M119" s="248">
        <v>0</v>
      </c>
      <c r="N119" s="249">
        <f t="shared" si="1"/>
        <v>7271810</v>
      </c>
    </row>
    <row r="120" spans="1:14" s="250" customFormat="1" ht="24" customHeight="1" x14ac:dyDescent="0.35">
      <c r="A120" s="247" t="s">
        <v>1212</v>
      </c>
      <c r="B120" s="248">
        <v>0</v>
      </c>
      <c r="C120" s="248">
        <v>0</v>
      </c>
      <c r="D120" s="248">
        <v>0</v>
      </c>
      <c r="E120" s="248">
        <v>0</v>
      </c>
      <c r="F120" s="248">
        <v>0</v>
      </c>
      <c r="G120" s="248">
        <v>0</v>
      </c>
      <c r="H120" s="248">
        <v>0</v>
      </c>
      <c r="I120" s="248">
        <v>1287616</v>
      </c>
      <c r="J120" s="248">
        <v>0</v>
      </c>
      <c r="K120" s="248">
        <v>0</v>
      </c>
      <c r="L120" s="248">
        <v>0</v>
      </c>
      <c r="M120" s="248">
        <v>0</v>
      </c>
      <c r="N120" s="249">
        <f t="shared" si="1"/>
        <v>1287616</v>
      </c>
    </row>
    <row r="121" spans="1:14" s="250" customFormat="1" ht="24" customHeight="1" x14ac:dyDescent="0.35">
      <c r="A121" s="247" t="s">
        <v>1213</v>
      </c>
      <c r="B121" s="248">
        <v>0</v>
      </c>
      <c r="C121" s="248">
        <v>0</v>
      </c>
      <c r="D121" s="248">
        <v>0</v>
      </c>
      <c r="E121" s="248">
        <v>0</v>
      </c>
      <c r="F121" s="248">
        <v>4601856</v>
      </c>
      <c r="G121" s="248">
        <v>0</v>
      </c>
      <c r="H121" s="248">
        <v>0</v>
      </c>
      <c r="I121" s="248">
        <v>0</v>
      </c>
      <c r="J121" s="248">
        <v>0</v>
      </c>
      <c r="K121" s="248">
        <v>0</v>
      </c>
      <c r="L121" s="248">
        <v>0</v>
      </c>
      <c r="M121" s="248">
        <v>0</v>
      </c>
      <c r="N121" s="249">
        <f t="shared" si="1"/>
        <v>4601856</v>
      </c>
    </row>
    <row r="122" spans="1:14" s="250" customFormat="1" ht="24" customHeight="1" x14ac:dyDescent="0.35">
      <c r="A122" s="247" t="s">
        <v>1214</v>
      </c>
      <c r="B122" s="248">
        <v>0</v>
      </c>
      <c r="C122" s="248">
        <v>0</v>
      </c>
      <c r="D122" s="248">
        <v>0</v>
      </c>
      <c r="E122" s="248">
        <v>0</v>
      </c>
      <c r="F122" s="248">
        <v>0</v>
      </c>
      <c r="G122" s="248">
        <v>5025273</v>
      </c>
      <c r="H122" s="248">
        <v>0</v>
      </c>
      <c r="I122" s="248">
        <v>0</v>
      </c>
      <c r="J122" s="248">
        <v>0</v>
      </c>
      <c r="K122" s="248">
        <v>0</v>
      </c>
      <c r="L122" s="248">
        <v>0</v>
      </c>
      <c r="M122" s="248">
        <v>0</v>
      </c>
      <c r="N122" s="249">
        <f t="shared" si="1"/>
        <v>5025273</v>
      </c>
    </row>
    <row r="123" spans="1:14" s="250" customFormat="1" ht="24" customHeight="1" x14ac:dyDescent="0.35">
      <c r="A123" s="247" t="s">
        <v>1215</v>
      </c>
      <c r="B123" s="248">
        <v>1862499</v>
      </c>
      <c r="C123" s="248">
        <v>0</v>
      </c>
      <c r="D123" s="248">
        <v>0</v>
      </c>
      <c r="E123" s="248">
        <v>0</v>
      </c>
      <c r="F123" s="248">
        <v>0</v>
      </c>
      <c r="G123" s="248">
        <v>0</v>
      </c>
      <c r="H123" s="248">
        <v>0</v>
      </c>
      <c r="I123" s="248">
        <v>0</v>
      </c>
      <c r="J123" s="248">
        <v>0</v>
      </c>
      <c r="K123" s="248">
        <v>0</v>
      </c>
      <c r="L123" s="248">
        <v>0</v>
      </c>
      <c r="M123" s="248">
        <v>0</v>
      </c>
      <c r="N123" s="249">
        <f t="shared" si="1"/>
        <v>1862499</v>
      </c>
    </row>
    <row r="124" spans="1:14" s="250" customFormat="1" ht="24" customHeight="1" x14ac:dyDescent="0.35">
      <c r="A124" s="247" t="s">
        <v>1216</v>
      </c>
      <c r="B124" s="248">
        <v>0</v>
      </c>
      <c r="C124" s="248">
        <v>0</v>
      </c>
      <c r="D124" s="248">
        <v>0</v>
      </c>
      <c r="E124" s="248">
        <v>0</v>
      </c>
      <c r="F124" s="248">
        <v>0</v>
      </c>
      <c r="G124" s="248">
        <v>0</v>
      </c>
      <c r="H124" s="248">
        <v>5532150</v>
      </c>
      <c r="I124" s="248">
        <v>0</v>
      </c>
      <c r="J124" s="248">
        <v>0</v>
      </c>
      <c r="K124" s="248">
        <v>0</v>
      </c>
      <c r="L124" s="248">
        <v>0</v>
      </c>
      <c r="M124" s="248">
        <v>0</v>
      </c>
      <c r="N124" s="249">
        <f t="shared" si="1"/>
        <v>5532150</v>
      </c>
    </row>
    <row r="125" spans="1:14" s="250" customFormat="1" ht="24" customHeight="1" x14ac:dyDescent="0.35">
      <c r="A125" s="247" t="s">
        <v>1217</v>
      </c>
      <c r="B125" s="248">
        <v>0</v>
      </c>
      <c r="C125" s="248">
        <v>0</v>
      </c>
      <c r="D125" s="248">
        <v>0</v>
      </c>
      <c r="E125" s="248">
        <v>0</v>
      </c>
      <c r="F125" s="248">
        <v>0</v>
      </c>
      <c r="G125" s="248">
        <v>0</v>
      </c>
      <c r="H125" s="248">
        <v>0</v>
      </c>
      <c r="I125" s="248">
        <v>0</v>
      </c>
      <c r="J125" s="248">
        <v>2886224</v>
      </c>
      <c r="K125" s="248">
        <v>0</v>
      </c>
      <c r="L125" s="248">
        <v>0</v>
      </c>
      <c r="M125" s="248">
        <v>0</v>
      </c>
      <c r="N125" s="249">
        <f t="shared" si="1"/>
        <v>2886224</v>
      </c>
    </row>
    <row r="126" spans="1:14" s="250" customFormat="1" ht="24" customHeight="1" x14ac:dyDescent="0.35">
      <c r="A126" s="247" t="s">
        <v>1218</v>
      </c>
      <c r="B126" s="248">
        <v>0</v>
      </c>
      <c r="C126" s="248">
        <v>0</v>
      </c>
      <c r="D126" s="248">
        <v>0</v>
      </c>
      <c r="E126" s="248">
        <v>0</v>
      </c>
      <c r="F126" s="248">
        <v>0</v>
      </c>
      <c r="G126" s="248">
        <v>0</v>
      </c>
      <c r="H126" s="248">
        <v>0</v>
      </c>
      <c r="I126" s="248">
        <v>0</v>
      </c>
      <c r="J126" s="248">
        <v>4713390</v>
      </c>
      <c r="K126" s="248">
        <v>0</v>
      </c>
      <c r="L126" s="248">
        <v>0</v>
      </c>
      <c r="M126" s="248">
        <v>0</v>
      </c>
      <c r="N126" s="249">
        <f t="shared" si="1"/>
        <v>4713390</v>
      </c>
    </row>
    <row r="127" spans="1:14" s="250" customFormat="1" ht="24" customHeight="1" x14ac:dyDescent="0.35">
      <c r="A127" s="247" t="s">
        <v>1219</v>
      </c>
      <c r="B127" s="248">
        <v>0</v>
      </c>
      <c r="C127" s="248">
        <v>0</v>
      </c>
      <c r="D127" s="248">
        <v>0</v>
      </c>
      <c r="E127" s="248">
        <v>0</v>
      </c>
      <c r="F127" s="248">
        <v>0</v>
      </c>
      <c r="G127" s="248">
        <v>0</v>
      </c>
      <c r="H127" s="248">
        <v>0</v>
      </c>
      <c r="I127" s="248">
        <v>0</v>
      </c>
      <c r="J127" s="248">
        <v>0</v>
      </c>
      <c r="K127" s="248">
        <v>0</v>
      </c>
      <c r="L127" s="248">
        <v>4058496</v>
      </c>
      <c r="M127" s="248">
        <v>0</v>
      </c>
      <c r="N127" s="249">
        <f t="shared" si="1"/>
        <v>4058496</v>
      </c>
    </row>
    <row r="128" spans="1:14" s="250" customFormat="1" ht="24" customHeight="1" x14ac:dyDescent="0.35">
      <c r="A128" s="247" t="s">
        <v>1220</v>
      </c>
      <c r="B128" s="248">
        <v>0</v>
      </c>
      <c r="C128" s="248">
        <v>0</v>
      </c>
      <c r="D128" s="248">
        <v>0</v>
      </c>
      <c r="E128" s="248">
        <v>0</v>
      </c>
      <c r="F128" s="248">
        <v>0</v>
      </c>
      <c r="G128" s="248">
        <v>0</v>
      </c>
      <c r="H128" s="248">
        <v>8662190</v>
      </c>
      <c r="I128" s="248">
        <v>0</v>
      </c>
      <c r="J128" s="248">
        <v>0</v>
      </c>
      <c r="K128" s="248">
        <v>0</v>
      </c>
      <c r="L128" s="248">
        <v>0</v>
      </c>
      <c r="M128" s="248">
        <v>0</v>
      </c>
      <c r="N128" s="249">
        <f t="shared" si="1"/>
        <v>8662190</v>
      </c>
    </row>
    <row r="129" spans="1:14" s="250" customFormat="1" ht="24" customHeight="1" x14ac:dyDescent="0.35">
      <c r="A129" s="247" t="s">
        <v>1221</v>
      </c>
      <c r="B129" s="248">
        <v>4392796</v>
      </c>
      <c r="C129" s="248">
        <v>0</v>
      </c>
      <c r="D129" s="248">
        <v>0</v>
      </c>
      <c r="E129" s="248">
        <v>0</v>
      </c>
      <c r="F129" s="248">
        <v>0</v>
      </c>
      <c r="G129" s="248">
        <v>0</v>
      </c>
      <c r="H129" s="248">
        <v>0</v>
      </c>
      <c r="I129" s="248">
        <v>0</v>
      </c>
      <c r="J129" s="248">
        <v>0</v>
      </c>
      <c r="K129" s="248">
        <v>0</v>
      </c>
      <c r="L129" s="248">
        <v>0</v>
      </c>
      <c r="M129" s="248">
        <v>0</v>
      </c>
      <c r="N129" s="249">
        <f t="shared" si="1"/>
        <v>4392796</v>
      </c>
    </row>
    <row r="130" spans="1:14" s="250" customFormat="1" ht="24" customHeight="1" x14ac:dyDescent="0.35">
      <c r="A130" s="247" t="s">
        <v>1222</v>
      </c>
      <c r="B130" s="248">
        <v>0</v>
      </c>
      <c r="C130" s="248">
        <v>6510213</v>
      </c>
      <c r="D130" s="248">
        <v>8202521</v>
      </c>
      <c r="E130" s="248">
        <v>0</v>
      </c>
      <c r="F130" s="248">
        <v>0</v>
      </c>
      <c r="G130" s="248">
        <v>0</v>
      </c>
      <c r="H130" s="248">
        <v>6216651</v>
      </c>
      <c r="I130" s="248">
        <v>1499740</v>
      </c>
      <c r="J130" s="248">
        <v>8358176</v>
      </c>
      <c r="K130" s="248">
        <v>0</v>
      </c>
      <c r="L130" s="248">
        <v>0</v>
      </c>
      <c r="M130" s="248">
        <v>0</v>
      </c>
      <c r="N130" s="249">
        <f t="shared" si="1"/>
        <v>30787301</v>
      </c>
    </row>
    <row r="131" spans="1:14" s="250" customFormat="1" ht="24" customHeight="1" x14ac:dyDescent="0.35">
      <c r="A131" s="247" t="s">
        <v>1224</v>
      </c>
      <c r="B131" s="248">
        <v>0</v>
      </c>
      <c r="C131" s="248">
        <v>0</v>
      </c>
      <c r="D131" s="248">
        <v>0</v>
      </c>
      <c r="E131" s="248">
        <v>0</v>
      </c>
      <c r="F131" s="248">
        <v>0</v>
      </c>
      <c r="G131" s="248">
        <v>6159346</v>
      </c>
      <c r="H131" s="248">
        <v>0</v>
      </c>
      <c r="I131" s="248">
        <v>0</v>
      </c>
      <c r="J131" s="248">
        <v>0</v>
      </c>
      <c r="K131" s="248">
        <v>0</v>
      </c>
      <c r="L131" s="248">
        <v>0</v>
      </c>
      <c r="M131" s="248">
        <v>0</v>
      </c>
      <c r="N131" s="249">
        <f t="shared" ref="N131:N148" si="2">SUM(B131:M131)</f>
        <v>6159346</v>
      </c>
    </row>
    <row r="132" spans="1:14" s="250" customFormat="1" ht="24" customHeight="1" x14ac:dyDescent="0.35">
      <c r="A132" s="247" t="s">
        <v>1225</v>
      </c>
      <c r="B132" s="248">
        <v>0</v>
      </c>
      <c r="C132" s="248">
        <v>0</v>
      </c>
      <c r="D132" s="248">
        <v>0</v>
      </c>
      <c r="E132" s="248">
        <v>0</v>
      </c>
      <c r="F132" s="248">
        <v>0</v>
      </c>
      <c r="G132" s="248">
        <v>0</v>
      </c>
      <c r="H132" s="248">
        <v>0</v>
      </c>
      <c r="I132" s="248">
        <v>0</v>
      </c>
      <c r="J132" s="248">
        <v>0</v>
      </c>
      <c r="K132" s="248">
        <v>0</v>
      </c>
      <c r="L132" s="248">
        <v>2738122</v>
      </c>
      <c r="M132" s="248">
        <v>0</v>
      </c>
      <c r="N132" s="249">
        <f t="shared" si="2"/>
        <v>2738122</v>
      </c>
    </row>
    <row r="133" spans="1:14" s="250" customFormat="1" ht="24" customHeight="1" x14ac:dyDescent="0.35">
      <c r="A133" s="247" t="s">
        <v>1226</v>
      </c>
      <c r="B133" s="248">
        <v>0</v>
      </c>
      <c r="C133" s="248">
        <v>0</v>
      </c>
      <c r="D133" s="248">
        <v>0</v>
      </c>
      <c r="E133" s="248">
        <v>8545086</v>
      </c>
      <c r="F133" s="248">
        <v>0</v>
      </c>
      <c r="G133" s="248">
        <v>0</v>
      </c>
      <c r="H133" s="248">
        <v>0</v>
      </c>
      <c r="I133" s="248">
        <v>0</v>
      </c>
      <c r="J133" s="248">
        <v>0</v>
      </c>
      <c r="K133" s="248">
        <v>0</v>
      </c>
      <c r="L133" s="248">
        <v>0</v>
      </c>
      <c r="M133" s="248">
        <v>0</v>
      </c>
      <c r="N133" s="249">
        <f t="shared" si="2"/>
        <v>8545086</v>
      </c>
    </row>
    <row r="134" spans="1:14" s="250" customFormat="1" ht="24" customHeight="1" x14ac:dyDescent="0.35">
      <c r="A134" s="247" t="s">
        <v>1227</v>
      </c>
      <c r="B134" s="248">
        <v>0</v>
      </c>
      <c r="C134" s="248">
        <v>0</v>
      </c>
      <c r="D134" s="248">
        <v>0</v>
      </c>
      <c r="E134" s="248">
        <v>0</v>
      </c>
      <c r="F134" s="248">
        <v>5095535</v>
      </c>
      <c r="G134" s="248">
        <v>0</v>
      </c>
      <c r="H134" s="248">
        <v>0</v>
      </c>
      <c r="I134" s="248">
        <v>0</v>
      </c>
      <c r="J134" s="248">
        <v>0</v>
      </c>
      <c r="K134" s="248">
        <v>0</v>
      </c>
      <c r="L134" s="248">
        <v>0</v>
      </c>
      <c r="M134" s="248">
        <v>0</v>
      </c>
      <c r="N134" s="249">
        <f t="shared" si="2"/>
        <v>5095535</v>
      </c>
    </row>
    <row r="135" spans="1:14" s="250" customFormat="1" ht="24" customHeight="1" x14ac:dyDescent="0.35">
      <c r="A135" s="247" t="s">
        <v>1223</v>
      </c>
      <c r="B135" s="248">
        <v>0</v>
      </c>
      <c r="C135" s="248">
        <v>8036326</v>
      </c>
      <c r="D135" s="248">
        <v>0</v>
      </c>
      <c r="E135" s="248">
        <v>0</v>
      </c>
      <c r="F135" s="248">
        <v>0</v>
      </c>
      <c r="G135" s="248">
        <v>5224190</v>
      </c>
      <c r="H135" s="248">
        <v>0</v>
      </c>
      <c r="I135" s="248">
        <v>0</v>
      </c>
      <c r="J135" s="248">
        <v>0</v>
      </c>
      <c r="K135" s="248">
        <v>0</v>
      </c>
      <c r="L135" s="248">
        <v>1283040</v>
      </c>
      <c r="M135" s="248">
        <v>0</v>
      </c>
      <c r="N135" s="249">
        <f t="shared" si="2"/>
        <v>14543556</v>
      </c>
    </row>
    <row r="136" spans="1:14" s="250" customFormat="1" ht="24" customHeight="1" x14ac:dyDescent="0.35">
      <c r="A136" s="247" t="s">
        <v>1228</v>
      </c>
      <c r="B136" s="248">
        <v>4926420</v>
      </c>
      <c r="C136" s="248">
        <v>0</v>
      </c>
      <c r="D136" s="248">
        <v>0</v>
      </c>
      <c r="E136" s="248">
        <v>0</v>
      </c>
      <c r="F136" s="248">
        <v>0</v>
      </c>
      <c r="G136" s="248">
        <v>0</v>
      </c>
      <c r="H136" s="248">
        <v>0</v>
      </c>
      <c r="I136" s="248">
        <v>0</v>
      </c>
      <c r="J136" s="248">
        <v>0</v>
      </c>
      <c r="K136" s="248">
        <v>0</v>
      </c>
      <c r="L136" s="248">
        <v>0</v>
      </c>
      <c r="M136" s="248">
        <v>0</v>
      </c>
      <c r="N136" s="249">
        <f t="shared" si="2"/>
        <v>4926420</v>
      </c>
    </row>
    <row r="137" spans="1:14" s="250" customFormat="1" ht="24" customHeight="1" x14ac:dyDescent="0.35">
      <c r="A137" s="247" t="s">
        <v>1229</v>
      </c>
      <c r="B137" s="248">
        <v>0</v>
      </c>
      <c r="C137" s="248">
        <v>0</v>
      </c>
      <c r="D137" s="248">
        <v>0</v>
      </c>
      <c r="E137" s="248">
        <v>0</v>
      </c>
      <c r="F137" s="248">
        <v>5093820</v>
      </c>
      <c r="G137" s="248">
        <v>0</v>
      </c>
      <c r="H137" s="248">
        <v>0</v>
      </c>
      <c r="I137" s="248">
        <v>0</v>
      </c>
      <c r="J137" s="248">
        <v>0</v>
      </c>
      <c r="K137" s="248">
        <v>0</v>
      </c>
      <c r="L137" s="248">
        <v>0</v>
      </c>
      <c r="M137" s="248">
        <v>0</v>
      </c>
      <c r="N137" s="249">
        <f t="shared" si="2"/>
        <v>5093820</v>
      </c>
    </row>
    <row r="138" spans="1:14" s="250" customFormat="1" ht="24" customHeight="1" x14ac:dyDescent="0.35">
      <c r="A138" s="247" t="s">
        <v>1230</v>
      </c>
      <c r="B138" s="248">
        <v>1998444</v>
      </c>
      <c r="C138" s="248">
        <v>0</v>
      </c>
      <c r="D138" s="248">
        <v>0</v>
      </c>
      <c r="E138" s="248">
        <v>0</v>
      </c>
      <c r="F138" s="248">
        <v>0</v>
      </c>
      <c r="G138" s="248">
        <v>0</v>
      </c>
      <c r="H138" s="248">
        <v>0</v>
      </c>
      <c r="I138" s="248">
        <v>0</v>
      </c>
      <c r="J138" s="248">
        <v>0</v>
      </c>
      <c r="K138" s="248">
        <v>0</v>
      </c>
      <c r="L138" s="248">
        <v>0</v>
      </c>
      <c r="M138" s="248">
        <v>0</v>
      </c>
      <c r="N138" s="249">
        <f t="shared" si="2"/>
        <v>1998444</v>
      </c>
    </row>
    <row r="139" spans="1:14" s="250" customFormat="1" ht="24" customHeight="1" x14ac:dyDescent="0.35">
      <c r="A139" s="247" t="s">
        <v>1231</v>
      </c>
      <c r="B139" s="248">
        <v>0</v>
      </c>
      <c r="C139" s="248">
        <v>0</v>
      </c>
      <c r="D139" s="248">
        <v>3945651</v>
      </c>
      <c r="E139" s="248">
        <v>0</v>
      </c>
      <c r="F139" s="248">
        <v>0</v>
      </c>
      <c r="G139" s="248">
        <v>0</v>
      </c>
      <c r="H139" s="248">
        <v>0</v>
      </c>
      <c r="I139" s="248">
        <v>0</v>
      </c>
      <c r="J139" s="248">
        <v>0</v>
      </c>
      <c r="K139" s="248">
        <v>0</v>
      </c>
      <c r="L139" s="248">
        <v>0</v>
      </c>
      <c r="M139" s="248">
        <v>0</v>
      </c>
      <c r="N139" s="249">
        <f t="shared" si="2"/>
        <v>3945651</v>
      </c>
    </row>
    <row r="140" spans="1:14" s="250" customFormat="1" ht="24" customHeight="1" x14ac:dyDescent="0.35">
      <c r="A140" s="247" t="s">
        <v>1232</v>
      </c>
      <c r="B140" s="248">
        <v>0</v>
      </c>
      <c r="C140" s="248">
        <v>3140415</v>
      </c>
      <c r="D140" s="248">
        <v>0</v>
      </c>
      <c r="E140" s="248">
        <v>0</v>
      </c>
      <c r="F140" s="248">
        <v>0</v>
      </c>
      <c r="G140" s="248">
        <v>0</v>
      </c>
      <c r="H140" s="248">
        <v>0</v>
      </c>
      <c r="I140" s="248">
        <v>0</v>
      </c>
      <c r="J140" s="248">
        <v>0</v>
      </c>
      <c r="K140" s="248">
        <v>0</v>
      </c>
      <c r="L140" s="248">
        <v>0</v>
      </c>
      <c r="M140" s="248">
        <v>0</v>
      </c>
      <c r="N140" s="249">
        <f t="shared" si="2"/>
        <v>3140415</v>
      </c>
    </row>
    <row r="141" spans="1:14" s="250" customFormat="1" ht="24" customHeight="1" x14ac:dyDescent="0.35">
      <c r="A141" s="247" t="s">
        <v>1233</v>
      </c>
      <c r="B141" s="248">
        <v>3390120</v>
      </c>
      <c r="C141" s="248">
        <v>0</v>
      </c>
      <c r="D141" s="248">
        <v>0</v>
      </c>
      <c r="E141" s="248">
        <v>0</v>
      </c>
      <c r="F141" s="248">
        <v>0</v>
      </c>
      <c r="G141" s="248">
        <v>0</v>
      </c>
      <c r="H141" s="248">
        <v>0</v>
      </c>
      <c r="I141" s="248">
        <v>0</v>
      </c>
      <c r="J141" s="248">
        <v>0</v>
      </c>
      <c r="K141" s="248">
        <v>0</v>
      </c>
      <c r="L141" s="248">
        <v>0</v>
      </c>
      <c r="M141" s="248">
        <v>0</v>
      </c>
      <c r="N141" s="249">
        <f t="shared" si="2"/>
        <v>3390120</v>
      </c>
    </row>
    <row r="142" spans="1:14" s="250" customFormat="1" ht="24" customHeight="1" x14ac:dyDescent="0.35">
      <c r="A142" s="247" t="s">
        <v>1234</v>
      </c>
      <c r="B142" s="248">
        <v>0</v>
      </c>
      <c r="C142" s="248">
        <v>0</v>
      </c>
      <c r="D142" s="248">
        <v>0</v>
      </c>
      <c r="E142" s="248">
        <v>0</v>
      </c>
      <c r="F142" s="248">
        <v>0</v>
      </c>
      <c r="G142" s="248">
        <v>0</v>
      </c>
      <c r="H142" s="248">
        <v>6268499</v>
      </c>
      <c r="I142" s="248">
        <v>0</v>
      </c>
      <c r="J142" s="248">
        <v>0</v>
      </c>
      <c r="K142" s="248">
        <v>0</v>
      </c>
      <c r="L142" s="248">
        <v>0</v>
      </c>
      <c r="M142" s="248">
        <v>0</v>
      </c>
      <c r="N142" s="249">
        <f t="shared" si="2"/>
        <v>6268499</v>
      </c>
    </row>
    <row r="143" spans="1:14" s="250" customFormat="1" ht="24" customHeight="1" x14ac:dyDescent="0.35">
      <c r="A143" s="247" t="s">
        <v>1235</v>
      </c>
      <c r="B143" s="248">
        <v>0</v>
      </c>
      <c r="C143" s="248">
        <v>0</v>
      </c>
      <c r="D143" s="248">
        <v>0</v>
      </c>
      <c r="E143" s="248">
        <v>0</v>
      </c>
      <c r="F143" s="248">
        <v>0</v>
      </c>
      <c r="G143" s="248">
        <v>0</v>
      </c>
      <c r="H143" s="248">
        <v>0</v>
      </c>
      <c r="I143" s="248">
        <v>5701962</v>
      </c>
      <c r="J143" s="248">
        <v>0</v>
      </c>
      <c r="K143" s="248">
        <v>0</v>
      </c>
      <c r="L143" s="248">
        <v>0</v>
      </c>
      <c r="M143" s="248">
        <v>0</v>
      </c>
      <c r="N143" s="249">
        <f t="shared" si="2"/>
        <v>5701962</v>
      </c>
    </row>
    <row r="144" spans="1:14" s="250" customFormat="1" ht="24" customHeight="1" x14ac:dyDescent="0.35">
      <c r="A144" s="247" t="s">
        <v>1236</v>
      </c>
      <c r="B144" s="248">
        <v>0</v>
      </c>
      <c r="C144" s="248">
        <v>0</v>
      </c>
      <c r="D144" s="248">
        <v>0</v>
      </c>
      <c r="E144" s="248">
        <v>2695488</v>
      </c>
      <c r="F144" s="248">
        <v>0</v>
      </c>
      <c r="G144" s="248">
        <v>0</v>
      </c>
      <c r="H144" s="248">
        <v>0</v>
      </c>
      <c r="I144" s="248">
        <v>0</v>
      </c>
      <c r="J144" s="248">
        <v>0</v>
      </c>
      <c r="K144" s="248">
        <v>0</v>
      </c>
      <c r="L144" s="248">
        <v>0</v>
      </c>
      <c r="M144" s="248">
        <v>0</v>
      </c>
      <c r="N144" s="249">
        <f t="shared" si="2"/>
        <v>2695488</v>
      </c>
    </row>
    <row r="145" spans="1:14" s="250" customFormat="1" ht="24" customHeight="1" x14ac:dyDescent="0.35">
      <c r="A145" s="247" t="s">
        <v>1237</v>
      </c>
      <c r="B145" s="248">
        <v>0</v>
      </c>
      <c r="C145" s="248">
        <v>0</v>
      </c>
      <c r="D145" s="248">
        <v>5145410</v>
      </c>
      <c r="E145" s="248">
        <v>0</v>
      </c>
      <c r="F145" s="248">
        <v>0</v>
      </c>
      <c r="G145" s="248">
        <v>0</v>
      </c>
      <c r="H145" s="248">
        <v>0</v>
      </c>
      <c r="I145" s="248">
        <v>0</v>
      </c>
      <c r="J145" s="248">
        <v>0</v>
      </c>
      <c r="K145" s="248">
        <v>0</v>
      </c>
      <c r="L145" s="248">
        <v>0</v>
      </c>
      <c r="M145" s="248">
        <v>0</v>
      </c>
      <c r="N145" s="249">
        <f t="shared" si="2"/>
        <v>5145410</v>
      </c>
    </row>
    <row r="146" spans="1:14" s="250" customFormat="1" ht="24" customHeight="1" x14ac:dyDescent="0.35">
      <c r="A146" s="247" t="s">
        <v>1238</v>
      </c>
      <c r="B146" s="248">
        <v>0</v>
      </c>
      <c r="C146" s="248">
        <v>0</v>
      </c>
      <c r="D146" s="248">
        <v>0</v>
      </c>
      <c r="E146" s="248">
        <v>0</v>
      </c>
      <c r="F146" s="248">
        <v>0</v>
      </c>
      <c r="G146" s="248">
        <v>0</v>
      </c>
      <c r="H146" s="248">
        <v>0</v>
      </c>
      <c r="I146" s="248">
        <v>6053400</v>
      </c>
      <c r="J146" s="248">
        <v>0</v>
      </c>
      <c r="K146" s="248">
        <v>0</v>
      </c>
      <c r="L146" s="248">
        <v>0</v>
      </c>
      <c r="M146" s="248">
        <v>0</v>
      </c>
      <c r="N146" s="249">
        <f t="shared" si="2"/>
        <v>6053400</v>
      </c>
    </row>
    <row r="147" spans="1:14" s="250" customFormat="1" ht="24" customHeight="1" x14ac:dyDescent="0.35">
      <c r="A147" s="247" t="s">
        <v>1239</v>
      </c>
      <c r="B147" s="248">
        <v>0</v>
      </c>
      <c r="C147" s="248">
        <v>0</v>
      </c>
      <c r="D147" s="248">
        <v>0</v>
      </c>
      <c r="E147" s="248">
        <v>4156466</v>
      </c>
      <c r="F147" s="248">
        <v>0</v>
      </c>
      <c r="G147" s="248">
        <v>0</v>
      </c>
      <c r="H147" s="248">
        <v>0</v>
      </c>
      <c r="I147" s="248">
        <v>0</v>
      </c>
      <c r="J147" s="248">
        <v>0</v>
      </c>
      <c r="K147" s="248">
        <v>0</v>
      </c>
      <c r="L147" s="248">
        <v>0</v>
      </c>
      <c r="M147" s="248">
        <v>0</v>
      </c>
      <c r="N147" s="249">
        <f t="shared" si="2"/>
        <v>4156466</v>
      </c>
    </row>
    <row r="148" spans="1:14" s="250" customFormat="1" ht="24" customHeight="1" thickBot="1" x14ac:dyDescent="0.4">
      <c r="A148" s="251" t="s">
        <v>1240</v>
      </c>
      <c r="B148" s="252">
        <v>0</v>
      </c>
      <c r="C148" s="252">
        <v>0</v>
      </c>
      <c r="D148" s="252">
        <v>3425638</v>
      </c>
      <c r="E148" s="252">
        <v>0</v>
      </c>
      <c r="F148" s="252">
        <v>0</v>
      </c>
      <c r="G148" s="252">
        <v>0</v>
      </c>
      <c r="H148" s="252">
        <v>0</v>
      </c>
      <c r="I148" s="252">
        <v>0</v>
      </c>
      <c r="J148" s="252">
        <v>0</v>
      </c>
      <c r="K148" s="252">
        <v>0</v>
      </c>
      <c r="L148" s="252">
        <v>0</v>
      </c>
      <c r="M148" s="252">
        <v>0</v>
      </c>
      <c r="N148" s="253">
        <f t="shared" si="2"/>
        <v>3425638</v>
      </c>
    </row>
    <row r="149" spans="1:14" x14ac:dyDescent="0.35">
      <c r="A149" s="70"/>
    </row>
    <row r="150" spans="1:14" x14ac:dyDescent="0.35">
      <c r="A150" s="70"/>
    </row>
    <row r="151" spans="1:14" x14ac:dyDescent="0.35">
      <c r="A151" s="70"/>
    </row>
    <row r="152" spans="1:14" x14ac:dyDescent="0.35">
      <c r="A152" s="70"/>
    </row>
    <row r="153" spans="1:14" x14ac:dyDescent="0.35">
      <c r="A153" s="70"/>
    </row>
    <row r="154" spans="1:14" x14ac:dyDescent="0.35">
      <c r="A154" s="70"/>
    </row>
    <row r="155" spans="1:14" ht="5" customHeight="1" thickBot="1" x14ac:dyDescent="0.4">
      <c r="A155" s="70"/>
    </row>
    <row r="156" spans="1:14" x14ac:dyDescent="0.35">
      <c r="A156" s="244" t="s">
        <v>1252</v>
      </c>
      <c r="B156" s="245" t="s">
        <v>1245</v>
      </c>
      <c r="C156" s="245" t="s">
        <v>1242</v>
      </c>
      <c r="D156" s="245" t="s">
        <v>1248</v>
      </c>
      <c r="E156" s="245" t="s">
        <v>1249</v>
      </c>
      <c r="F156" s="245" t="s">
        <v>1251</v>
      </c>
      <c r="G156" s="245" t="s">
        <v>1247</v>
      </c>
      <c r="H156" s="245" t="s">
        <v>1246</v>
      </c>
      <c r="I156" s="245" t="s">
        <v>1243</v>
      </c>
      <c r="J156" s="245" t="s">
        <v>1250</v>
      </c>
      <c r="K156" s="245" t="s">
        <v>1244</v>
      </c>
      <c r="L156" s="245" t="s">
        <v>1241</v>
      </c>
      <c r="M156" s="245" t="s">
        <v>1253</v>
      </c>
      <c r="N156" s="246" t="s">
        <v>6</v>
      </c>
    </row>
    <row r="157" spans="1:14" ht="31" customHeight="1" x14ac:dyDescent="0.35">
      <c r="A157" s="247" t="s">
        <v>1015</v>
      </c>
      <c r="B157" s="248" t="s">
        <v>1254</v>
      </c>
      <c r="C157" s="248" t="s">
        <v>1254</v>
      </c>
      <c r="D157" s="248" t="s">
        <v>1254</v>
      </c>
      <c r="E157" s="248" t="s">
        <v>1254</v>
      </c>
      <c r="F157" s="248" t="s">
        <v>1254</v>
      </c>
      <c r="G157" s="248" t="s">
        <v>1254</v>
      </c>
      <c r="H157" s="248" t="s">
        <v>1254</v>
      </c>
      <c r="I157" s="248" t="s">
        <v>1254</v>
      </c>
      <c r="J157" s="248" t="s">
        <v>1254</v>
      </c>
      <c r="K157" s="248" t="s">
        <v>1254</v>
      </c>
      <c r="L157" s="248">
        <v>3360636</v>
      </c>
      <c r="M157" s="248" t="s">
        <v>1254</v>
      </c>
      <c r="N157" s="249">
        <f>AVERAGE(B157:M157)</f>
        <v>3360636</v>
      </c>
    </row>
    <row r="158" spans="1:14" ht="31" customHeight="1" x14ac:dyDescent="0.35">
      <c r="A158" s="247" t="s">
        <v>1021</v>
      </c>
      <c r="B158" s="248">
        <v>4749903</v>
      </c>
      <c r="C158" s="248">
        <v>4355190</v>
      </c>
      <c r="D158" s="248">
        <v>3716856</v>
      </c>
      <c r="E158" s="248" t="s">
        <v>1254</v>
      </c>
      <c r="F158" s="248" t="s">
        <v>1254</v>
      </c>
      <c r="G158" s="248" t="s">
        <v>1254</v>
      </c>
      <c r="H158" s="248">
        <v>4491136</v>
      </c>
      <c r="I158" s="248">
        <v>5512404</v>
      </c>
      <c r="J158" s="248">
        <v>4719708</v>
      </c>
      <c r="K158" s="248">
        <v>3913763.6</v>
      </c>
      <c r="L158" s="248">
        <v>3332522.8</v>
      </c>
      <c r="M158" s="248" t="s">
        <v>1254</v>
      </c>
      <c r="N158" s="249">
        <f t="shared" ref="N158:N221" si="3">AVERAGE(B158:M158)</f>
        <v>4348935.4249999998</v>
      </c>
    </row>
    <row r="159" spans="1:14" ht="31" customHeight="1" x14ac:dyDescent="0.35">
      <c r="A159" s="247" t="s">
        <v>1029</v>
      </c>
      <c r="B159" s="248" t="s">
        <v>1254</v>
      </c>
      <c r="C159" s="248" t="s">
        <v>1254</v>
      </c>
      <c r="D159" s="248" t="s">
        <v>1254</v>
      </c>
      <c r="E159" s="248" t="s">
        <v>1254</v>
      </c>
      <c r="F159" s="248" t="s">
        <v>1254</v>
      </c>
      <c r="G159" s="248" t="s">
        <v>1254</v>
      </c>
      <c r="H159" s="248" t="s">
        <v>1254</v>
      </c>
      <c r="I159" s="248" t="s">
        <v>1254</v>
      </c>
      <c r="J159" s="248" t="s">
        <v>1254</v>
      </c>
      <c r="K159" s="248">
        <v>3566605</v>
      </c>
      <c r="L159" s="248" t="s">
        <v>1254</v>
      </c>
      <c r="M159" s="248" t="s">
        <v>1254</v>
      </c>
      <c r="N159" s="249">
        <f t="shared" si="3"/>
        <v>3566605</v>
      </c>
    </row>
    <row r="160" spans="1:14" ht="31" customHeight="1" x14ac:dyDescent="0.35">
      <c r="A160" s="247" t="s">
        <v>1045</v>
      </c>
      <c r="B160" s="248" t="s">
        <v>1254</v>
      </c>
      <c r="C160" s="248" t="s">
        <v>1254</v>
      </c>
      <c r="D160" s="248" t="s">
        <v>1254</v>
      </c>
      <c r="E160" s="248" t="s">
        <v>1254</v>
      </c>
      <c r="F160" s="248" t="s">
        <v>1254</v>
      </c>
      <c r="G160" s="248">
        <v>828548</v>
      </c>
      <c r="H160" s="248" t="s">
        <v>1254</v>
      </c>
      <c r="I160" s="248" t="s">
        <v>1254</v>
      </c>
      <c r="J160" s="248" t="s">
        <v>1254</v>
      </c>
      <c r="K160" s="248" t="s">
        <v>1254</v>
      </c>
      <c r="L160" s="248" t="s">
        <v>1254</v>
      </c>
      <c r="M160" s="248" t="s">
        <v>1254</v>
      </c>
      <c r="N160" s="249">
        <f t="shared" si="3"/>
        <v>828548</v>
      </c>
    </row>
    <row r="161" spans="1:14" ht="31" customHeight="1" x14ac:dyDescent="0.35">
      <c r="A161" s="247" t="s">
        <v>1049</v>
      </c>
      <c r="B161" s="248" t="s">
        <v>1254</v>
      </c>
      <c r="C161" s="248" t="s">
        <v>1254</v>
      </c>
      <c r="D161" s="248" t="s">
        <v>1254</v>
      </c>
      <c r="E161" s="248" t="s">
        <v>1254</v>
      </c>
      <c r="F161" s="248" t="s">
        <v>1254</v>
      </c>
      <c r="G161" s="248" t="s">
        <v>1254</v>
      </c>
      <c r="H161" s="248" t="s">
        <v>1254</v>
      </c>
      <c r="I161" s="248" t="s">
        <v>1254</v>
      </c>
      <c r="J161" s="248" t="s">
        <v>1254</v>
      </c>
      <c r="K161" s="248" t="s">
        <v>1254</v>
      </c>
      <c r="L161" s="248">
        <v>3443532</v>
      </c>
      <c r="M161" s="248" t="s">
        <v>1254</v>
      </c>
      <c r="N161" s="249">
        <f t="shared" si="3"/>
        <v>3443532</v>
      </c>
    </row>
    <row r="162" spans="1:14" ht="31" customHeight="1" x14ac:dyDescent="0.35">
      <c r="A162" s="247" t="s">
        <v>1051</v>
      </c>
      <c r="B162" s="248" t="s">
        <v>1254</v>
      </c>
      <c r="C162" s="248" t="s">
        <v>1254</v>
      </c>
      <c r="D162" s="248">
        <v>3577658</v>
      </c>
      <c r="E162" s="248" t="s">
        <v>1254</v>
      </c>
      <c r="F162" s="248" t="s">
        <v>1254</v>
      </c>
      <c r="G162" s="248" t="s">
        <v>1254</v>
      </c>
      <c r="H162" s="248" t="s">
        <v>1254</v>
      </c>
      <c r="I162" s="248" t="s">
        <v>1254</v>
      </c>
      <c r="J162" s="248" t="s">
        <v>1254</v>
      </c>
      <c r="K162" s="248" t="s">
        <v>1254</v>
      </c>
      <c r="L162" s="248" t="s">
        <v>1254</v>
      </c>
      <c r="M162" s="248" t="s">
        <v>1254</v>
      </c>
      <c r="N162" s="249">
        <f t="shared" si="3"/>
        <v>3577658</v>
      </c>
    </row>
    <row r="163" spans="1:14" ht="31" customHeight="1" x14ac:dyDescent="0.35">
      <c r="A163" s="247" t="s">
        <v>1053</v>
      </c>
      <c r="B163" s="248" t="s">
        <v>1254</v>
      </c>
      <c r="C163" s="248" t="s">
        <v>1254</v>
      </c>
      <c r="D163" s="248" t="s">
        <v>1254</v>
      </c>
      <c r="E163" s="248" t="s">
        <v>1254</v>
      </c>
      <c r="F163" s="248" t="s">
        <v>1254</v>
      </c>
      <c r="G163" s="248" t="s">
        <v>1254</v>
      </c>
      <c r="H163" s="248">
        <v>1276242</v>
      </c>
      <c r="I163" s="248" t="s">
        <v>1254</v>
      </c>
      <c r="J163" s="248" t="s">
        <v>1254</v>
      </c>
      <c r="K163" s="248" t="s">
        <v>1254</v>
      </c>
      <c r="L163" s="248" t="s">
        <v>1254</v>
      </c>
      <c r="M163" s="248" t="s">
        <v>1254</v>
      </c>
      <c r="N163" s="249">
        <f t="shared" si="3"/>
        <v>1276242</v>
      </c>
    </row>
    <row r="164" spans="1:14" ht="31" customHeight="1" x14ac:dyDescent="0.35">
      <c r="A164" s="247" t="s">
        <v>1062</v>
      </c>
      <c r="B164" s="248" t="s">
        <v>1254</v>
      </c>
      <c r="C164" s="248" t="s">
        <v>1254</v>
      </c>
      <c r="D164" s="248" t="s">
        <v>1254</v>
      </c>
      <c r="E164" s="248" t="s">
        <v>1254</v>
      </c>
      <c r="F164" s="248" t="s">
        <v>1254</v>
      </c>
      <c r="G164" s="248" t="s">
        <v>1254</v>
      </c>
      <c r="H164" s="248" t="s">
        <v>1254</v>
      </c>
      <c r="I164" s="248" t="s">
        <v>1254</v>
      </c>
      <c r="J164" s="248" t="s">
        <v>1254</v>
      </c>
      <c r="K164" s="248">
        <v>4510462</v>
      </c>
      <c r="L164" s="248" t="s">
        <v>1254</v>
      </c>
      <c r="M164" s="248" t="s">
        <v>1254</v>
      </c>
      <c r="N164" s="249">
        <f t="shared" si="3"/>
        <v>4510462</v>
      </c>
    </row>
    <row r="165" spans="1:14" ht="31" customHeight="1" x14ac:dyDescent="0.35">
      <c r="A165" s="247" t="s">
        <v>1065</v>
      </c>
      <c r="B165" s="248" t="s">
        <v>1254</v>
      </c>
      <c r="C165" s="248" t="s">
        <v>1254</v>
      </c>
      <c r="D165" s="248" t="s">
        <v>1254</v>
      </c>
      <c r="E165" s="248">
        <v>5389631</v>
      </c>
      <c r="F165" s="248" t="s">
        <v>1254</v>
      </c>
      <c r="G165" s="248" t="s">
        <v>1254</v>
      </c>
      <c r="H165" s="248" t="s">
        <v>1254</v>
      </c>
      <c r="I165" s="248" t="s">
        <v>1254</v>
      </c>
      <c r="J165" s="248" t="s">
        <v>1254</v>
      </c>
      <c r="K165" s="248" t="s">
        <v>1254</v>
      </c>
      <c r="L165" s="248" t="s">
        <v>1254</v>
      </c>
      <c r="M165" s="248" t="s">
        <v>1254</v>
      </c>
      <c r="N165" s="249">
        <f t="shared" si="3"/>
        <v>5389631</v>
      </c>
    </row>
    <row r="166" spans="1:14" ht="31" customHeight="1" x14ac:dyDescent="0.35">
      <c r="A166" s="247" t="s">
        <v>1074</v>
      </c>
      <c r="B166" s="248" t="s">
        <v>1254</v>
      </c>
      <c r="C166" s="248" t="s">
        <v>1254</v>
      </c>
      <c r="D166" s="248" t="s">
        <v>1254</v>
      </c>
      <c r="E166" s="248" t="s">
        <v>1254</v>
      </c>
      <c r="F166" s="248" t="s">
        <v>1254</v>
      </c>
      <c r="G166" s="248" t="s">
        <v>1254</v>
      </c>
      <c r="H166" s="248" t="s">
        <v>1254</v>
      </c>
      <c r="I166" s="248">
        <v>3469540</v>
      </c>
      <c r="J166" s="248" t="s">
        <v>1254</v>
      </c>
      <c r="K166" s="248" t="s">
        <v>1254</v>
      </c>
      <c r="L166" s="248" t="s">
        <v>1254</v>
      </c>
      <c r="M166" s="248" t="s">
        <v>1254</v>
      </c>
      <c r="N166" s="249">
        <f t="shared" si="3"/>
        <v>3469540</v>
      </c>
    </row>
    <row r="167" spans="1:14" ht="31" customHeight="1" x14ac:dyDescent="0.35">
      <c r="A167" s="247" t="s">
        <v>1076</v>
      </c>
      <c r="B167" s="248" t="s">
        <v>1254</v>
      </c>
      <c r="C167" s="248" t="s">
        <v>1254</v>
      </c>
      <c r="D167" s="248" t="s">
        <v>1254</v>
      </c>
      <c r="E167" s="248" t="s">
        <v>1254</v>
      </c>
      <c r="F167" s="248" t="s">
        <v>1254</v>
      </c>
      <c r="G167" s="248" t="s">
        <v>1254</v>
      </c>
      <c r="H167" s="248" t="s">
        <v>1254</v>
      </c>
      <c r="I167" s="248" t="s">
        <v>1254</v>
      </c>
      <c r="J167" s="248" t="s">
        <v>1254</v>
      </c>
      <c r="K167" s="248" t="s">
        <v>1254</v>
      </c>
      <c r="L167" s="248">
        <v>1809280</v>
      </c>
      <c r="M167" s="248" t="s">
        <v>1254</v>
      </c>
      <c r="N167" s="249">
        <f t="shared" si="3"/>
        <v>1809280</v>
      </c>
    </row>
    <row r="168" spans="1:14" ht="31" customHeight="1" x14ac:dyDescent="0.35">
      <c r="A168" s="247" t="s">
        <v>1080</v>
      </c>
      <c r="B168" s="248">
        <v>6042924.75</v>
      </c>
      <c r="C168" s="248" t="s">
        <v>1254</v>
      </c>
      <c r="D168" s="248">
        <v>8821338</v>
      </c>
      <c r="E168" s="248">
        <v>3128664.3333333335</v>
      </c>
      <c r="F168" s="248">
        <v>6083964</v>
      </c>
      <c r="G168" s="248">
        <v>5381324.5</v>
      </c>
      <c r="H168" s="248">
        <v>4605916</v>
      </c>
      <c r="I168" s="248">
        <v>5019516.2</v>
      </c>
      <c r="J168" s="248">
        <v>2589399</v>
      </c>
      <c r="K168" s="248">
        <v>3006453</v>
      </c>
      <c r="L168" s="248">
        <v>3845365.3333333335</v>
      </c>
      <c r="M168" s="248" t="s">
        <v>1254</v>
      </c>
      <c r="N168" s="249">
        <f t="shared" si="3"/>
        <v>4852486.5116666667</v>
      </c>
    </row>
    <row r="169" spans="1:14" ht="31" customHeight="1" x14ac:dyDescent="0.35">
      <c r="A169" s="247" t="s">
        <v>1096</v>
      </c>
      <c r="B169" s="248" t="s">
        <v>1254</v>
      </c>
      <c r="C169" s="248" t="s">
        <v>1254</v>
      </c>
      <c r="D169" s="248" t="s">
        <v>1254</v>
      </c>
      <c r="E169" s="248" t="s">
        <v>1254</v>
      </c>
      <c r="F169" s="248">
        <v>3735570</v>
      </c>
      <c r="G169" s="248" t="s">
        <v>1254</v>
      </c>
      <c r="H169" s="248" t="s">
        <v>1254</v>
      </c>
      <c r="I169" s="248" t="s">
        <v>1254</v>
      </c>
      <c r="J169" s="248" t="s">
        <v>1254</v>
      </c>
      <c r="K169" s="248" t="s">
        <v>1254</v>
      </c>
      <c r="L169" s="248" t="s">
        <v>1254</v>
      </c>
      <c r="M169" s="248" t="s">
        <v>1254</v>
      </c>
      <c r="N169" s="249">
        <f t="shared" si="3"/>
        <v>3735570</v>
      </c>
    </row>
    <row r="170" spans="1:14" ht="31" customHeight="1" x14ac:dyDescent="0.35">
      <c r="A170" s="247" t="s">
        <v>1102</v>
      </c>
      <c r="B170" s="248" t="s">
        <v>1254</v>
      </c>
      <c r="C170" s="248" t="s">
        <v>1254</v>
      </c>
      <c r="D170" s="248" t="s">
        <v>1254</v>
      </c>
      <c r="E170" s="248" t="s">
        <v>1254</v>
      </c>
      <c r="F170" s="248" t="s">
        <v>1254</v>
      </c>
      <c r="G170" s="248" t="s">
        <v>1254</v>
      </c>
      <c r="H170" s="248" t="s">
        <v>1254</v>
      </c>
      <c r="I170" s="248" t="s">
        <v>1254</v>
      </c>
      <c r="J170" s="248">
        <v>3619671</v>
      </c>
      <c r="K170" s="248" t="s">
        <v>1254</v>
      </c>
      <c r="L170" s="248" t="s">
        <v>1254</v>
      </c>
      <c r="M170" s="248" t="s">
        <v>1254</v>
      </c>
      <c r="N170" s="249">
        <f t="shared" si="3"/>
        <v>3619671</v>
      </c>
    </row>
    <row r="171" spans="1:14" ht="31" customHeight="1" x14ac:dyDescent="0.35">
      <c r="A171" s="247" t="s">
        <v>1103</v>
      </c>
      <c r="B171" s="248" t="s">
        <v>1254</v>
      </c>
      <c r="C171" s="248" t="s">
        <v>1254</v>
      </c>
      <c r="D171" s="248" t="s">
        <v>1254</v>
      </c>
      <c r="E171" s="248" t="s">
        <v>1254</v>
      </c>
      <c r="F171" s="248" t="s">
        <v>1254</v>
      </c>
      <c r="G171" s="248" t="s">
        <v>1254</v>
      </c>
      <c r="H171" s="248" t="s">
        <v>1254</v>
      </c>
      <c r="I171" s="248" t="s">
        <v>1254</v>
      </c>
      <c r="J171" s="248" t="s">
        <v>1254</v>
      </c>
      <c r="K171" s="248" t="s">
        <v>1254</v>
      </c>
      <c r="L171" s="248">
        <v>1189524</v>
      </c>
      <c r="M171" s="248" t="s">
        <v>1254</v>
      </c>
      <c r="N171" s="249">
        <f t="shared" si="3"/>
        <v>1189524</v>
      </c>
    </row>
    <row r="172" spans="1:14" ht="31" customHeight="1" x14ac:dyDescent="0.35">
      <c r="A172" s="247" t="s">
        <v>1105</v>
      </c>
      <c r="B172" s="248" t="s">
        <v>1254</v>
      </c>
      <c r="C172" s="248" t="s">
        <v>1254</v>
      </c>
      <c r="D172" s="248" t="s">
        <v>1254</v>
      </c>
      <c r="E172" s="248">
        <v>4936932</v>
      </c>
      <c r="F172" s="248" t="s">
        <v>1254</v>
      </c>
      <c r="G172" s="248" t="s">
        <v>1254</v>
      </c>
      <c r="H172" s="248" t="s">
        <v>1254</v>
      </c>
      <c r="I172" s="248" t="s">
        <v>1254</v>
      </c>
      <c r="J172" s="248" t="s">
        <v>1254</v>
      </c>
      <c r="K172" s="248" t="s">
        <v>1254</v>
      </c>
      <c r="L172" s="248" t="s">
        <v>1254</v>
      </c>
      <c r="M172" s="248" t="s">
        <v>1254</v>
      </c>
      <c r="N172" s="249">
        <f t="shared" si="3"/>
        <v>4936932</v>
      </c>
    </row>
    <row r="173" spans="1:14" ht="31" customHeight="1" x14ac:dyDescent="0.35">
      <c r="A173" s="247" t="s">
        <v>1106</v>
      </c>
      <c r="B173" s="248" t="s">
        <v>1254</v>
      </c>
      <c r="C173" s="248">
        <v>6858152</v>
      </c>
      <c r="D173" s="248" t="s">
        <v>1254</v>
      </c>
      <c r="E173" s="248" t="s">
        <v>1254</v>
      </c>
      <c r="F173" s="248" t="s">
        <v>1254</v>
      </c>
      <c r="G173" s="248" t="s">
        <v>1254</v>
      </c>
      <c r="H173" s="248" t="s">
        <v>1254</v>
      </c>
      <c r="I173" s="248" t="s">
        <v>1254</v>
      </c>
      <c r="J173" s="248" t="s">
        <v>1254</v>
      </c>
      <c r="K173" s="248" t="s">
        <v>1254</v>
      </c>
      <c r="L173" s="248" t="s">
        <v>1254</v>
      </c>
      <c r="M173" s="248" t="s">
        <v>1254</v>
      </c>
      <c r="N173" s="249">
        <f t="shared" si="3"/>
        <v>6858152</v>
      </c>
    </row>
    <row r="174" spans="1:14" ht="31" customHeight="1" x14ac:dyDescent="0.35">
      <c r="A174" s="247" t="s">
        <v>1107</v>
      </c>
      <c r="B174" s="248" t="s">
        <v>1254</v>
      </c>
      <c r="C174" s="248" t="s">
        <v>1254</v>
      </c>
      <c r="D174" s="248" t="s">
        <v>1254</v>
      </c>
      <c r="E174" s="248" t="s">
        <v>1254</v>
      </c>
      <c r="F174" s="248" t="s">
        <v>1254</v>
      </c>
      <c r="G174" s="248" t="s">
        <v>1254</v>
      </c>
      <c r="H174" s="248" t="s">
        <v>1254</v>
      </c>
      <c r="I174" s="248" t="s">
        <v>1254</v>
      </c>
      <c r="J174" s="248" t="s">
        <v>1254</v>
      </c>
      <c r="K174" s="248">
        <v>4431556</v>
      </c>
      <c r="L174" s="248" t="s">
        <v>1254</v>
      </c>
      <c r="M174" s="248" t="s">
        <v>1254</v>
      </c>
      <c r="N174" s="249">
        <f t="shared" si="3"/>
        <v>4431556</v>
      </c>
    </row>
    <row r="175" spans="1:14" ht="31" customHeight="1" x14ac:dyDescent="0.35">
      <c r="A175" s="247" t="s">
        <v>1109</v>
      </c>
      <c r="B175" s="248" t="s">
        <v>1254</v>
      </c>
      <c r="C175" s="248" t="s">
        <v>1254</v>
      </c>
      <c r="D175" s="248" t="s">
        <v>1254</v>
      </c>
      <c r="E175" s="248" t="s">
        <v>1254</v>
      </c>
      <c r="F175" s="248" t="s">
        <v>1254</v>
      </c>
      <c r="G175" s="248" t="s">
        <v>1254</v>
      </c>
      <c r="H175" s="248" t="s">
        <v>1254</v>
      </c>
      <c r="I175" s="248" t="s">
        <v>1254</v>
      </c>
      <c r="J175" s="248" t="s">
        <v>1254</v>
      </c>
      <c r="K175" s="248" t="s">
        <v>1254</v>
      </c>
      <c r="L175" s="248">
        <v>5987340</v>
      </c>
      <c r="M175" s="248" t="s">
        <v>1254</v>
      </c>
      <c r="N175" s="249">
        <f t="shared" si="3"/>
        <v>5987340</v>
      </c>
    </row>
    <row r="176" spans="1:14" ht="31" customHeight="1" x14ac:dyDescent="0.35">
      <c r="A176" s="247" t="s">
        <v>1110</v>
      </c>
      <c r="B176" s="248" t="s">
        <v>1254</v>
      </c>
      <c r="C176" s="248" t="s">
        <v>1254</v>
      </c>
      <c r="D176" s="248">
        <v>3440310</v>
      </c>
      <c r="E176" s="248" t="s">
        <v>1254</v>
      </c>
      <c r="F176" s="248" t="s">
        <v>1254</v>
      </c>
      <c r="G176" s="248" t="s">
        <v>1254</v>
      </c>
      <c r="H176" s="248" t="s">
        <v>1254</v>
      </c>
      <c r="I176" s="248" t="s">
        <v>1254</v>
      </c>
      <c r="J176" s="248" t="s">
        <v>1254</v>
      </c>
      <c r="K176" s="248" t="s">
        <v>1254</v>
      </c>
      <c r="L176" s="248" t="s">
        <v>1254</v>
      </c>
      <c r="M176" s="248" t="s">
        <v>1254</v>
      </c>
      <c r="N176" s="249">
        <f t="shared" si="3"/>
        <v>3440310</v>
      </c>
    </row>
    <row r="177" spans="1:14" ht="31" customHeight="1" x14ac:dyDescent="0.35">
      <c r="A177" s="247" t="s">
        <v>1111</v>
      </c>
      <c r="B177" s="248" t="s">
        <v>1254</v>
      </c>
      <c r="C177" s="248" t="s">
        <v>1254</v>
      </c>
      <c r="D177" s="248" t="s">
        <v>1254</v>
      </c>
      <c r="E177" s="248" t="s">
        <v>1254</v>
      </c>
      <c r="F177" s="248">
        <v>3300091</v>
      </c>
      <c r="G177" s="248" t="s">
        <v>1254</v>
      </c>
      <c r="H177" s="248" t="s">
        <v>1254</v>
      </c>
      <c r="I177" s="248" t="s">
        <v>1254</v>
      </c>
      <c r="J177" s="248" t="s">
        <v>1254</v>
      </c>
      <c r="K177" s="248" t="s">
        <v>1254</v>
      </c>
      <c r="L177" s="248" t="s">
        <v>1254</v>
      </c>
      <c r="M177" s="248" t="s">
        <v>1254</v>
      </c>
      <c r="N177" s="249">
        <f t="shared" si="3"/>
        <v>3300091</v>
      </c>
    </row>
    <row r="178" spans="1:14" ht="31" customHeight="1" x14ac:dyDescent="0.35">
      <c r="A178" s="247" t="s">
        <v>1112</v>
      </c>
      <c r="B178" s="248" t="s">
        <v>1254</v>
      </c>
      <c r="C178" s="248" t="s">
        <v>1254</v>
      </c>
      <c r="D178" s="248" t="s">
        <v>1254</v>
      </c>
      <c r="E178" s="248" t="s">
        <v>1254</v>
      </c>
      <c r="F178" s="248" t="s">
        <v>1254</v>
      </c>
      <c r="G178" s="248" t="s">
        <v>1254</v>
      </c>
      <c r="H178" s="248" t="s">
        <v>1254</v>
      </c>
      <c r="I178" s="248">
        <v>1852065</v>
      </c>
      <c r="J178" s="248" t="s">
        <v>1254</v>
      </c>
      <c r="K178" s="248" t="s">
        <v>1254</v>
      </c>
      <c r="L178" s="248" t="s">
        <v>1254</v>
      </c>
      <c r="M178" s="248" t="s">
        <v>1254</v>
      </c>
      <c r="N178" s="249">
        <f t="shared" si="3"/>
        <v>1852065</v>
      </c>
    </row>
    <row r="179" spans="1:14" ht="31" customHeight="1" x14ac:dyDescent="0.35">
      <c r="A179" s="247" t="s">
        <v>1113</v>
      </c>
      <c r="B179" s="248" t="s">
        <v>1254</v>
      </c>
      <c r="C179" s="248" t="s">
        <v>1254</v>
      </c>
      <c r="D179" s="248" t="s">
        <v>1254</v>
      </c>
      <c r="E179" s="248" t="s">
        <v>1254</v>
      </c>
      <c r="F179" s="248" t="s">
        <v>1254</v>
      </c>
      <c r="G179" s="248">
        <v>7541264</v>
      </c>
      <c r="H179" s="248" t="s">
        <v>1254</v>
      </c>
      <c r="I179" s="248" t="s">
        <v>1254</v>
      </c>
      <c r="J179" s="248" t="s">
        <v>1254</v>
      </c>
      <c r="K179" s="248" t="s">
        <v>1254</v>
      </c>
      <c r="L179" s="248" t="s">
        <v>1254</v>
      </c>
      <c r="M179" s="248" t="s">
        <v>1254</v>
      </c>
      <c r="N179" s="249">
        <f t="shared" si="3"/>
        <v>7541264</v>
      </c>
    </row>
    <row r="180" spans="1:14" ht="31" customHeight="1" x14ac:dyDescent="0.35">
      <c r="A180" s="247" t="s">
        <v>1114</v>
      </c>
      <c r="B180" s="248" t="s">
        <v>1254</v>
      </c>
      <c r="C180" s="248" t="s">
        <v>1254</v>
      </c>
      <c r="D180" s="248" t="s">
        <v>1254</v>
      </c>
      <c r="E180" s="248" t="s">
        <v>1254</v>
      </c>
      <c r="F180" s="248">
        <v>3584988</v>
      </c>
      <c r="G180" s="248" t="s">
        <v>1254</v>
      </c>
      <c r="H180" s="248" t="s">
        <v>1254</v>
      </c>
      <c r="I180" s="248" t="s">
        <v>1254</v>
      </c>
      <c r="J180" s="248" t="s">
        <v>1254</v>
      </c>
      <c r="K180" s="248" t="s">
        <v>1254</v>
      </c>
      <c r="L180" s="248" t="s">
        <v>1254</v>
      </c>
      <c r="M180" s="248" t="s">
        <v>1254</v>
      </c>
      <c r="N180" s="249">
        <f t="shared" si="3"/>
        <v>3584988</v>
      </c>
    </row>
    <row r="181" spans="1:14" ht="31" customHeight="1" x14ac:dyDescent="0.35">
      <c r="A181" s="247" t="s">
        <v>1115</v>
      </c>
      <c r="B181" s="248" t="s">
        <v>1254</v>
      </c>
      <c r="C181" s="248" t="s">
        <v>1254</v>
      </c>
      <c r="D181" s="248" t="s">
        <v>1254</v>
      </c>
      <c r="E181" s="248" t="s">
        <v>1254</v>
      </c>
      <c r="F181" s="248" t="s">
        <v>1254</v>
      </c>
      <c r="G181" s="248" t="s">
        <v>1254</v>
      </c>
      <c r="H181" s="248">
        <v>3786588</v>
      </c>
      <c r="I181" s="248" t="s">
        <v>1254</v>
      </c>
      <c r="J181" s="248" t="s">
        <v>1254</v>
      </c>
      <c r="K181" s="248" t="s">
        <v>1254</v>
      </c>
      <c r="L181" s="248" t="s">
        <v>1254</v>
      </c>
      <c r="M181" s="248" t="s">
        <v>1254</v>
      </c>
      <c r="N181" s="249">
        <f t="shared" si="3"/>
        <v>3786588</v>
      </c>
    </row>
    <row r="182" spans="1:14" ht="31" customHeight="1" x14ac:dyDescent="0.35">
      <c r="A182" s="247" t="s">
        <v>1116</v>
      </c>
      <c r="B182" s="248">
        <v>3102610</v>
      </c>
      <c r="C182" s="248" t="s">
        <v>1254</v>
      </c>
      <c r="D182" s="248" t="s">
        <v>1254</v>
      </c>
      <c r="E182" s="248" t="s">
        <v>1254</v>
      </c>
      <c r="F182" s="248" t="s">
        <v>1254</v>
      </c>
      <c r="G182" s="248" t="s">
        <v>1254</v>
      </c>
      <c r="H182" s="248" t="s">
        <v>1254</v>
      </c>
      <c r="I182" s="248" t="s">
        <v>1254</v>
      </c>
      <c r="J182" s="248" t="s">
        <v>1254</v>
      </c>
      <c r="K182" s="248" t="s">
        <v>1254</v>
      </c>
      <c r="L182" s="248" t="s">
        <v>1254</v>
      </c>
      <c r="M182" s="248" t="s">
        <v>1254</v>
      </c>
      <c r="N182" s="249">
        <f t="shared" si="3"/>
        <v>3102610</v>
      </c>
    </row>
    <row r="183" spans="1:14" ht="31" customHeight="1" x14ac:dyDescent="0.35">
      <c r="A183" s="247" t="s">
        <v>1117</v>
      </c>
      <c r="B183" s="248" t="s">
        <v>1254</v>
      </c>
      <c r="C183" s="248" t="s">
        <v>1254</v>
      </c>
      <c r="D183" s="248" t="s">
        <v>1254</v>
      </c>
      <c r="E183" s="248">
        <v>1091128</v>
      </c>
      <c r="F183" s="248" t="s">
        <v>1254</v>
      </c>
      <c r="G183" s="248" t="s">
        <v>1254</v>
      </c>
      <c r="H183" s="248" t="s">
        <v>1254</v>
      </c>
      <c r="I183" s="248" t="s">
        <v>1254</v>
      </c>
      <c r="J183" s="248" t="s">
        <v>1254</v>
      </c>
      <c r="K183" s="248" t="s">
        <v>1254</v>
      </c>
      <c r="L183" s="248" t="s">
        <v>1254</v>
      </c>
      <c r="M183" s="248" t="s">
        <v>1254</v>
      </c>
      <c r="N183" s="249">
        <f t="shared" si="3"/>
        <v>1091128</v>
      </c>
    </row>
    <row r="184" spans="1:14" ht="31" customHeight="1" x14ac:dyDescent="0.35">
      <c r="A184" s="247" t="s">
        <v>1120</v>
      </c>
      <c r="B184" s="248" t="s">
        <v>1254</v>
      </c>
      <c r="C184" s="248" t="s">
        <v>1254</v>
      </c>
      <c r="D184" s="248" t="s">
        <v>1254</v>
      </c>
      <c r="E184" s="248" t="s">
        <v>1254</v>
      </c>
      <c r="F184" s="248" t="s">
        <v>1254</v>
      </c>
      <c r="G184" s="248" t="s">
        <v>1254</v>
      </c>
      <c r="H184" s="248" t="s">
        <v>1254</v>
      </c>
      <c r="I184" s="248" t="s">
        <v>1254</v>
      </c>
      <c r="J184" s="248">
        <v>3751820</v>
      </c>
      <c r="K184" s="248" t="s">
        <v>1254</v>
      </c>
      <c r="L184" s="248" t="s">
        <v>1254</v>
      </c>
      <c r="M184" s="248" t="s">
        <v>1254</v>
      </c>
      <c r="N184" s="249">
        <f t="shared" si="3"/>
        <v>3751820</v>
      </c>
    </row>
    <row r="185" spans="1:14" ht="31" customHeight="1" x14ac:dyDescent="0.35">
      <c r="A185" s="247" t="s">
        <v>1121</v>
      </c>
      <c r="B185" s="248" t="s">
        <v>1254</v>
      </c>
      <c r="C185" s="248" t="s">
        <v>1254</v>
      </c>
      <c r="D185" s="248" t="s">
        <v>1254</v>
      </c>
      <c r="E185" s="248" t="s">
        <v>1254</v>
      </c>
      <c r="F185" s="248" t="s">
        <v>1254</v>
      </c>
      <c r="G185" s="248" t="s">
        <v>1254</v>
      </c>
      <c r="H185" s="248" t="s">
        <v>1254</v>
      </c>
      <c r="I185" s="248" t="s">
        <v>1254</v>
      </c>
      <c r="J185" s="248" t="s">
        <v>1254</v>
      </c>
      <c r="K185" s="248">
        <v>4207275</v>
      </c>
      <c r="L185" s="248" t="s">
        <v>1254</v>
      </c>
      <c r="M185" s="248" t="s">
        <v>1254</v>
      </c>
      <c r="N185" s="249">
        <f t="shared" si="3"/>
        <v>4207275</v>
      </c>
    </row>
    <row r="186" spans="1:14" ht="31" customHeight="1" x14ac:dyDescent="0.35">
      <c r="A186" s="247" t="s">
        <v>1122</v>
      </c>
      <c r="B186" s="248" t="s">
        <v>1254</v>
      </c>
      <c r="C186" s="248">
        <v>7123368</v>
      </c>
      <c r="D186" s="248" t="s">
        <v>1254</v>
      </c>
      <c r="E186" s="248" t="s">
        <v>1254</v>
      </c>
      <c r="F186" s="248" t="s">
        <v>1254</v>
      </c>
      <c r="G186" s="248" t="s">
        <v>1254</v>
      </c>
      <c r="H186" s="248" t="s">
        <v>1254</v>
      </c>
      <c r="I186" s="248" t="s">
        <v>1254</v>
      </c>
      <c r="J186" s="248" t="s">
        <v>1254</v>
      </c>
      <c r="K186" s="248" t="s">
        <v>1254</v>
      </c>
      <c r="L186" s="248" t="s">
        <v>1254</v>
      </c>
      <c r="M186" s="248" t="s">
        <v>1254</v>
      </c>
      <c r="N186" s="249">
        <f t="shared" si="3"/>
        <v>7123368</v>
      </c>
    </row>
    <row r="187" spans="1:14" ht="31" customHeight="1" x14ac:dyDescent="0.35">
      <c r="A187" s="247" t="s">
        <v>1123</v>
      </c>
      <c r="B187" s="248" t="s">
        <v>1254</v>
      </c>
      <c r="C187" s="248" t="s">
        <v>1254</v>
      </c>
      <c r="D187" s="248">
        <v>3196629</v>
      </c>
      <c r="E187" s="248" t="s">
        <v>1254</v>
      </c>
      <c r="F187" s="248" t="s">
        <v>1254</v>
      </c>
      <c r="G187" s="248" t="s">
        <v>1254</v>
      </c>
      <c r="H187" s="248" t="s">
        <v>1254</v>
      </c>
      <c r="I187" s="248" t="s">
        <v>1254</v>
      </c>
      <c r="J187" s="248" t="s">
        <v>1254</v>
      </c>
      <c r="K187" s="248" t="s">
        <v>1254</v>
      </c>
      <c r="L187" s="248" t="s">
        <v>1254</v>
      </c>
      <c r="M187" s="248" t="s">
        <v>1254</v>
      </c>
      <c r="N187" s="249">
        <f t="shared" si="3"/>
        <v>3196629</v>
      </c>
    </row>
    <row r="188" spans="1:14" ht="31" customHeight="1" x14ac:dyDescent="0.35">
      <c r="A188" s="247" t="s">
        <v>1124</v>
      </c>
      <c r="B188" s="248" t="s">
        <v>1254</v>
      </c>
      <c r="C188" s="248" t="s">
        <v>1254</v>
      </c>
      <c r="D188" s="248" t="s">
        <v>1254</v>
      </c>
      <c r="E188" s="248" t="s">
        <v>1254</v>
      </c>
      <c r="F188" s="248">
        <v>2857995</v>
      </c>
      <c r="G188" s="248" t="s">
        <v>1254</v>
      </c>
      <c r="H188" s="248" t="s">
        <v>1254</v>
      </c>
      <c r="I188" s="248" t="s">
        <v>1254</v>
      </c>
      <c r="J188" s="248" t="s">
        <v>1254</v>
      </c>
      <c r="K188" s="248" t="s">
        <v>1254</v>
      </c>
      <c r="L188" s="248" t="s">
        <v>1254</v>
      </c>
      <c r="M188" s="248" t="s">
        <v>1254</v>
      </c>
      <c r="N188" s="249">
        <f t="shared" si="3"/>
        <v>2857995</v>
      </c>
    </row>
    <row r="189" spans="1:14" ht="31" customHeight="1" x14ac:dyDescent="0.35">
      <c r="A189" s="247" t="s">
        <v>1125</v>
      </c>
      <c r="B189" s="248" t="s">
        <v>1254</v>
      </c>
      <c r="C189" s="248" t="s">
        <v>1254</v>
      </c>
      <c r="D189" s="248" t="s">
        <v>1254</v>
      </c>
      <c r="E189" s="248" t="s">
        <v>1254</v>
      </c>
      <c r="F189" s="248" t="s">
        <v>1254</v>
      </c>
      <c r="G189" s="248" t="s">
        <v>1254</v>
      </c>
      <c r="H189" s="248" t="s">
        <v>1254</v>
      </c>
      <c r="I189" s="248" t="s">
        <v>1254</v>
      </c>
      <c r="J189" s="248">
        <v>1134440</v>
      </c>
      <c r="K189" s="248" t="s">
        <v>1254</v>
      </c>
      <c r="L189" s="248" t="s">
        <v>1254</v>
      </c>
      <c r="M189" s="248" t="s">
        <v>1254</v>
      </c>
      <c r="N189" s="249">
        <f t="shared" si="3"/>
        <v>1134440</v>
      </c>
    </row>
    <row r="190" spans="1:14" ht="31" customHeight="1" x14ac:dyDescent="0.35">
      <c r="A190" s="247" t="s">
        <v>1126</v>
      </c>
      <c r="B190" s="248" t="s">
        <v>1254</v>
      </c>
      <c r="C190" s="248" t="s">
        <v>1254</v>
      </c>
      <c r="D190" s="248" t="s">
        <v>1254</v>
      </c>
      <c r="E190" s="248">
        <v>4839324</v>
      </c>
      <c r="F190" s="248" t="s">
        <v>1254</v>
      </c>
      <c r="G190" s="248" t="s">
        <v>1254</v>
      </c>
      <c r="H190" s="248" t="s">
        <v>1254</v>
      </c>
      <c r="I190" s="248" t="s">
        <v>1254</v>
      </c>
      <c r="J190" s="248" t="s">
        <v>1254</v>
      </c>
      <c r="K190" s="248" t="s">
        <v>1254</v>
      </c>
      <c r="L190" s="248" t="s">
        <v>1254</v>
      </c>
      <c r="M190" s="248" t="s">
        <v>1254</v>
      </c>
      <c r="N190" s="249">
        <f t="shared" si="3"/>
        <v>4839324</v>
      </c>
    </row>
    <row r="191" spans="1:14" ht="31" customHeight="1" x14ac:dyDescent="0.35">
      <c r="A191" s="247" t="s">
        <v>1127</v>
      </c>
      <c r="B191" s="248" t="s">
        <v>1254</v>
      </c>
      <c r="C191" s="248" t="s">
        <v>1254</v>
      </c>
      <c r="D191" s="248" t="s">
        <v>1254</v>
      </c>
      <c r="E191" s="248" t="s">
        <v>1254</v>
      </c>
      <c r="F191" s="248" t="s">
        <v>1254</v>
      </c>
      <c r="G191" s="248" t="s">
        <v>1254</v>
      </c>
      <c r="H191" s="248" t="s">
        <v>1254</v>
      </c>
      <c r="I191" s="248" t="s">
        <v>1254</v>
      </c>
      <c r="J191" s="248" t="s">
        <v>1254</v>
      </c>
      <c r="K191" s="248" t="s">
        <v>1254</v>
      </c>
      <c r="L191" s="248">
        <v>1404660</v>
      </c>
      <c r="M191" s="248" t="s">
        <v>1254</v>
      </c>
      <c r="N191" s="249">
        <f t="shared" si="3"/>
        <v>1404660</v>
      </c>
    </row>
    <row r="192" spans="1:14" ht="31" customHeight="1" x14ac:dyDescent="0.35">
      <c r="A192" s="247" t="s">
        <v>1128</v>
      </c>
      <c r="B192" s="248" t="s">
        <v>1254</v>
      </c>
      <c r="C192" s="248" t="s">
        <v>1254</v>
      </c>
      <c r="D192" s="248" t="s">
        <v>1254</v>
      </c>
      <c r="E192" s="248" t="s">
        <v>1254</v>
      </c>
      <c r="F192" s="248" t="s">
        <v>1254</v>
      </c>
      <c r="G192" s="248" t="s">
        <v>1254</v>
      </c>
      <c r="H192" s="248" t="s">
        <v>1254</v>
      </c>
      <c r="I192" s="248" t="s">
        <v>1254</v>
      </c>
      <c r="J192" s="248" t="s">
        <v>1254</v>
      </c>
      <c r="K192" s="248">
        <v>5215104</v>
      </c>
      <c r="L192" s="248" t="s">
        <v>1254</v>
      </c>
      <c r="M192" s="248" t="s">
        <v>1254</v>
      </c>
      <c r="N192" s="249">
        <f t="shared" si="3"/>
        <v>5215104</v>
      </c>
    </row>
    <row r="193" spans="1:14" ht="31" customHeight="1" x14ac:dyDescent="0.35">
      <c r="A193" s="247" t="s">
        <v>1129</v>
      </c>
      <c r="B193" s="248" t="s">
        <v>1254</v>
      </c>
      <c r="C193" s="248" t="s">
        <v>1254</v>
      </c>
      <c r="D193" s="248" t="s">
        <v>1254</v>
      </c>
      <c r="E193" s="248" t="s">
        <v>1254</v>
      </c>
      <c r="F193" s="248" t="s">
        <v>1254</v>
      </c>
      <c r="G193" s="248" t="s">
        <v>1254</v>
      </c>
      <c r="H193" s="248">
        <v>5941091</v>
      </c>
      <c r="I193" s="248" t="s">
        <v>1254</v>
      </c>
      <c r="J193" s="248" t="s">
        <v>1254</v>
      </c>
      <c r="K193" s="248" t="s">
        <v>1254</v>
      </c>
      <c r="L193" s="248" t="s">
        <v>1254</v>
      </c>
      <c r="M193" s="248" t="s">
        <v>1254</v>
      </c>
      <c r="N193" s="249">
        <f t="shared" si="3"/>
        <v>5941091</v>
      </c>
    </row>
    <row r="194" spans="1:14" ht="31" customHeight="1" x14ac:dyDescent="0.35">
      <c r="A194" s="247" t="s">
        <v>1130</v>
      </c>
      <c r="B194" s="248" t="s">
        <v>1254</v>
      </c>
      <c r="C194" s="248" t="s">
        <v>1254</v>
      </c>
      <c r="D194" s="248" t="s">
        <v>1254</v>
      </c>
      <c r="E194" s="248" t="s">
        <v>1254</v>
      </c>
      <c r="F194" s="248" t="s">
        <v>1254</v>
      </c>
      <c r="G194" s="248" t="s">
        <v>1254</v>
      </c>
      <c r="H194" s="248" t="s">
        <v>1254</v>
      </c>
      <c r="I194" s="248" t="s">
        <v>1254</v>
      </c>
      <c r="J194" s="248" t="s">
        <v>1254</v>
      </c>
      <c r="K194" s="248">
        <v>1377948</v>
      </c>
      <c r="L194" s="248" t="s">
        <v>1254</v>
      </c>
      <c r="M194" s="248" t="s">
        <v>1254</v>
      </c>
      <c r="N194" s="249">
        <f t="shared" si="3"/>
        <v>1377948</v>
      </c>
    </row>
    <row r="195" spans="1:14" ht="31" customHeight="1" x14ac:dyDescent="0.35">
      <c r="A195" s="247" t="s">
        <v>1131</v>
      </c>
      <c r="B195" s="248" t="s">
        <v>1254</v>
      </c>
      <c r="C195" s="248" t="s">
        <v>1254</v>
      </c>
      <c r="D195" s="248" t="s">
        <v>1254</v>
      </c>
      <c r="E195" s="248" t="s">
        <v>1254</v>
      </c>
      <c r="F195" s="248" t="s">
        <v>1254</v>
      </c>
      <c r="G195" s="248" t="s">
        <v>1254</v>
      </c>
      <c r="H195" s="248">
        <v>5832320</v>
      </c>
      <c r="I195" s="248" t="s">
        <v>1254</v>
      </c>
      <c r="J195" s="248" t="s">
        <v>1254</v>
      </c>
      <c r="K195" s="248" t="s">
        <v>1254</v>
      </c>
      <c r="L195" s="248" t="s">
        <v>1254</v>
      </c>
      <c r="M195" s="248" t="s">
        <v>1254</v>
      </c>
      <c r="N195" s="249">
        <f t="shared" si="3"/>
        <v>5832320</v>
      </c>
    </row>
    <row r="196" spans="1:14" ht="31" customHeight="1" x14ac:dyDescent="0.35">
      <c r="A196" s="247" t="s">
        <v>1132</v>
      </c>
      <c r="B196" s="248" t="s">
        <v>1254</v>
      </c>
      <c r="C196" s="248" t="s">
        <v>1254</v>
      </c>
      <c r="D196" s="248" t="s">
        <v>1254</v>
      </c>
      <c r="E196" s="248" t="s">
        <v>1254</v>
      </c>
      <c r="F196" s="248" t="s">
        <v>1254</v>
      </c>
      <c r="G196" s="248" t="s">
        <v>1254</v>
      </c>
      <c r="H196" s="248" t="s">
        <v>1254</v>
      </c>
      <c r="I196" s="248">
        <v>6943300</v>
      </c>
      <c r="J196" s="248" t="s">
        <v>1254</v>
      </c>
      <c r="K196" s="248" t="s">
        <v>1254</v>
      </c>
      <c r="L196" s="248" t="s">
        <v>1254</v>
      </c>
      <c r="M196" s="248" t="s">
        <v>1254</v>
      </c>
      <c r="N196" s="249">
        <f t="shared" si="3"/>
        <v>6943300</v>
      </c>
    </row>
    <row r="197" spans="1:14" ht="31" customHeight="1" x14ac:dyDescent="0.35">
      <c r="A197" s="247" t="s">
        <v>1133</v>
      </c>
      <c r="B197" s="248" t="s">
        <v>1254</v>
      </c>
      <c r="C197" s="248" t="s">
        <v>1254</v>
      </c>
      <c r="D197" s="248" t="s">
        <v>1254</v>
      </c>
      <c r="E197" s="248" t="s">
        <v>1254</v>
      </c>
      <c r="F197" s="248">
        <v>6392812</v>
      </c>
      <c r="G197" s="248" t="s">
        <v>1254</v>
      </c>
      <c r="H197" s="248" t="s">
        <v>1254</v>
      </c>
      <c r="I197" s="248" t="s">
        <v>1254</v>
      </c>
      <c r="J197" s="248" t="s">
        <v>1254</v>
      </c>
      <c r="K197" s="248" t="s">
        <v>1254</v>
      </c>
      <c r="L197" s="248" t="s">
        <v>1254</v>
      </c>
      <c r="M197" s="248" t="s">
        <v>1254</v>
      </c>
      <c r="N197" s="249">
        <f t="shared" si="3"/>
        <v>6392812</v>
      </c>
    </row>
    <row r="198" spans="1:14" ht="31" customHeight="1" x14ac:dyDescent="0.35">
      <c r="A198" s="247" t="s">
        <v>1135</v>
      </c>
      <c r="B198" s="248" t="s">
        <v>1254</v>
      </c>
      <c r="C198" s="248" t="s">
        <v>1254</v>
      </c>
      <c r="D198" s="248" t="s">
        <v>1254</v>
      </c>
      <c r="E198" s="248" t="s">
        <v>1254</v>
      </c>
      <c r="F198" s="248" t="s">
        <v>1254</v>
      </c>
      <c r="G198" s="248" t="s">
        <v>1254</v>
      </c>
      <c r="H198" s="248" t="s">
        <v>1254</v>
      </c>
      <c r="I198" s="248" t="s">
        <v>1254</v>
      </c>
      <c r="J198" s="248">
        <v>1866900</v>
      </c>
      <c r="K198" s="248" t="s">
        <v>1254</v>
      </c>
      <c r="L198" s="248" t="s">
        <v>1254</v>
      </c>
      <c r="M198" s="248" t="s">
        <v>1254</v>
      </c>
      <c r="N198" s="249">
        <f t="shared" si="3"/>
        <v>1866900</v>
      </c>
    </row>
    <row r="199" spans="1:14" ht="31" customHeight="1" x14ac:dyDescent="0.35">
      <c r="A199" s="247" t="s">
        <v>1136</v>
      </c>
      <c r="B199" s="248" t="s">
        <v>1254</v>
      </c>
      <c r="C199" s="248">
        <v>6708205</v>
      </c>
      <c r="D199" s="248" t="s">
        <v>1254</v>
      </c>
      <c r="E199" s="248" t="s">
        <v>1254</v>
      </c>
      <c r="F199" s="248" t="s">
        <v>1254</v>
      </c>
      <c r="G199" s="248" t="s">
        <v>1254</v>
      </c>
      <c r="H199" s="248" t="s">
        <v>1254</v>
      </c>
      <c r="I199" s="248" t="s">
        <v>1254</v>
      </c>
      <c r="J199" s="248" t="s">
        <v>1254</v>
      </c>
      <c r="K199" s="248" t="s">
        <v>1254</v>
      </c>
      <c r="L199" s="248" t="s">
        <v>1254</v>
      </c>
      <c r="M199" s="248" t="s">
        <v>1254</v>
      </c>
      <c r="N199" s="249">
        <f t="shared" si="3"/>
        <v>6708205</v>
      </c>
    </row>
    <row r="200" spans="1:14" ht="31" customHeight="1" x14ac:dyDescent="0.35">
      <c r="A200" s="247" t="s">
        <v>1137</v>
      </c>
      <c r="B200" s="248" t="s">
        <v>1254</v>
      </c>
      <c r="C200" s="248" t="s">
        <v>1254</v>
      </c>
      <c r="D200" s="248" t="s">
        <v>1254</v>
      </c>
      <c r="E200" s="248" t="s">
        <v>1254</v>
      </c>
      <c r="F200" s="248" t="s">
        <v>1254</v>
      </c>
      <c r="G200" s="248" t="s">
        <v>1254</v>
      </c>
      <c r="H200" s="248" t="s">
        <v>1254</v>
      </c>
      <c r="I200" s="248">
        <v>1356885</v>
      </c>
      <c r="J200" s="248" t="s">
        <v>1254</v>
      </c>
      <c r="K200" s="248" t="s">
        <v>1254</v>
      </c>
      <c r="L200" s="248" t="s">
        <v>1254</v>
      </c>
      <c r="M200" s="248" t="s">
        <v>1254</v>
      </c>
      <c r="N200" s="249">
        <f t="shared" si="3"/>
        <v>1356885</v>
      </c>
    </row>
    <row r="201" spans="1:14" ht="31" customHeight="1" x14ac:dyDescent="0.35">
      <c r="A201" s="247" t="s">
        <v>1138</v>
      </c>
      <c r="B201" s="248" t="s">
        <v>1254</v>
      </c>
      <c r="C201" s="248">
        <v>3370182</v>
      </c>
      <c r="D201" s="248" t="s">
        <v>1254</v>
      </c>
      <c r="E201" s="248" t="s">
        <v>1254</v>
      </c>
      <c r="F201" s="248" t="s">
        <v>1254</v>
      </c>
      <c r="G201" s="248" t="s">
        <v>1254</v>
      </c>
      <c r="H201" s="248" t="s">
        <v>1254</v>
      </c>
      <c r="I201" s="248" t="s">
        <v>1254</v>
      </c>
      <c r="J201" s="248" t="s">
        <v>1254</v>
      </c>
      <c r="K201" s="248" t="s">
        <v>1254</v>
      </c>
      <c r="L201" s="248" t="s">
        <v>1254</v>
      </c>
      <c r="M201" s="248" t="s">
        <v>1254</v>
      </c>
      <c r="N201" s="249">
        <f t="shared" si="3"/>
        <v>3370182</v>
      </c>
    </row>
    <row r="202" spans="1:14" ht="31" customHeight="1" x14ac:dyDescent="0.35">
      <c r="A202" s="247" t="s">
        <v>1139</v>
      </c>
      <c r="B202" s="248">
        <v>9033531</v>
      </c>
      <c r="C202" s="248" t="s">
        <v>1254</v>
      </c>
      <c r="D202" s="248" t="s">
        <v>1254</v>
      </c>
      <c r="E202" s="248" t="s">
        <v>1254</v>
      </c>
      <c r="F202" s="248" t="s">
        <v>1254</v>
      </c>
      <c r="G202" s="248" t="s">
        <v>1254</v>
      </c>
      <c r="H202" s="248" t="s">
        <v>1254</v>
      </c>
      <c r="I202" s="248" t="s">
        <v>1254</v>
      </c>
      <c r="J202" s="248" t="s">
        <v>1254</v>
      </c>
      <c r="K202" s="248" t="s">
        <v>1254</v>
      </c>
      <c r="L202" s="248" t="s">
        <v>1254</v>
      </c>
      <c r="M202" s="248" t="s">
        <v>1254</v>
      </c>
      <c r="N202" s="249">
        <f t="shared" si="3"/>
        <v>9033531</v>
      </c>
    </row>
    <row r="203" spans="1:14" ht="31" customHeight="1" x14ac:dyDescent="0.35">
      <c r="A203" s="247" t="s">
        <v>1140</v>
      </c>
      <c r="B203" s="248" t="s">
        <v>1254</v>
      </c>
      <c r="C203" s="248" t="s">
        <v>1254</v>
      </c>
      <c r="D203" s="248" t="s">
        <v>1254</v>
      </c>
      <c r="E203" s="248" t="s">
        <v>1254</v>
      </c>
      <c r="F203" s="248" t="s">
        <v>1254</v>
      </c>
      <c r="G203" s="248">
        <v>1528735</v>
      </c>
      <c r="H203" s="248" t="s">
        <v>1254</v>
      </c>
      <c r="I203" s="248" t="s">
        <v>1254</v>
      </c>
      <c r="J203" s="248" t="s">
        <v>1254</v>
      </c>
      <c r="K203" s="248" t="s">
        <v>1254</v>
      </c>
      <c r="L203" s="248" t="s">
        <v>1254</v>
      </c>
      <c r="M203" s="248" t="s">
        <v>1254</v>
      </c>
      <c r="N203" s="249">
        <f t="shared" si="3"/>
        <v>1528735</v>
      </c>
    </row>
    <row r="204" spans="1:14" ht="31" customHeight="1" x14ac:dyDescent="0.35">
      <c r="A204" s="247" t="s">
        <v>1141</v>
      </c>
      <c r="B204" s="248">
        <v>3304596</v>
      </c>
      <c r="C204" s="248" t="s">
        <v>1254</v>
      </c>
      <c r="D204" s="248" t="s">
        <v>1254</v>
      </c>
      <c r="E204" s="248" t="s">
        <v>1254</v>
      </c>
      <c r="F204" s="248" t="s">
        <v>1254</v>
      </c>
      <c r="G204" s="248" t="s">
        <v>1254</v>
      </c>
      <c r="H204" s="248" t="s">
        <v>1254</v>
      </c>
      <c r="I204" s="248" t="s">
        <v>1254</v>
      </c>
      <c r="J204" s="248" t="s">
        <v>1254</v>
      </c>
      <c r="K204" s="248" t="s">
        <v>1254</v>
      </c>
      <c r="L204" s="248" t="s">
        <v>1254</v>
      </c>
      <c r="M204" s="248" t="s">
        <v>1254</v>
      </c>
      <c r="N204" s="249">
        <f t="shared" si="3"/>
        <v>3304596</v>
      </c>
    </row>
    <row r="205" spans="1:14" ht="31" customHeight="1" x14ac:dyDescent="0.35">
      <c r="A205" s="247" t="s">
        <v>1142</v>
      </c>
      <c r="B205" s="248" t="s">
        <v>1254</v>
      </c>
      <c r="C205" s="248" t="s">
        <v>1254</v>
      </c>
      <c r="D205" s="248" t="s">
        <v>1254</v>
      </c>
      <c r="E205" s="248" t="s">
        <v>1254</v>
      </c>
      <c r="F205" s="248" t="s">
        <v>1254</v>
      </c>
      <c r="G205" s="248" t="s">
        <v>1254</v>
      </c>
      <c r="H205" s="248" t="s">
        <v>1254</v>
      </c>
      <c r="I205" s="248" t="s">
        <v>1254</v>
      </c>
      <c r="J205" s="248" t="s">
        <v>1254</v>
      </c>
      <c r="K205" s="248" t="s">
        <v>1254</v>
      </c>
      <c r="L205" s="248">
        <v>2671306</v>
      </c>
      <c r="M205" s="248" t="s">
        <v>1254</v>
      </c>
      <c r="N205" s="249">
        <f t="shared" si="3"/>
        <v>2671306</v>
      </c>
    </row>
    <row r="206" spans="1:14" ht="31" customHeight="1" x14ac:dyDescent="0.35">
      <c r="A206" s="247" t="s">
        <v>1143</v>
      </c>
      <c r="B206" s="248">
        <v>4275084</v>
      </c>
      <c r="C206" s="248" t="s">
        <v>1254</v>
      </c>
      <c r="D206" s="248" t="s">
        <v>1254</v>
      </c>
      <c r="E206" s="248" t="s">
        <v>1254</v>
      </c>
      <c r="F206" s="248" t="s">
        <v>1254</v>
      </c>
      <c r="G206" s="248" t="s">
        <v>1254</v>
      </c>
      <c r="H206" s="248" t="s">
        <v>1254</v>
      </c>
      <c r="I206" s="248" t="s">
        <v>1254</v>
      </c>
      <c r="J206" s="248" t="s">
        <v>1254</v>
      </c>
      <c r="K206" s="248" t="s">
        <v>1254</v>
      </c>
      <c r="L206" s="248" t="s">
        <v>1254</v>
      </c>
      <c r="M206" s="248" t="s">
        <v>1254</v>
      </c>
      <c r="N206" s="249">
        <f t="shared" si="3"/>
        <v>4275084</v>
      </c>
    </row>
    <row r="207" spans="1:14" ht="31" customHeight="1" x14ac:dyDescent="0.35">
      <c r="A207" s="247" t="s">
        <v>1144</v>
      </c>
      <c r="B207" s="248" t="s">
        <v>1254</v>
      </c>
      <c r="C207" s="248" t="s">
        <v>1254</v>
      </c>
      <c r="D207" s="248">
        <v>4313937</v>
      </c>
      <c r="E207" s="248" t="s">
        <v>1254</v>
      </c>
      <c r="F207" s="248" t="s">
        <v>1254</v>
      </c>
      <c r="G207" s="248" t="s">
        <v>1254</v>
      </c>
      <c r="H207" s="248" t="s">
        <v>1254</v>
      </c>
      <c r="I207" s="248" t="s">
        <v>1254</v>
      </c>
      <c r="J207" s="248" t="s">
        <v>1254</v>
      </c>
      <c r="K207" s="248" t="s">
        <v>1254</v>
      </c>
      <c r="L207" s="248" t="s">
        <v>1254</v>
      </c>
      <c r="M207" s="248" t="s">
        <v>1254</v>
      </c>
      <c r="N207" s="249">
        <f t="shared" si="3"/>
        <v>4313937</v>
      </c>
    </row>
    <row r="208" spans="1:14" ht="31" customHeight="1" x14ac:dyDescent="0.35">
      <c r="A208" s="247" t="s">
        <v>1145</v>
      </c>
      <c r="B208" s="248" t="s">
        <v>1254</v>
      </c>
      <c r="C208" s="248" t="s">
        <v>1254</v>
      </c>
      <c r="D208" s="248" t="s">
        <v>1254</v>
      </c>
      <c r="E208" s="248" t="s">
        <v>1254</v>
      </c>
      <c r="F208" s="248" t="s">
        <v>1254</v>
      </c>
      <c r="G208" s="248" t="s">
        <v>1254</v>
      </c>
      <c r="H208" s="248" t="s">
        <v>1254</v>
      </c>
      <c r="I208" s="248" t="s">
        <v>1254</v>
      </c>
      <c r="J208" s="248">
        <v>4796908</v>
      </c>
      <c r="K208" s="248" t="s">
        <v>1254</v>
      </c>
      <c r="L208" s="248" t="s">
        <v>1254</v>
      </c>
      <c r="M208" s="248" t="s">
        <v>1254</v>
      </c>
      <c r="N208" s="249">
        <f t="shared" si="3"/>
        <v>4796908</v>
      </c>
    </row>
    <row r="209" spans="1:14" ht="31" customHeight="1" x14ac:dyDescent="0.35">
      <c r="A209" s="247" t="s">
        <v>1146</v>
      </c>
      <c r="B209" s="248" t="s">
        <v>1254</v>
      </c>
      <c r="C209" s="248" t="s">
        <v>1254</v>
      </c>
      <c r="D209" s="248" t="s">
        <v>1254</v>
      </c>
      <c r="E209" s="248" t="s">
        <v>1254</v>
      </c>
      <c r="F209" s="248" t="s">
        <v>1254</v>
      </c>
      <c r="G209" s="248" t="s">
        <v>1254</v>
      </c>
      <c r="H209" s="248" t="s">
        <v>1254</v>
      </c>
      <c r="I209" s="248" t="s">
        <v>1254</v>
      </c>
      <c r="J209" s="248">
        <v>6594820</v>
      </c>
      <c r="K209" s="248" t="s">
        <v>1254</v>
      </c>
      <c r="L209" s="248" t="s">
        <v>1254</v>
      </c>
      <c r="M209" s="248" t="s">
        <v>1254</v>
      </c>
      <c r="N209" s="249">
        <f t="shared" si="3"/>
        <v>6594820</v>
      </c>
    </row>
    <row r="210" spans="1:14" ht="31" customHeight="1" x14ac:dyDescent="0.35">
      <c r="A210" s="247" t="s">
        <v>1147</v>
      </c>
      <c r="B210" s="248">
        <v>5324221</v>
      </c>
      <c r="C210" s="248" t="s">
        <v>1254</v>
      </c>
      <c r="D210" s="248" t="s">
        <v>1254</v>
      </c>
      <c r="E210" s="248" t="s">
        <v>1254</v>
      </c>
      <c r="F210" s="248" t="s">
        <v>1254</v>
      </c>
      <c r="G210" s="248" t="s">
        <v>1254</v>
      </c>
      <c r="H210" s="248" t="s">
        <v>1254</v>
      </c>
      <c r="I210" s="248">
        <v>3599318</v>
      </c>
      <c r="J210" s="248" t="s">
        <v>1254</v>
      </c>
      <c r="K210" s="248">
        <v>4437695</v>
      </c>
      <c r="L210" s="248" t="s">
        <v>1254</v>
      </c>
      <c r="M210" s="248" t="s">
        <v>1254</v>
      </c>
      <c r="N210" s="249">
        <f t="shared" si="3"/>
        <v>4453744.666666667</v>
      </c>
    </row>
    <row r="211" spans="1:14" ht="31" customHeight="1" x14ac:dyDescent="0.35">
      <c r="A211" s="247" t="s">
        <v>1148</v>
      </c>
      <c r="B211" s="248" t="s">
        <v>1254</v>
      </c>
      <c r="C211" s="248">
        <v>1240575</v>
      </c>
      <c r="D211" s="248" t="s">
        <v>1254</v>
      </c>
      <c r="E211" s="248" t="s">
        <v>1254</v>
      </c>
      <c r="F211" s="248" t="s">
        <v>1254</v>
      </c>
      <c r="G211" s="248" t="s">
        <v>1254</v>
      </c>
      <c r="H211" s="248" t="s">
        <v>1254</v>
      </c>
      <c r="I211" s="248" t="s">
        <v>1254</v>
      </c>
      <c r="J211" s="248" t="s">
        <v>1254</v>
      </c>
      <c r="K211" s="248">
        <v>6192618</v>
      </c>
      <c r="L211" s="248" t="s">
        <v>1254</v>
      </c>
      <c r="M211" s="248" t="s">
        <v>1254</v>
      </c>
      <c r="N211" s="249">
        <f t="shared" si="3"/>
        <v>3716596.5</v>
      </c>
    </row>
    <row r="212" spans="1:14" ht="31" customHeight="1" x14ac:dyDescent="0.35">
      <c r="A212" s="247" t="s">
        <v>1149</v>
      </c>
      <c r="B212" s="248" t="s">
        <v>1254</v>
      </c>
      <c r="C212" s="248" t="s">
        <v>1254</v>
      </c>
      <c r="D212" s="248" t="s">
        <v>1254</v>
      </c>
      <c r="E212" s="248" t="s">
        <v>1254</v>
      </c>
      <c r="F212" s="248" t="s">
        <v>1254</v>
      </c>
      <c r="G212" s="248" t="s">
        <v>1254</v>
      </c>
      <c r="H212" s="248">
        <v>5255244</v>
      </c>
      <c r="I212" s="248" t="s">
        <v>1254</v>
      </c>
      <c r="J212" s="248" t="s">
        <v>1254</v>
      </c>
      <c r="K212" s="248" t="s">
        <v>1254</v>
      </c>
      <c r="L212" s="248" t="s">
        <v>1254</v>
      </c>
      <c r="M212" s="248" t="s">
        <v>1254</v>
      </c>
      <c r="N212" s="249">
        <f t="shared" si="3"/>
        <v>5255244</v>
      </c>
    </row>
    <row r="213" spans="1:14" ht="31" customHeight="1" x14ac:dyDescent="0.35">
      <c r="A213" s="247" t="s">
        <v>1150</v>
      </c>
      <c r="B213" s="248" t="s">
        <v>1254</v>
      </c>
      <c r="C213" s="248" t="s">
        <v>1254</v>
      </c>
      <c r="D213" s="248" t="s">
        <v>1254</v>
      </c>
      <c r="E213" s="248" t="s">
        <v>1254</v>
      </c>
      <c r="F213" s="248" t="s">
        <v>1254</v>
      </c>
      <c r="G213" s="248">
        <v>6438095</v>
      </c>
      <c r="H213" s="248" t="s">
        <v>1254</v>
      </c>
      <c r="I213" s="248" t="s">
        <v>1254</v>
      </c>
      <c r="J213" s="248" t="s">
        <v>1254</v>
      </c>
      <c r="K213" s="248" t="s">
        <v>1254</v>
      </c>
      <c r="L213" s="248" t="s">
        <v>1254</v>
      </c>
      <c r="M213" s="248" t="s">
        <v>1254</v>
      </c>
      <c r="N213" s="249">
        <f t="shared" si="3"/>
        <v>6438095</v>
      </c>
    </row>
    <row r="214" spans="1:14" ht="31" customHeight="1" x14ac:dyDescent="0.35">
      <c r="A214" s="247" t="s">
        <v>1151</v>
      </c>
      <c r="B214" s="248" t="s">
        <v>1254</v>
      </c>
      <c r="C214" s="248" t="s">
        <v>1254</v>
      </c>
      <c r="D214" s="248" t="s">
        <v>1254</v>
      </c>
      <c r="E214" s="248" t="s">
        <v>1254</v>
      </c>
      <c r="F214" s="248" t="s">
        <v>1254</v>
      </c>
      <c r="G214" s="248" t="s">
        <v>1254</v>
      </c>
      <c r="H214" s="248" t="s">
        <v>1254</v>
      </c>
      <c r="I214" s="248" t="s">
        <v>1254</v>
      </c>
      <c r="J214" s="248">
        <v>2672000</v>
      </c>
      <c r="K214" s="248" t="s">
        <v>1254</v>
      </c>
      <c r="L214" s="248" t="s">
        <v>1254</v>
      </c>
      <c r="M214" s="248" t="s">
        <v>1254</v>
      </c>
      <c r="N214" s="249">
        <f t="shared" si="3"/>
        <v>2672000</v>
      </c>
    </row>
    <row r="215" spans="1:14" ht="31" customHeight="1" x14ac:dyDescent="0.35">
      <c r="A215" s="247" t="s">
        <v>1152</v>
      </c>
      <c r="B215" s="248" t="s">
        <v>1254</v>
      </c>
      <c r="C215" s="248" t="s">
        <v>1254</v>
      </c>
      <c r="D215" s="248" t="s">
        <v>1254</v>
      </c>
      <c r="E215" s="248" t="s">
        <v>1254</v>
      </c>
      <c r="F215" s="248" t="s">
        <v>1254</v>
      </c>
      <c r="G215" s="248" t="s">
        <v>1254</v>
      </c>
      <c r="H215" s="248" t="s">
        <v>1254</v>
      </c>
      <c r="I215" s="248">
        <v>6800576</v>
      </c>
      <c r="J215" s="248" t="s">
        <v>1254</v>
      </c>
      <c r="K215" s="248" t="s">
        <v>1254</v>
      </c>
      <c r="L215" s="248" t="s">
        <v>1254</v>
      </c>
      <c r="M215" s="248" t="s">
        <v>1254</v>
      </c>
      <c r="N215" s="249">
        <f t="shared" si="3"/>
        <v>6800576</v>
      </c>
    </row>
    <row r="216" spans="1:14" ht="31" customHeight="1" x14ac:dyDescent="0.35">
      <c r="A216" s="247" t="s">
        <v>1153</v>
      </c>
      <c r="B216" s="248" t="s">
        <v>1254</v>
      </c>
      <c r="C216" s="248" t="s">
        <v>1254</v>
      </c>
      <c r="D216" s="248" t="s">
        <v>1254</v>
      </c>
      <c r="E216" s="248" t="s">
        <v>1254</v>
      </c>
      <c r="F216" s="248" t="s">
        <v>1254</v>
      </c>
      <c r="G216" s="248" t="s">
        <v>1254</v>
      </c>
      <c r="H216" s="248" t="s">
        <v>1254</v>
      </c>
      <c r="I216" s="248" t="s">
        <v>1254</v>
      </c>
      <c r="J216" s="248">
        <v>1902560</v>
      </c>
      <c r="K216" s="248" t="s">
        <v>1254</v>
      </c>
      <c r="L216" s="248" t="s">
        <v>1254</v>
      </c>
      <c r="M216" s="248" t="s">
        <v>1254</v>
      </c>
      <c r="N216" s="249">
        <f t="shared" si="3"/>
        <v>1902560</v>
      </c>
    </row>
    <row r="217" spans="1:14" ht="31" customHeight="1" x14ac:dyDescent="0.35">
      <c r="A217" s="247" t="s">
        <v>1154</v>
      </c>
      <c r="B217" s="248" t="s">
        <v>1254</v>
      </c>
      <c r="C217" s="248" t="s">
        <v>1254</v>
      </c>
      <c r="D217" s="248" t="s">
        <v>1254</v>
      </c>
      <c r="E217" s="248" t="s">
        <v>1254</v>
      </c>
      <c r="F217" s="248" t="s">
        <v>1254</v>
      </c>
      <c r="G217" s="248" t="s">
        <v>1254</v>
      </c>
      <c r="H217" s="248" t="s">
        <v>1254</v>
      </c>
      <c r="I217" s="248" t="s">
        <v>1254</v>
      </c>
      <c r="J217" s="248" t="s">
        <v>1254</v>
      </c>
      <c r="K217" s="248">
        <v>4872609</v>
      </c>
      <c r="L217" s="248" t="s">
        <v>1254</v>
      </c>
      <c r="M217" s="248" t="s">
        <v>1254</v>
      </c>
      <c r="N217" s="249">
        <f t="shared" si="3"/>
        <v>4872609</v>
      </c>
    </row>
    <row r="218" spans="1:14" ht="31" customHeight="1" x14ac:dyDescent="0.35">
      <c r="A218" s="247" t="s">
        <v>1155</v>
      </c>
      <c r="B218" s="248" t="s">
        <v>1254</v>
      </c>
      <c r="C218" s="248">
        <v>6242976</v>
      </c>
      <c r="D218" s="248">
        <v>3540726</v>
      </c>
      <c r="E218" s="248">
        <v>3946464</v>
      </c>
      <c r="F218" s="248" t="s">
        <v>1254</v>
      </c>
      <c r="G218" s="248" t="s">
        <v>1254</v>
      </c>
      <c r="H218" s="248" t="s">
        <v>1254</v>
      </c>
      <c r="I218" s="248" t="s">
        <v>1254</v>
      </c>
      <c r="J218" s="248" t="s">
        <v>1254</v>
      </c>
      <c r="K218" s="248" t="s">
        <v>1254</v>
      </c>
      <c r="L218" s="248" t="s">
        <v>1254</v>
      </c>
      <c r="M218" s="248" t="s">
        <v>1254</v>
      </c>
      <c r="N218" s="249">
        <f t="shared" si="3"/>
        <v>4576722</v>
      </c>
    </row>
    <row r="219" spans="1:14" ht="31" customHeight="1" x14ac:dyDescent="0.35">
      <c r="A219" s="247" t="s">
        <v>1156</v>
      </c>
      <c r="B219" s="248">
        <v>4635288</v>
      </c>
      <c r="C219" s="248" t="s">
        <v>1254</v>
      </c>
      <c r="D219" s="248" t="s">
        <v>1254</v>
      </c>
      <c r="E219" s="248" t="s">
        <v>1254</v>
      </c>
      <c r="F219" s="248" t="s">
        <v>1254</v>
      </c>
      <c r="G219" s="248" t="s">
        <v>1254</v>
      </c>
      <c r="H219" s="248" t="s">
        <v>1254</v>
      </c>
      <c r="I219" s="248" t="s">
        <v>1254</v>
      </c>
      <c r="J219" s="248" t="s">
        <v>1254</v>
      </c>
      <c r="K219" s="248" t="s">
        <v>1254</v>
      </c>
      <c r="L219" s="248" t="s">
        <v>1254</v>
      </c>
      <c r="M219" s="248" t="s">
        <v>1254</v>
      </c>
      <c r="N219" s="249">
        <f t="shared" si="3"/>
        <v>4635288</v>
      </c>
    </row>
    <row r="220" spans="1:14" ht="31" customHeight="1" x14ac:dyDescent="0.35">
      <c r="A220" s="247" t="s">
        <v>1157</v>
      </c>
      <c r="B220" s="248" t="s">
        <v>1254</v>
      </c>
      <c r="C220" s="248" t="s">
        <v>1254</v>
      </c>
      <c r="D220" s="248" t="s">
        <v>1254</v>
      </c>
      <c r="E220" s="248" t="s">
        <v>1254</v>
      </c>
      <c r="F220" s="248">
        <v>5225856</v>
      </c>
      <c r="G220" s="248" t="s">
        <v>1254</v>
      </c>
      <c r="H220" s="248" t="s">
        <v>1254</v>
      </c>
      <c r="I220" s="248" t="s">
        <v>1254</v>
      </c>
      <c r="J220" s="248" t="s">
        <v>1254</v>
      </c>
      <c r="K220" s="248" t="s">
        <v>1254</v>
      </c>
      <c r="L220" s="248" t="s">
        <v>1254</v>
      </c>
      <c r="M220" s="248" t="s">
        <v>1254</v>
      </c>
      <c r="N220" s="249">
        <f t="shared" si="3"/>
        <v>5225856</v>
      </c>
    </row>
    <row r="221" spans="1:14" ht="31" customHeight="1" x14ac:dyDescent="0.35">
      <c r="A221" s="247" t="s">
        <v>1158</v>
      </c>
      <c r="B221" s="248" t="s">
        <v>1254</v>
      </c>
      <c r="C221" s="248" t="s">
        <v>1254</v>
      </c>
      <c r="D221" s="248">
        <v>3621286</v>
      </c>
      <c r="E221" s="248" t="s">
        <v>1254</v>
      </c>
      <c r="F221" s="248">
        <v>5477964</v>
      </c>
      <c r="G221" s="248" t="s">
        <v>1254</v>
      </c>
      <c r="H221" s="248" t="s">
        <v>1254</v>
      </c>
      <c r="I221" s="248">
        <v>2446290</v>
      </c>
      <c r="J221" s="248">
        <v>5795784</v>
      </c>
      <c r="K221" s="248" t="s">
        <v>1254</v>
      </c>
      <c r="L221" s="248" t="s">
        <v>1254</v>
      </c>
      <c r="M221" s="248" t="s">
        <v>1254</v>
      </c>
      <c r="N221" s="249">
        <f t="shared" si="3"/>
        <v>4335331</v>
      </c>
    </row>
    <row r="222" spans="1:14" ht="31" customHeight="1" x14ac:dyDescent="0.35">
      <c r="A222" s="247" t="s">
        <v>1159</v>
      </c>
      <c r="B222" s="248" t="s">
        <v>1254</v>
      </c>
      <c r="C222" s="248" t="s">
        <v>1254</v>
      </c>
      <c r="D222" s="248" t="s">
        <v>1254</v>
      </c>
      <c r="E222" s="248" t="s">
        <v>1254</v>
      </c>
      <c r="F222" s="248" t="s">
        <v>1254</v>
      </c>
      <c r="G222" s="248" t="s">
        <v>1254</v>
      </c>
      <c r="H222" s="248" t="s">
        <v>1254</v>
      </c>
      <c r="I222" s="248" t="s">
        <v>1254</v>
      </c>
      <c r="J222" s="248" t="s">
        <v>1254</v>
      </c>
      <c r="K222" s="248" t="s">
        <v>1254</v>
      </c>
      <c r="L222" s="248">
        <v>4704803</v>
      </c>
      <c r="M222" s="248" t="s">
        <v>1254</v>
      </c>
      <c r="N222" s="249">
        <f t="shared" ref="N222:N285" si="4">AVERAGE(B222:M222)</f>
        <v>4704803</v>
      </c>
    </row>
    <row r="223" spans="1:14" ht="31" customHeight="1" x14ac:dyDescent="0.35">
      <c r="A223" s="247" t="s">
        <v>1160</v>
      </c>
      <c r="B223" s="248" t="s">
        <v>1254</v>
      </c>
      <c r="C223" s="248" t="s">
        <v>1254</v>
      </c>
      <c r="D223" s="248" t="s">
        <v>1254</v>
      </c>
      <c r="E223" s="248" t="s">
        <v>1254</v>
      </c>
      <c r="F223" s="248" t="s">
        <v>1254</v>
      </c>
      <c r="G223" s="248" t="s">
        <v>1254</v>
      </c>
      <c r="H223" s="248" t="s">
        <v>1254</v>
      </c>
      <c r="I223" s="248">
        <v>1351636</v>
      </c>
      <c r="J223" s="248" t="s">
        <v>1254</v>
      </c>
      <c r="K223" s="248" t="s">
        <v>1254</v>
      </c>
      <c r="L223" s="248" t="s">
        <v>1254</v>
      </c>
      <c r="M223" s="248" t="s">
        <v>1254</v>
      </c>
      <c r="N223" s="249">
        <f t="shared" si="4"/>
        <v>1351636</v>
      </c>
    </row>
    <row r="224" spans="1:14" ht="31" customHeight="1" x14ac:dyDescent="0.35">
      <c r="A224" s="247" t="s">
        <v>1162</v>
      </c>
      <c r="B224" s="248" t="s">
        <v>1254</v>
      </c>
      <c r="C224" s="248" t="s">
        <v>1254</v>
      </c>
      <c r="D224" s="248" t="s">
        <v>1254</v>
      </c>
      <c r="E224" s="248" t="s">
        <v>1254</v>
      </c>
      <c r="F224" s="248" t="s">
        <v>1254</v>
      </c>
      <c r="G224" s="248" t="s">
        <v>1254</v>
      </c>
      <c r="H224" s="248" t="s">
        <v>1254</v>
      </c>
      <c r="I224" s="248" t="s">
        <v>1254</v>
      </c>
      <c r="J224" s="248" t="s">
        <v>1254</v>
      </c>
      <c r="K224" s="248">
        <v>4274517</v>
      </c>
      <c r="L224" s="248" t="s">
        <v>1254</v>
      </c>
      <c r="M224" s="248" t="s">
        <v>1254</v>
      </c>
      <c r="N224" s="249">
        <f t="shared" si="4"/>
        <v>4274517</v>
      </c>
    </row>
    <row r="225" spans="1:14" ht="31" customHeight="1" x14ac:dyDescent="0.35">
      <c r="A225" s="247" t="s">
        <v>1161</v>
      </c>
      <c r="B225" s="248">
        <v>6147545</v>
      </c>
      <c r="C225" s="248">
        <v>3302221.75</v>
      </c>
      <c r="D225" s="248">
        <v>3832284.6666666665</v>
      </c>
      <c r="E225" s="248">
        <v>4134837</v>
      </c>
      <c r="F225" s="248">
        <v>2862026.25</v>
      </c>
      <c r="G225" s="248">
        <v>2385175</v>
      </c>
      <c r="H225" s="248" t="s">
        <v>1254</v>
      </c>
      <c r="I225" s="248">
        <v>5371219.5</v>
      </c>
      <c r="J225" s="248">
        <v>2809252</v>
      </c>
      <c r="K225" s="248">
        <v>6386463</v>
      </c>
      <c r="L225" s="248">
        <v>3035136</v>
      </c>
      <c r="M225" s="248" t="s">
        <v>1254</v>
      </c>
      <c r="N225" s="249">
        <f t="shared" si="4"/>
        <v>4026616.0166666666</v>
      </c>
    </row>
    <row r="226" spans="1:14" ht="31" customHeight="1" x14ac:dyDescent="0.35">
      <c r="A226" s="247" t="s">
        <v>1163</v>
      </c>
      <c r="B226" s="248" t="s">
        <v>1254</v>
      </c>
      <c r="C226" s="248" t="s">
        <v>1254</v>
      </c>
      <c r="D226" s="248" t="s">
        <v>1254</v>
      </c>
      <c r="E226" s="248" t="s">
        <v>1254</v>
      </c>
      <c r="F226" s="248" t="s">
        <v>1254</v>
      </c>
      <c r="G226" s="248" t="s">
        <v>1254</v>
      </c>
      <c r="H226" s="248" t="s">
        <v>1254</v>
      </c>
      <c r="I226" s="248" t="s">
        <v>1254</v>
      </c>
      <c r="J226" s="248" t="s">
        <v>1254</v>
      </c>
      <c r="K226" s="248" t="s">
        <v>1254</v>
      </c>
      <c r="L226" s="248">
        <v>1996896</v>
      </c>
      <c r="M226" s="248" t="s">
        <v>1254</v>
      </c>
      <c r="N226" s="249">
        <f t="shared" si="4"/>
        <v>1996896</v>
      </c>
    </row>
    <row r="227" spans="1:14" ht="31" customHeight="1" x14ac:dyDescent="0.35">
      <c r="A227" s="247" t="s">
        <v>1164</v>
      </c>
      <c r="B227" s="248" t="s">
        <v>1254</v>
      </c>
      <c r="C227" s="248" t="s">
        <v>1254</v>
      </c>
      <c r="D227" s="248" t="s">
        <v>1254</v>
      </c>
      <c r="E227" s="248" t="s">
        <v>1254</v>
      </c>
      <c r="F227" s="248" t="s">
        <v>1254</v>
      </c>
      <c r="G227" s="248" t="s">
        <v>1254</v>
      </c>
      <c r="H227" s="248" t="s">
        <v>1254</v>
      </c>
      <c r="I227" s="248">
        <v>1577225</v>
      </c>
      <c r="J227" s="248" t="s">
        <v>1254</v>
      </c>
      <c r="K227" s="248" t="s">
        <v>1254</v>
      </c>
      <c r="L227" s="248" t="s">
        <v>1254</v>
      </c>
      <c r="M227" s="248" t="s">
        <v>1254</v>
      </c>
      <c r="N227" s="249">
        <f t="shared" si="4"/>
        <v>1577225</v>
      </c>
    </row>
    <row r="228" spans="1:14" ht="31" customHeight="1" x14ac:dyDescent="0.35">
      <c r="A228" s="247" t="s">
        <v>1165</v>
      </c>
      <c r="B228" s="248" t="s">
        <v>1254</v>
      </c>
      <c r="C228" s="248" t="s">
        <v>1254</v>
      </c>
      <c r="D228" s="248" t="s">
        <v>1254</v>
      </c>
      <c r="E228" s="248" t="s">
        <v>1254</v>
      </c>
      <c r="F228" s="248" t="s">
        <v>1254</v>
      </c>
      <c r="G228" s="248" t="s">
        <v>1254</v>
      </c>
      <c r="H228" s="248" t="s">
        <v>1254</v>
      </c>
      <c r="I228" s="248" t="s">
        <v>1254</v>
      </c>
      <c r="J228" s="248" t="s">
        <v>1254</v>
      </c>
      <c r="K228" s="248">
        <v>3223200</v>
      </c>
      <c r="L228" s="248" t="s">
        <v>1254</v>
      </c>
      <c r="M228" s="248" t="s">
        <v>1254</v>
      </c>
      <c r="N228" s="249">
        <f t="shared" si="4"/>
        <v>3223200</v>
      </c>
    </row>
    <row r="229" spans="1:14" ht="31" customHeight="1" x14ac:dyDescent="0.35">
      <c r="A229" s="247" t="s">
        <v>1166</v>
      </c>
      <c r="B229" s="248" t="s">
        <v>1254</v>
      </c>
      <c r="C229" s="248" t="s">
        <v>1254</v>
      </c>
      <c r="D229" s="248" t="s">
        <v>1254</v>
      </c>
      <c r="E229" s="248" t="s">
        <v>1254</v>
      </c>
      <c r="F229" s="248" t="s">
        <v>1254</v>
      </c>
      <c r="G229" s="248" t="s">
        <v>1254</v>
      </c>
      <c r="H229" s="248">
        <v>4638410</v>
      </c>
      <c r="I229" s="248" t="s">
        <v>1254</v>
      </c>
      <c r="J229" s="248" t="s">
        <v>1254</v>
      </c>
      <c r="K229" s="248" t="s">
        <v>1254</v>
      </c>
      <c r="L229" s="248">
        <v>4296810</v>
      </c>
      <c r="M229" s="248" t="s">
        <v>1254</v>
      </c>
      <c r="N229" s="249">
        <f t="shared" si="4"/>
        <v>4467610</v>
      </c>
    </row>
    <row r="230" spans="1:14" ht="31" customHeight="1" x14ac:dyDescent="0.35">
      <c r="A230" s="247" t="s">
        <v>1167</v>
      </c>
      <c r="B230" s="248" t="s">
        <v>1254</v>
      </c>
      <c r="C230" s="248" t="s">
        <v>1254</v>
      </c>
      <c r="D230" s="248" t="s">
        <v>1254</v>
      </c>
      <c r="E230" s="248" t="s">
        <v>1254</v>
      </c>
      <c r="F230" s="248" t="s">
        <v>1254</v>
      </c>
      <c r="G230" s="248">
        <v>6097110</v>
      </c>
      <c r="H230" s="248" t="s">
        <v>1254</v>
      </c>
      <c r="I230" s="248" t="s">
        <v>1254</v>
      </c>
      <c r="J230" s="248" t="s">
        <v>1254</v>
      </c>
      <c r="K230" s="248" t="s">
        <v>1254</v>
      </c>
      <c r="L230" s="248" t="s">
        <v>1254</v>
      </c>
      <c r="M230" s="248" t="s">
        <v>1254</v>
      </c>
      <c r="N230" s="249">
        <f t="shared" si="4"/>
        <v>6097110</v>
      </c>
    </row>
    <row r="231" spans="1:14" ht="31" customHeight="1" x14ac:dyDescent="0.35">
      <c r="A231" s="247" t="s">
        <v>1168</v>
      </c>
      <c r="B231" s="248" t="s">
        <v>1254</v>
      </c>
      <c r="C231" s="248" t="s">
        <v>1254</v>
      </c>
      <c r="D231" s="248" t="s">
        <v>1254</v>
      </c>
      <c r="E231" s="248">
        <v>2895288</v>
      </c>
      <c r="F231" s="248" t="s">
        <v>1254</v>
      </c>
      <c r="G231" s="248" t="s">
        <v>1254</v>
      </c>
      <c r="H231" s="248" t="s">
        <v>1254</v>
      </c>
      <c r="I231" s="248" t="s">
        <v>1254</v>
      </c>
      <c r="J231" s="248" t="s">
        <v>1254</v>
      </c>
      <c r="K231" s="248" t="s">
        <v>1254</v>
      </c>
      <c r="L231" s="248" t="s">
        <v>1254</v>
      </c>
      <c r="M231" s="248" t="s">
        <v>1254</v>
      </c>
      <c r="N231" s="249">
        <f t="shared" si="4"/>
        <v>2895288</v>
      </c>
    </row>
    <row r="232" spans="1:14" ht="31" customHeight="1" x14ac:dyDescent="0.35">
      <c r="A232" s="247" t="s">
        <v>1169</v>
      </c>
      <c r="B232" s="248" t="s">
        <v>1254</v>
      </c>
      <c r="C232" s="248" t="s">
        <v>1254</v>
      </c>
      <c r="D232" s="248" t="s">
        <v>1254</v>
      </c>
      <c r="E232" s="248" t="s">
        <v>1254</v>
      </c>
      <c r="F232" s="248" t="s">
        <v>1254</v>
      </c>
      <c r="G232" s="248" t="s">
        <v>1254</v>
      </c>
      <c r="H232" s="248" t="s">
        <v>1254</v>
      </c>
      <c r="I232" s="248" t="s">
        <v>1254</v>
      </c>
      <c r="J232" s="248">
        <v>8314173</v>
      </c>
      <c r="K232" s="248" t="s">
        <v>1254</v>
      </c>
      <c r="L232" s="248" t="s">
        <v>1254</v>
      </c>
      <c r="M232" s="248" t="s">
        <v>1254</v>
      </c>
      <c r="N232" s="249">
        <f t="shared" si="4"/>
        <v>8314173</v>
      </c>
    </row>
    <row r="233" spans="1:14" ht="31" customHeight="1" x14ac:dyDescent="0.35">
      <c r="A233" s="247" t="s">
        <v>1170</v>
      </c>
      <c r="B233" s="248" t="s">
        <v>1254</v>
      </c>
      <c r="C233" s="248" t="s">
        <v>1254</v>
      </c>
      <c r="D233" s="248" t="s">
        <v>1254</v>
      </c>
      <c r="E233" s="248" t="s">
        <v>1254</v>
      </c>
      <c r="F233" s="248">
        <v>5331045</v>
      </c>
      <c r="G233" s="248" t="s">
        <v>1254</v>
      </c>
      <c r="H233" s="248" t="s">
        <v>1254</v>
      </c>
      <c r="I233" s="248" t="s">
        <v>1254</v>
      </c>
      <c r="J233" s="248" t="s">
        <v>1254</v>
      </c>
      <c r="K233" s="248" t="s">
        <v>1254</v>
      </c>
      <c r="L233" s="248" t="s">
        <v>1254</v>
      </c>
      <c r="M233" s="248" t="s">
        <v>1254</v>
      </c>
      <c r="N233" s="249">
        <f t="shared" si="4"/>
        <v>5331045</v>
      </c>
    </row>
    <row r="234" spans="1:14" ht="31" customHeight="1" x14ac:dyDescent="0.35">
      <c r="A234" s="247" t="s">
        <v>1171</v>
      </c>
      <c r="B234" s="248" t="s">
        <v>1254</v>
      </c>
      <c r="C234" s="248" t="s">
        <v>1254</v>
      </c>
      <c r="D234" s="248" t="s">
        <v>1254</v>
      </c>
      <c r="E234" s="248" t="s">
        <v>1254</v>
      </c>
      <c r="F234" s="248" t="s">
        <v>1254</v>
      </c>
      <c r="G234" s="248" t="s">
        <v>1254</v>
      </c>
      <c r="H234" s="248" t="s">
        <v>1254</v>
      </c>
      <c r="I234" s="248">
        <v>7530354</v>
      </c>
      <c r="J234" s="248" t="s">
        <v>1254</v>
      </c>
      <c r="K234" s="248" t="s">
        <v>1254</v>
      </c>
      <c r="L234" s="248" t="s">
        <v>1254</v>
      </c>
      <c r="M234" s="248" t="s">
        <v>1254</v>
      </c>
      <c r="N234" s="249">
        <f t="shared" si="4"/>
        <v>7530354</v>
      </c>
    </row>
    <row r="235" spans="1:14" ht="31" customHeight="1" x14ac:dyDescent="0.35">
      <c r="A235" s="247" t="s">
        <v>1172</v>
      </c>
      <c r="B235" s="248" t="s">
        <v>1254</v>
      </c>
      <c r="C235" s="248" t="s">
        <v>1254</v>
      </c>
      <c r="D235" s="248" t="s">
        <v>1254</v>
      </c>
      <c r="E235" s="248">
        <v>2810830</v>
      </c>
      <c r="F235" s="248" t="s">
        <v>1254</v>
      </c>
      <c r="G235" s="248" t="s">
        <v>1254</v>
      </c>
      <c r="H235" s="248" t="s">
        <v>1254</v>
      </c>
      <c r="I235" s="248" t="s">
        <v>1254</v>
      </c>
      <c r="J235" s="248" t="s">
        <v>1254</v>
      </c>
      <c r="K235" s="248" t="s">
        <v>1254</v>
      </c>
      <c r="L235" s="248" t="s">
        <v>1254</v>
      </c>
      <c r="M235" s="248" t="s">
        <v>1254</v>
      </c>
      <c r="N235" s="249">
        <f t="shared" si="4"/>
        <v>2810830</v>
      </c>
    </row>
    <row r="236" spans="1:14" ht="31" customHeight="1" x14ac:dyDescent="0.35">
      <c r="A236" s="247" t="s">
        <v>1173</v>
      </c>
      <c r="B236" s="248" t="s">
        <v>1254</v>
      </c>
      <c r="C236" s="248" t="s">
        <v>1254</v>
      </c>
      <c r="D236" s="248" t="s">
        <v>1254</v>
      </c>
      <c r="E236" s="248" t="s">
        <v>1254</v>
      </c>
      <c r="F236" s="248" t="s">
        <v>1254</v>
      </c>
      <c r="G236" s="248">
        <v>7446900</v>
      </c>
      <c r="H236" s="248" t="s">
        <v>1254</v>
      </c>
      <c r="I236" s="248" t="s">
        <v>1254</v>
      </c>
      <c r="J236" s="248" t="s">
        <v>1254</v>
      </c>
      <c r="K236" s="248" t="s">
        <v>1254</v>
      </c>
      <c r="L236" s="248" t="s">
        <v>1254</v>
      </c>
      <c r="M236" s="248" t="s">
        <v>1254</v>
      </c>
      <c r="N236" s="249">
        <f t="shared" si="4"/>
        <v>7446900</v>
      </c>
    </row>
    <row r="237" spans="1:14" ht="31" customHeight="1" x14ac:dyDescent="0.35">
      <c r="A237" s="247" t="s">
        <v>1174</v>
      </c>
      <c r="B237" s="248" t="s">
        <v>1254</v>
      </c>
      <c r="C237" s="248" t="s">
        <v>1254</v>
      </c>
      <c r="D237" s="248" t="s">
        <v>1254</v>
      </c>
      <c r="E237" s="248" t="s">
        <v>1254</v>
      </c>
      <c r="F237" s="248" t="s">
        <v>1254</v>
      </c>
      <c r="G237" s="248">
        <v>5250229</v>
      </c>
      <c r="H237" s="248" t="s">
        <v>1254</v>
      </c>
      <c r="I237" s="248" t="s">
        <v>1254</v>
      </c>
      <c r="J237" s="248" t="s">
        <v>1254</v>
      </c>
      <c r="K237" s="248" t="s">
        <v>1254</v>
      </c>
      <c r="L237" s="248" t="s">
        <v>1254</v>
      </c>
      <c r="M237" s="248" t="s">
        <v>1254</v>
      </c>
      <c r="N237" s="249">
        <f t="shared" si="4"/>
        <v>5250229</v>
      </c>
    </row>
    <row r="238" spans="1:14" ht="31" customHeight="1" x14ac:dyDescent="0.35">
      <c r="A238" s="247" t="s">
        <v>1175</v>
      </c>
      <c r="B238" s="248" t="s">
        <v>1254</v>
      </c>
      <c r="C238" s="248" t="s">
        <v>1254</v>
      </c>
      <c r="D238" s="248">
        <v>3667648</v>
      </c>
      <c r="E238" s="248" t="s">
        <v>1254</v>
      </c>
      <c r="F238" s="248" t="s">
        <v>1254</v>
      </c>
      <c r="G238" s="248" t="s">
        <v>1254</v>
      </c>
      <c r="H238" s="248" t="s">
        <v>1254</v>
      </c>
      <c r="I238" s="248" t="s">
        <v>1254</v>
      </c>
      <c r="J238" s="248" t="s">
        <v>1254</v>
      </c>
      <c r="K238" s="248" t="s">
        <v>1254</v>
      </c>
      <c r="L238" s="248" t="s">
        <v>1254</v>
      </c>
      <c r="M238" s="248" t="s">
        <v>1254</v>
      </c>
      <c r="N238" s="249">
        <f t="shared" si="4"/>
        <v>3667648</v>
      </c>
    </row>
    <row r="239" spans="1:14" ht="31" customHeight="1" x14ac:dyDescent="0.35">
      <c r="A239" s="247" t="s">
        <v>1176</v>
      </c>
      <c r="B239" s="248" t="s">
        <v>1254</v>
      </c>
      <c r="C239" s="248" t="s">
        <v>1254</v>
      </c>
      <c r="D239" s="248" t="s">
        <v>1254</v>
      </c>
      <c r="E239" s="248" t="s">
        <v>1254</v>
      </c>
      <c r="F239" s="248">
        <v>5275072</v>
      </c>
      <c r="G239" s="248" t="s">
        <v>1254</v>
      </c>
      <c r="H239" s="248" t="s">
        <v>1254</v>
      </c>
      <c r="I239" s="248" t="s">
        <v>1254</v>
      </c>
      <c r="J239" s="248" t="s">
        <v>1254</v>
      </c>
      <c r="K239" s="248" t="s">
        <v>1254</v>
      </c>
      <c r="L239" s="248" t="s">
        <v>1254</v>
      </c>
      <c r="M239" s="248" t="s">
        <v>1254</v>
      </c>
      <c r="N239" s="249">
        <f t="shared" si="4"/>
        <v>5275072</v>
      </c>
    </row>
    <row r="240" spans="1:14" ht="31" customHeight="1" x14ac:dyDescent="0.35">
      <c r="A240" s="247" t="s">
        <v>1177</v>
      </c>
      <c r="B240" s="248" t="s">
        <v>1254</v>
      </c>
      <c r="C240" s="248">
        <v>1082720</v>
      </c>
      <c r="D240" s="248" t="s">
        <v>1254</v>
      </c>
      <c r="E240" s="248" t="s">
        <v>1254</v>
      </c>
      <c r="F240" s="248" t="s">
        <v>1254</v>
      </c>
      <c r="G240" s="248" t="s">
        <v>1254</v>
      </c>
      <c r="H240" s="248" t="s">
        <v>1254</v>
      </c>
      <c r="I240" s="248" t="s">
        <v>1254</v>
      </c>
      <c r="J240" s="248" t="s">
        <v>1254</v>
      </c>
      <c r="K240" s="248" t="s">
        <v>1254</v>
      </c>
      <c r="L240" s="248" t="s">
        <v>1254</v>
      </c>
      <c r="M240" s="248" t="s">
        <v>1254</v>
      </c>
      <c r="N240" s="249">
        <f t="shared" si="4"/>
        <v>1082720</v>
      </c>
    </row>
    <row r="241" spans="1:14" ht="31" customHeight="1" x14ac:dyDescent="0.35">
      <c r="A241" s="247" t="s">
        <v>1178</v>
      </c>
      <c r="B241" s="248" t="s">
        <v>1254</v>
      </c>
      <c r="C241" s="248" t="s">
        <v>1254</v>
      </c>
      <c r="D241" s="248" t="s">
        <v>1254</v>
      </c>
      <c r="E241" s="248" t="s">
        <v>1254</v>
      </c>
      <c r="F241" s="248" t="s">
        <v>1254</v>
      </c>
      <c r="G241" s="248" t="s">
        <v>1254</v>
      </c>
      <c r="H241" s="248" t="s">
        <v>1254</v>
      </c>
      <c r="I241" s="248">
        <v>4109952</v>
      </c>
      <c r="J241" s="248" t="s">
        <v>1254</v>
      </c>
      <c r="K241" s="248" t="s">
        <v>1254</v>
      </c>
      <c r="L241" s="248" t="s">
        <v>1254</v>
      </c>
      <c r="M241" s="248" t="s">
        <v>1254</v>
      </c>
      <c r="N241" s="249">
        <f t="shared" si="4"/>
        <v>4109952</v>
      </c>
    </row>
    <row r="242" spans="1:14" ht="31" customHeight="1" x14ac:dyDescent="0.35">
      <c r="A242" s="247" t="s">
        <v>1179</v>
      </c>
      <c r="B242" s="248" t="s">
        <v>1254</v>
      </c>
      <c r="C242" s="248" t="s">
        <v>1254</v>
      </c>
      <c r="D242" s="248" t="s">
        <v>1254</v>
      </c>
      <c r="E242" s="248" t="s">
        <v>1254</v>
      </c>
      <c r="F242" s="248" t="s">
        <v>1254</v>
      </c>
      <c r="G242" s="248">
        <v>5592580</v>
      </c>
      <c r="H242" s="248" t="s">
        <v>1254</v>
      </c>
      <c r="I242" s="248" t="s">
        <v>1254</v>
      </c>
      <c r="J242" s="248" t="s">
        <v>1254</v>
      </c>
      <c r="K242" s="248" t="s">
        <v>1254</v>
      </c>
      <c r="L242" s="248" t="s">
        <v>1254</v>
      </c>
      <c r="M242" s="248" t="s">
        <v>1254</v>
      </c>
      <c r="N242" s="249">
        <f t="shared" si="4"/>
        <v>5592580</v>
      </c>
    </row>
    <row r="243" spans="1:14" ht="31" customHeight="1" x14ac:dyDescent="0.35">
      <c r="A243" s="247" t="s">
        <v>1180</v>
      </c>
      <c r="B243" s="248" t="s">
        <v>1254</v>
      </c>
      <c r="C243" s="248" t="s">
        <v>1254</v>
      </c>
      <c r="D243" s="248" t="s">
        <v>1254</v>
      </c>
      <c r="E243" s="248" t="s">
        <v>1254</v>
      </c>
      <c r="F243" s="248" t="s">
        <v>1254</v>
      </c>
      <c r="G243" s="248" t="s">
        <v>1254</v>
      </c>
      <c r="H243" s="248" t="s">
        <v>1254</v>
      </c>
      <c r="I243" s="248" t="s">
        <v>1254</v>
      </c>
      <c r="J243" s="248" t="s">
        <v>1254</v>
      </c>
      <c r="K243" s="248">
        <v>5403480</v>
      </c>
      <c r="L243" s="248" t="s">
        <v>1254</v>
      </c>
      <c r="M243" s="248" t="s">
        <v>1254</v>
      </c>
      <c r="N243" s="249">
        <f t="shared" si="4"/>
        <v>5403480</v>
      </c>
    </row>
    <row r="244" spans="1:14" ht="31" customHeight="1" x14ac:dyDescent="0.35">
      <c r="A244" s="247" t="s">
        <v>1181</v>
      </c>
      <c r="B244" s="248" t="s">
        <v>1254</v>
      </c>
      <c r="C244" s="248" t="s">
        <v>1254</v>
      </c>
      <c r="D244" s="248" t="s">
        <v>1254</v>
      </c>
      <c r="E244" s="248" t="s">
        <v>1254</v>
      </c>
      <c r="F244" s="248">
        <v>4031760</v>
      </c>
      <c r="G244" s="248" t="s">
        <v>1254</v>
      </c>
      <c r="H244" s="248" t="s">
        <v>1254</v>
      </c>
      <c r="I244" s="248" t="s">
        <v>1254</v>
      </c>
      <c r="J244" s="248" t="s">
        <v>1254</v>
      </c>
      <c r="K244" s="248" t="s">
        <v>1254</v>
      </c>
      <c r="L244" s="248" t="s">
        <v>1254</v>
      </c>
      <c r="M244" s="248" t="s">
        <v>1254</v>
      </c>
      <c r="N244" s="249">
        <f t="shared" si="4"/>
        <v>4031760</v>
      </c>
    </row>
    <row r="245" spans="1:14" ht="31" customHeight="1" x14ac:dyDescent="0.35">
      <c r="A245" s="247" t="s">
        <v>1182</v>
      </c>
      <c r="B245" s="248" t="s">
        <v>1254</v>
      </c>
      <c r="C245" s="248" t="s">
        <v>1254</v>
      </c>
      <c r="D245" s="248" t="s">
        <v>1254</v>
      </c>
      <c r="E245" s="248">
        <v>7658672</v>
      </c>
      <c r="F245" s="248" t="s">
        <v>1254</v>
      </c>
      <c r="G245" s="248" t="s">
        <v>1254</v>
      </c>
      <c r="H245" s="248" t="s">
        <v>1254</v>
      </c>
      <c r="I245" s="248" t="s">
        <v>1254</v>
      </c>
      <c r="J245" s="248" t="s">
        <v>1254</v>
      </c>
      <c r="K245" s="248" t="s">
        <v>1254</v>
      </c>
      <c r="L245" s="248" t="s">
        <v>1254</v>
      </c>
      <c r="M245" s="248" t="s">
        <v>1254</v>
      </c>
      <c r="N245" s="249">
        <f t="shared" si="4"/>
        <v>7658672</v>
      </c>
    </row>
    <row r="246" spans="1:14" ht="31" customHeight="1" x14ac:dyDescent="0.35">
      <c r="A246" s="247" t="s">
        <v>1183</v>
      </c>
      <c r="B246" s="248" t="s">
        <v>1254</v>
      </c>
      <c r="C246" s="248" t="s">
        <v>1254</v>
      </c>
      <c r="D246" s="248">
        <v>2875698</v>
      </c>
      <c r="E246" s="248" t="s">
        <v>1254</v>
      </c>
      <c r="F246" s="248" t="s">
        <v>1254</v>
      </c>
      <c r="G246" s="248" t="s">
        <v>1254</v>
      </c>
      <c r="H246" s="248" t="s">
        <v>1254</v>
      </c>
      <c r="I246" s="248" t="s">
        <v>1254</v>
      </c>
      <c r="J246" s="248" t="s">
        <v>1254</v>
      </c>
      <c r="K246" s="248" t="s">
        <v>1254</v>
      </c>
      <c r="L246" s="248" t="s">
        <v>1254</v>
      </c>
      <c r="M246" s="248" t="s">
        <v>1254</v>
      </c>
      <c r="N246" s="249">
        <f t="shared" si="4"/>
        <v>2875698</v>
      </c>
    </row>
    <row r="247" spans="1:14" ht="31" customHeight="1" x14ac:dyDescent="0.35">
      <c r="A247" s="247" t="s">
        <v>1184</v>
      </c>
      <c r="B247" s="248">
        <v>9388344</v>
      </c>
      <c r="C247" s="248">
        <v>2382203.5</v>
      </c>
      <c r="D247" s="248">
        <v>4757998.666666667</v>
      </c>
      <c r="E247" s="248">
        <v>4109820</v>
      </c>
      <c r="F247" s="248">
        <v>2975371.5</v>
      </c>
      <c r="G247" s="248">
        <v>7445810</v>
      </c>
      <c r="H247" s="248">
        <v>4074192.6666666665</v>
      </c>
      <c r="I247" s="248">
        <v>3583656.5</v>
      </c>
      <c r="J247" s="248">
        <v>3950395.3333333335</v>
      </c>
      <c r="K247" s="248">
        <v>4591917</v>
      </c>
      <c r="L247" s="248">
        <v>3825710.3333333335</v>
      </c>
      <c r="M247" s="248" t="s">
        <v>1254</v>
      </c>
      <c r="N247" s="249">
        <f t="shared" si="4"/>
        <v>4644129.0454545459</v>
      </c>
    </row>
    <row r="248" spans="1:14" ht="31" customHeight="1" x14ac:dyDescent="0.35">
      <c r="A248" s="247" t="s">
        <v>1185</v>
      </c>
      <c r="B248" s="248" t="s">
        <v>1254</v>
      </c>
      <c r="C248" s="248" t="s">
        <v>1254</v>
      </c>
      <c r="D248" s="248" t="s">
        <v>1254</v>
      </c>
      <c r="E248" s="248" t="s">
        <v>1254</v>
      </c>
      <c r="F248" s="248">
        <v>3206472</v>
      </c>
      <c r="G248" s="248" t="s">
        <v>1254</v>
      </c>
      <c r="H248" s="248" t="s">
        <v>1254</v>
      </c>
      <c r="I248" s="248" t="s">
        <v>1254</v>
      </c>
      <c r="J248" s="248" t="s">
        <v>1254</v>
      </c>
      <c r="K248" s="248" t="s">
        <v>1254</v>
      </c>
      <c r="L248" s="248" t="s">
        <v>1254</v>
      </c>
      <c r="M248" s="248" t="s">
        <v>1254</v>
      </c>
      <c r="N248" s="249">
        <f t="shared" si="4"/>
        <v>3206472</v>
      </c>
    </row>
    <row r="249" spans="1:14" ht="31" customHeight="1" x14ac:dyDescent="0.35">
      <c r="A249" s="247" t="s">
        <v>1186</v>
      </c>
      <c r="B249" s="248" t="s">
        <v>1254</v>
      </c>
      <c r="C249" s="248" t="s">
        <v>1254</v>
      </c>
      <c r="D249" s="248" t="s">
        <v>1254</v>
      </c>
      <c r="E249" s="248" t="s">
        <v>1254</v>
      </c>
      <c r="F249" s="248" t="s">
        <v>1254</v>
      </c>
      <c r="G249" s="248" t="s">
        <v>1254</v>
      </c>
      <c r="H249" s="248" t="s">
        <v>1254</v>
      </c>
      <c r="I249" s="248" t="s">
        <v>1254</v>
      </c>
      <c r="J249" s="248" t="s">
        <v>1254</v>
      </c>
      <c r="K249" s="248">
        <v>3097165</v>
      </c>
      <c r="L249" s="248" t="s">
        <v>1254</v>
      </c>
      <c r="M249" s="248" t="s">
        <v>1254</v>
      </c>
      <c r="N249" s="249">
        <f t="shared" si="4"/>
        <v>3097165</v>
      </c>
    </row>
    <row r="250" spans="1:14" ht="31" customHeight="1" x14ac:dyDescent="0.35">
      <c r="A250" s="247" t="s">
        <v>1187</v>
      </c>
      <c r="B250" s="248" t="s">
        <v>1254</v>
      </c>
      <c r="C250" s="248" t="s">
        <v>1254</v>
      </c>
      <c r="D250" s="248" t="s">
        <v>1254</v>
      </c>
      <c r="E250" s="248" t="s">
        <v>1254</v>
      </c>
      <c r="F250" s="248" t="s">
        <v>1254</v>
      </c>
      <c r="G250" s="248" t="s">
        <v>1254</v>
      </c>
      <c r="H250" s="248" t="s">
        <v>1254</v>
      </c>
      <c r="I250" s="248" t="s">
        <v>1254</v>
      </c>
      <c r="J250" s="248" t="s">
        <v>1254</v>
      </c>
      <c r="K250" s="248" t="s">
        <v>1254</v>
      </c>
      <c r="L250" s="248">
        <v>5859720</v>
      </c>
      <c r="M250" s="248" t="s">
        <v>1254</v>
      </c>
      <c r="N250" s="249">
        <f t="shared" si="4"/>
        <v>5859720</v>
      </c>
    </row>
    <row r="251" spans="1:14" ht="31" customHeight="1" x14ac:dyDescent="0.35">
      <c r="A251" s="247" t="s">
        <v>1188</v>
      </c>
      <c r="B251" s="248" t="s">
        <v>1254</v>
      </c>
      <c r="C251" s="248" t="s">
        <v>1254</v>
      </c>
      <c r="D251" s="248" t="s">
        <v>1254</v>
      </c>
      <c r="E251" s="248" t="s">
        <v>1254</v>
      </c>
      <c r="F251" s="248" t="s">
        <v>1254</v>
      </c>
      <c r="G251" s="248" t="s">
        <v>1254</v>
      </c>
      <c r="H251" s="248" t="s">
        <v>1254</v>
      </c>
      <c r="I251" s="248" t="s">
        <v>1254</v>
      </c>
      <c r="J251" s="248" t="s">
        <v>1254</v>
      </c>
      <c r="K251" s="248">
        <v>1988600</v>
      </c>
      <c r="L251" s="248" t="s">
        <v>1254</v>
      </c>
      <c r="M251" s="248" t="s">
        <v>1254</v>
      </c>
      <c r="N251" s="249">
        <f t="shared" si="4"/>
        <v>1988600</v>
      </c>
    </row>
    <row r="252" spans="1:14" ht="31" customHeight="1" x14ac:dyDescent="0.35">
      <c r="A252" s="247" t="s">
        <v>1189</v>
      </c>
      <c r="B252" s="248" t="s">
        <v>1254</v>
      </c>
      <c r="C252" s="248" t="s">
        <v>1254</v>
      </c>
      <c r="D252" s="248" t="s">
        <v>1254</v>
      </c>
      <c r="E252" s="248" t="s">
        <v>1254</v>
      </c>
      <c r="F252" s="248" t="s">
        <v>1254</v>
      </c>
      <c r="G252" s="248" t="s">
        <v>1254</v>
      </c>
      <c r="H252" s="248" t="s">
        <v>1254</v>
      </c>
      <c r="I252" s="248" t="s">
        <v>1254</v>
      </c>
      <c r="J252" s="248" t="s">
        <v>1254</v>
      </c>
      <c r="K252" s="248">
        <v>4124160</v>
      </c>
      <c r="L252" s="248" t="s">
        <v>1254</v>
      </c>
      <c r="M252" s="248" t="s">
        <v>1254</v>
      </c>
      <c r="N252" s="249">
        <f t="shared" si="4"/>
        <v>4124160</v>
      </c>
    </row>
    <row r="253" spans="1:14" ht="31" customHeight="1" x14ac:dyDescent="0.35">
      <c r="A253" s="247" t="s">
        <v>1190</v>
      </c>
      <c r="B253" s="248" t="s">
        <v>1254</v>
      </c>
      <c r="C253" s="248" t="s">
        <v>1254</v>
      </c>
      <c r="D253" s="248">
        <v>6667920</v>
      </c>
      <c r="E253" s="248" t="s">
        <v>1254</v>
      </c>
      <c r="F253" s="248" t="s">
        <v>1254</v>
      </c>
      <c r="G253" s="248" t="s">
        <v>1254</v>
      </c>
      <c r="H253" s="248" t="s">
        <v>1254</v>
      </c>
      <c r="I253" s="248" t="s">
        <v>1254</v>
      </c>
      <c r="J253" s="248" t="s">
        <v>1254</v>
      </c>
      <c r="K253" s="248" t="s">
        <v>1254</v>
      </c>
      <c r="L253" s="248" t="s">
        <v>1254</v>
      </c>
      <c r="M253" s="248" t="s">
        <v>1254</v>
      </c>
      <c r="N253" s="249">
        <f t="shared" si="4"/>
        <v>6667920</v>
      </c>
    </row>
    <row r="254" spans="1:14" ht="31" customHeight="1" x14ac:dyDescent="0.35">
      <c r="A254" s="247" t="s">
        <v>1191</v>
      </c>
      <c r="B254" s="248" t="s">
        <v>1254</v>
      </c>
      <c r="C254" s="248" t="s">
        <v>1254</v>
      </c>
      <c r="D254" s="248" t="s">
        <v>1254</v>
      </c>
      <c r="E254" s="248" t="s">
        <v>1254</v>
      </c>
      <c r="F254" s="248" t="s">
        <v>1254</v>
      </c>
      <c r="G254" s="248" t="s">
        <v>1254</v>
      </c>
      <c r="H254" s="248" t="s">
        <v>1254</v>
      </c>
      <c r="I254" s="248" t="s">
        <v>1254</v>
      </c>
      <c r="J254" s="248" t="s">
        <v>1254</v>
      </c>
      <c r="K254" s="248" t="s">
        <v>1254</v>
      </c>
      <c r="L254" s="248">
        <v>6334720</v>
      </c>
      <c r="M254" s="248" t="s">
        <v>1254</v>
      </c>
      <c r="N254" s="249">
        <f t="shared" si="4"/>
        <v>6334720</v>
      </c>
    </row>
    <row r="255" spans="1:14" ht="31" customHeight="1" x14ac:dyDescent="0.35">
      <c r="A255" s="247" t="s">
        <v>1192</v>
      </c>
      <c r="B255" s="248" t="s">
        <v>1254</v>
      </c>
      <c r="C255" s="248" t="s">
        <v>1254</v>
      </c>
      <c r="D255" s="248" t="s">
        <v>1254</v>
      </c>
      <c r="E255" s="248" t="s">
        <v>1254</v>
      </c>
      <c r="F255" s="248" t="s">
        <v>1254</v>
      </c>
      <c r="G255" s="248" t="s">
        <v>1254</v>
      </c>
      <c r="H255" s="248" t="s">
        <v>1254</v>
      </c>
      <c r="I255" s="248" t="s">
        <v>1254</v>
      </c>
      <c r="J255" s="248" t="s">
        <v>1254</v>
      </c>
      <c r="K255" s="248">
        <v>4107438</v>
      </c>
      <c r="L255" s="248" t="s">
        <v>1254</v>
      </c>
      <c r="M255" s="248" t="s">
        <v>1254</v>
      </c>
      <c r="N255" s="249">
        <f t="shared" si="4"/>
        <v>4107438</v>
      </c>
    </row>
    <row r="256" spans="1:14" ht="31" customHeight="1" x14ac:dyDescent="0.35">
      <c r="A256" s="247" t="s">
        <v>1193</v>
      </c>
      <c r="B256" s="248" t="s">
        <v>1254</v>
      </c>
      <c r="C256" s="248" t="s">
        <v>1254</v>
      </c>
      <c r="D256" s="248" t="s">
        <v>1254</v>
      </c>
      <c r="E256" s="248" t="s">
        <v>1254</v>
      </c>
      <c r="F256" s="248" t="s">
        <v>1254</v>
      </c>
      <c r="G256" s="248" t="s">
        <v>1254</v>
      </c>
      <c r="H256" s="248" t="s">
        <v>1254</v>
      </c>
      <c r="I256" s="248">
        <v>4485908</v>
      </c>
      <c r="J256" s="248" t="s">
        <v>1254</v>
      </c>
      <c r="K256" s="248" t="s">
        <v>1254</v>
      </c>
      <c r="L256" s="248" t="s">
        <v>1254</v>
      </c>
      <c r="M256" s="248" t="s">
        <v>1254</v>
      </c>
      <c r="N256" s="249">
        <f t="shared" si="4"/>
        <v>4485908</v>
      </c>
    </row>
    <row r="257" spans="1:14" ht="31" customHeight="1" x14ac:dyDescent="0.35">
      <c r="A257" s="247" t="s">
        <v>1194</v>
      </c>
      <c r="B257" s="248">
        <v>2492001</v>
      </c>
      <c r="C257" s="248" t="s">
        <v>1254</v>
      </c>
      <c r="D257" s="248" t="s">
        <v>1254</v>
      </c>
      <c r="E257" s="248" t="s">
        <v>1254</v>
      </c>
      <c r="F257" s="248" t="s">
        <v>1254</v>
      </c>
      <c r="G257" s="248" t="s">
        <v>1254</v>
      </c>
      <c r="H257" s="248" t="s">
        <v>1254</v>
      </c>
      <c r="I257" s="248" t="s">
        <v>1254</v>
      </c>
      <c r="J257" s="248" t="s">
        <v>1254</v>
      </c>
      <c r="K257" s="248" t="s">
        <v>1254</v>
      </c>
      <c r="L257" s="248" t="s">
        <v>1254</v>
      </c>
      <c r="M257" s="248" t="s">
        <v>1254</v>
      </c>
      <c r="N257" s="249">
        <f t="shared" si="4"/>
        <v>2492001</v>
      </c>
    </row>
    <row r="258" spans="1:14" ht="31" customHeight="1" x14ac:dyDescent="0.35">
      <c r="A258" s="247" t="s">
        <v>1195</v>
      </c>
      <c r="B258" s="248" t="s">
        <v>1254</v>
      </c>
      <c r="C258" s="248" t="s">
        <v>1254</v>
      </c>
      <c r="D258" s="248" t="s">
        <v>1254</v>
      </c>
      <c r="E258" s="248" t="s">
        <v>1254</v>
      </c>
      <c r="F258" s="248" t="s">
        <v>1254</v>
      </c>
      <c r="G258" s="248">
        <v>1647398</v>
      </c>
      <c r="H258" s="248" t="s">
        <v>1254</v>
      </c>
      <c r="I258" s="248" t="s">
        <v>1254</v>
      </c>
      <c r="J258" s="248" t="s">
        <v>1254</v>
      </c>
      <c r="K258" s="248" t="s">
        <v>1254</v>
      </c>
      <c r="L258" s="248" t="s">
        <v>1254</v>
      </c>
      <c r="M258" s="248" t="s">
        <v>1254</v>
      </c>
      <c r="N258" s="249">
        <f t="shared" si="4"/>
        <v>1647398</v>
      </c>
    </row>
    <row r="259" spans="1:14" ht="31" customHeight="1" x14ac:dyDescent="0.35">
      <c r="A259" s="247" t="s">
        <v>1196</v>
      </c>
      <c r="B259" s="248" t="s">
        <v>1254</v>
      </c>
      <c r="C259" s="248" t="s">
        <v>1254</v>
      </c>
      <c r="D259" s="248">
        <v>4675605</v>
      </c>
      <c r="E259" s="248" t="s">
        <v>1254</v>
      </c>
      <c r="F259" s="248" t="s">
        <v>1254</v>
      </c>
      <c r="G259" s="248" t="s">
        <v>1254</v>
      </c>
      <c r="H259" s="248" t="s">
        <v>1254</v>
      </c>
      <c r="I259" s="248" t="s">
        <v>1254</v>
      </c>
      <c r="J259" s="248" t="s">
        <v>1254</v>
      </c>
      <c r="K259" s="248" t="s">
        <v>1254</v>
      </c>
      <c r="L259" s="248" t="s">
        <v>1254</v>
      </c>
      <c r="M259" s="248" t="s">
        <v>1254</v>
      </c>
      <c r="N259" s="249">
        <f t="shared" si="4"/>
        <v>4675605</v>
      </c>
    </row>
    <row r="260" spans="1:14" ht="31" customHeight="1" x14ac:dyDescent="0.35">
      <c r="A260" s="247" t="s">
        <v>1197</v>
      </c>
      <c r="B260" s="248">
        <v>6775020</v>
      </c>
      <c r="C260" s="248" t="s">
        <v>1254</v>
      </c>
      <c r="D260" s="248" t="s">
        <v>1254</v>
      </c>
      <c r="E260" s="248" t="s">
        <v>1254</v>
      </c>
      <c r="F260" s="248" t="s">
        <v>1254</v>
      </c>
      <c r="G260" s="248" t="s">
        <v>1254</v>
      </c>
      <c r="H260" s="248" t="s">
        <v>1254</v>
      </c>
      <c r="I260" s="248" t="s">
        <v>1254</v>
      </c>
      <c r="J260" s="248" t="s">
        <v>1254</v>
      </c>
      <c r="K260" s="248" t="s">
        <v>1254</v>
      </c>
      <c r="L260" s="248" t="s">
        <v>1254</v>
      </c>
      <c r="M260" s="248" t="s">
        <v>1254</v>
      </c>
      <c r="N260" s="249">
        <f t="shared" si="4"/>
        <v>6775020</v>
      </c>
    </row>
    <row r="261" spans="1:14" ht="31" customHeight="1" x14ac:dyDescent="0.35">
      <c r="A261" s="247" t="s">
        <v>1198</v>
      </c>
      <c r="B261" s="248" t="s">
        <v>1254</v>
      </c>
      <c r="C261" s="248" t="s">
        <v>1254</v>
      </c>
      <c r="D261" s="248" t="s">
        <v>1254</v>
      </c>
      <c r="E261" s="248" t="s">
        <v>1254</v>
      </c>
      <c r="F261" s="248" t="s">
        <v>1254</v>
      </c>
      <c r="G261" s="248" t="s">
        <v>1254</v>
      </c>
      <c r="H261" s="248" t="s">
        <v>1254</v>
      </c>
      <c r="I261" s="248">
        <v>3670800</v>
      </c>
      <c r="J261" s="248" t="s">
        <v>1254</v>
      </c>
      <c r="K261" s="248" t="s">
        <v>1254</v>
      </c>
      <c r="L261" s="248" t="s">
        <v>1254</v>
      </c>
      <c r="M261" s="248" t="s">
        <v>1254</v>
      </c>
      <c r="N261" s="249">
        <f t="shared" si="4"/>
        <v>3670800</v>
      </c>
    </row>
    <row r="262" spans="1:14" ht="31" customHeight="1" x14ac:dyDescent="0.35">
      <c r="A262" s="247" t="s">
        <v>1199</v>
      </c>
      <c r="B262" s="248" t="s">
        <v>1254</v>
      </c>
      <c r="C262" s="248" t="s">
        <v>1254</v>
      </c>
      <c r="D262" s="248" t="s">
        <v>1254</v>
      </c>
      <c r="E262" s="248" t="s">
        <v>1254</v>
      </c>
      <c r="F262" s="248">
        <v>1797276</v>
      </c>
      <c r="G262" s="248" t="s">
        <v>1254</v>
      </c>
      <c r="H262" s="248" t="s">
        <v>1254</v>
      </c>
      <c r="I262" s="248" t="s">
        <v>1254</v>
      </c>
      <c r="J262" s="248" t="s">
        <v>1254</v>
      </c>
      <c r="K262" s="248" t="s">
        <v>1254</v>
      </c>
      <c r="L262" s="248" t="s">
        <v>1254</v>
      </c>
      <c r="M262" s="248" t="s">
        <v>1254</v>
      </c>
      <c r="N262" s="249">
        <f t="shared" si="4"/>
        <v>1797276</v>
      </c>
    </row>
    <row r="263" spans="1:14" ht="31" customHeight="1" x14ac:dyDescent="0.35">
      <c r="A263" s="247" t="s">
        <v>1200</v>
      </c>
      <c r="B263" s="248" t="s">
        <v>1254</v>
      </c>
      <c r="C263" s="248" t="s">
        <v>1254</v>
      </c>
      <c r="D263" s="248" t="s">
        <v>1254</v>
      </c>
      <c r="E263" s="248" t="s">
        <v>1254</v>
      </c>
      <c r="F263" s="248" t="s">
        <v>1254</v>
      </c>
      <c r="G263" s="248" t="s">
        <v>1254</v>
      </c>
      <c r="H263" s="248" t="s">
        <v>1254</v>
      </c>
      <c r="I263" s="248" t="s">
        <v>1254</v>
      </c>
      <c r="J263" s="248">
        <v>1117455</v>
      </c>
      <c r="K263" s="248" t="s">
        <v>1254</v>
      </c>
      <c r="L263" s="248" t="s">
        <v>1254</v>
      </c>
      <c r="M263" s="248" t="s">
        <v>1254</v>
      </c>
      <c r="N263" s="249">
        <f t="shared" si="4"/>
        <v>1117455</v>
      </c>
    </row>
    <row r="264" spans="1:14" ht="31" customHeight="1" x14ac:dyDescent="0.35">
      <c r="A264" s="247" t="s">
        <v>1201</v>
      </c>
      <c r="B264" s="248" t="s">
        <v>1254</v>
      </c>
      <c r="C264" s="248" t="s">
        <v>1254</v>
      </c>
      <c r="D264" s="248" t="s">
        <v>1254</v>
      </c>
      <c r="E264" s="248" t="s">
        <v>1254</v>
      </c>
      <c r="F264" s="248" t="s">
        <v>1254</v>
      </c>
      <c r="G264" s="248" t="s">
        <v>1254</v>
      </c>
      <c r="H264" s="248" t="s">
        <v>1254</v>
      </c>
      <c r="I264" s="248" t="s">
        <v>1254</v>
      </c>
      <c r="J264" s="248">
        <v>5819940</v>
      </c>
      <c r="K264" s="248" t="s">
        <v>1254</v>
      </c>
      <c r="L264" s="248" t="s">
        <v>1254</v>
      </c>
      <c r="M264" s="248" t="s">
        <v>1254</v>
      </c>
      <c r="N264" s="249">
        <f t="shared" si="4"/>
        <v>5819940</v>
      </c>
    </row>
    <row r="265" spans="1:14" ht="31" customHeight="1" x14ac:dyDescent="0.35">
      <c r="A265" s="247" t="s">
        <v>1202</v>
      </c>
      <c r="B265" s="248" t="s">
        <v>1254</v>
      </c>
      <c r="C265" s="248" t="s">
        <v>1254</v>
      </c>
      <c r="D265" s="248" t="s">
        <v>1254</v>
      </c>
      <c r="E265" s="248" t="s">
        <v>1254</v>
      </c>
      <c r="F265" s="248" t="s">
        <v>1254</v>
      </c>
      <c r="G265" s="248" t="s">
        <v>1254</v>
      </c>
      <c r="H265" s="248" t="s">
        <v>1254</v>
      </c>
      <c r="I265" s="248">
        <v>4445500</v>
      </c>
      <c r="J265" s="248" t="s">
        <v>1254</v>
      </c>
      <c r="K265" s="248" t="s">
        <v>1254</v>
      </c>
      <c r="L265" s="248" t="s">
        <v>1254</v>
      </c>
      <c r="M265" s="248" t="s">
        <v>1254</v>
      </c>
      <c r="N265" s="249">
        <f t="shared" si="4"/>
        <v>4445500</v>
      </c>
    </row>
    <row r="266" spans="1:14" ht="31" customHeight="1" x14ac:dyDescent="0.35">
      <c r="A266" s="247" t="s">
        <v>1203</v>
      </c>
      <c r="B266" s="248" t="s">
        <v>1254</v>
      </c>
      <c r="C266" s="248" t="s">
        <v>1254</v>
      </c>
      <c r="D266" s="248" t="s">
        <v>1254</v>
      </c>
      <c r="E266" s="248" t="s">
        <v>1254</v>
      </c>
      <c r="F266" s="248" t="s">
        <v>1254</v>
      </c>
      <c r="G266" s="248" t="s">
        <v>1254</v>
      </c>
      <c r="H266" s="248" t="s">
        <v>1254</v>
      </c>
      <c r="I266" s="248" t="s">
        <v>1254</v>
      </c>
      <c r="J266" s="248" t="s">
        <v>1254</v>
      </c>
      <c r="K266" s="248" t="s">
        <v>1254</v>
      </c>
      <c r="L266" s="248">
        <v>3252402</v>
      </c>
      <c r="M266" s="248" t="s">
        <v>1254</v>
      </c>
      <c r="N266" s="249">
        <f t="shared" si="4"/>
        <v>3252402</v>
      </c>
    </row>
    <row r="267" spans="1:14" ht="31" customHeight="1" x14ac:dyDescent="0.35">
      <c r="A267" s="247" t="s">
        <v>1204</v>
      </c>
      <c r="B267" s="248" t="s">
        <v>1254</v>
      </c>
      <c r="C267" s="248" t="s">
        <v>1254</v>
      </c>
      <c r="D267" s="248" t="s">
        <v>1254</v>
      </c>
      <c r="E267" s="248" t="s">
        <v>1254</v>
      </c>
      <c r="F267" s="248">
        <v>3336606</v>
      </c>
      <c r="G267" s="248" t="s">
        <v>1254</v>
      </c>
      <c r="H267" s="248" t="s">
        <v>1254</v>
      </c>
      <c r="I267" s="248" t="s">
        <v>1254</v>
      </c>
      <c r="J267" s="248" t="s">
        <v>1254</v>
      </c>
      <c r="K267" s="248" t="s">
        <v>1254</v>
      </c>
      <c r="L267" s="248" t="s">
        <v>1254</v>
      </c>
      <c r="M267" s="248" t="s">
        <v>1254</v>
      </c>
      <c r="N267" s="249">
        <f t="shared" si="4"/>
        <v>3336606</v>
      </c>
    </row>
    <row r="268" spans="1:14" ht="31" customHeight="1" x14ac:dyDescent="0.35">
      <c r="A268" s="247" t="s">
        <v>1205</v>
      </c>
      <c r="B268" s="248" t="s">
        <v>1254</v>
      </c>
      <c r="C268" s="248">
        <v>3552240</v>
      </c>
      <c r="D268" s="248" t="s">
        <v>1254</v>
      </c>
      <c r="E268" s="248" t="s">
        <v>1254</v>
      </c>
      <c r="F268" s="248" t="s">
        <v>1254</v>
      </c>
      <c r="G268" s="248" t="s">
        <v>1254</v>
      </c>
      <c r="H268" s="248" t="s">
        <v>1254</v>
      </c>
      <c r="I268" s="248" t="s">
        <v>1254</v>
      </c>
      <c r="J268" s="248" t="s">
        <v>1254</v>
      </c>
      <c r="K268" s="248" t="s">
        <v>1254</v>
      </c>
      <c r="L268" s="248" t="s">
        <v>1254</v>
      </c>
      <c r="M268" s="248" t="s">
        <v>1254</v>
      </c>
      <c r="N268" s="249">
        <f t="shared" si="4"/>
        <v>3552240</v>
      </c>
    </row>
    <row r="269" spans="1:14" ht="31" customHeight="1" x14ac:dyDescent="0.35">
      <c r="A269" s="247" t="s">
        <v>1206</v>
      </c>
      <c r="B269" s="248">
        <v>6414320</v>
      </c>
      <c r="C269" s="248" t="s">
        <v>1254</v>
      </c>
      <c r="D269" s="248" t="s">
        <v>1254</v>
      </c>
      <c r="E269" s="248" t="s">
        <v>1254</v>
      </c>
      <c r="F269" s="248" t="s">
        <v>1254</v>
      </c>
      <c r="G269" s="248" t="s">
        <v>1254</v>
      </c>
      <c r="H269" s="248" t="s">
        <v>1254</v>
      </c>
      <c r="I269" s="248" t="s">
        <v>1254</v>
      </c>
      <c r="J269" s="248" t="s">
        <v>1254</v>
      </c>
      <c r="K269" s="248" t="s">
        <v>1254</v>
      </c>
      <c r="L269" s="248" t="s">
        <v>1254</v>
      </c>
      <c r="M269" s="248" t="s">
        <v>1254</v>
      </c>
      <c r="N269" s="249">
        <f t="shared" si="4"/>
        <v>6414320</v>
      </c>
    </row>
    <row r="270" spans="1:14" ht="31" customHeight="1" x14ac:dyDescent="0.35">
      <c r="A270" s="247" t="s">
        <v>1207</v>
      </c>
      <c r="B270" s="248">
        <v>2553980</v>
      </c>
      <c r="C270" s="248" t="s">
        <v>1254</v>
      </c>
      <c r="D270" s="248" t="s">
        <v>1254</v>
      </c>
      <c r="E270" s="248" t="s">
        <v>1254</v>
      </c>
      <c r="F270" s="248" t="s">
        <v>1254</v>
      </c>
      <c r="G270" s="248" t="s">
        <v>1254</v>
      </c>
      <c r="H270" s="248" t="s">
        <v>1254</v>
      </c>
      <c r="I270" s="248" t="s">
        <v>1254</v>
      </c>
      <c r="J270" s="248" t="s">
        <v>1254</v>
      </c>
      <c r="K270" s="248" t="s">
        <v>1254</v>
      </c>
      <c r="L270" s="248" t="s">
        <v>1254</v>
      </c>
      <c r="M270" s="248" t="s">
        <v>1254</v>
      </c>
      <c r="N270" s="249">
        <f t="shared" si="4"/>
        <v>2553980</v>
      </c>
    </row>
    <row r="271" spans="1:14" ht="31" customHeight="1" x14ac:dyDescent="0.35">
      <c r="A271" s="247" t="s">
        <v>1208</v>
      </c>
      <c r="B271" s="248" t="s">
        <v>1254</v>
      </c>
      <c r="C271" s="248" t="s">
        <v>1254</v>
      </c>
      <c r="D271" s="248" t="s">
        <v>1254</v>
      </c>
      <c r="E271" s="248" t="s">
        <v>1254</v>
      </c>
      <c r="F271" s="248" t="s">
        <v>1254</v>
      </c>
      <c r="G271" s="248" t="s">
        <v>1254</v>
      </c>
      <c r="H271" s="248">
        <v>2927020</v>
      </c>
      <c r="I271" s="248" t="s">
        <v>1254</v>
      </c>
      <c r="J271" s="248" t="s">
        <v>1254</v>
      </c>
      <c r="K271" s="248" t="s">
        <v>1254</v>
      </c>
      <c r="L271" s="248" t="s">
        <v>1254</v>
      </c>
      <c r="M271" s="248" t="s">
        <v>1254</v>
      </c>
      <c r="N271" s="249">
        <f t="shared" si="4"/>
        <v>2927020</v>
      </c>
    </row>
    <row r="272" spans="1:14" ht="31" customHeight="1" x14ac:dyDescent="0.35">
      <c r="A272" s="247" t="s">
        <v>1209</v>
      </c>
      <c r="B272" s="248" t="s">
        <v>1254</v>
      </c>
      <c r="C272" s="248" t="s">
        <v>1254</v>
      </c>
      <c r="D272" s="248" t="s">
        <v>1254</v>
      </c>
      <c r="E272" s="248" t="s">
        <v>1254</v>
      </c>
      <c r="F272" s="248" t="s">
        <v>1254</v>
      </c>
      <c r="G272" s="248">
        <v>1705632</v>
      </c>
      <c r="H272" s="248" t="s">
        <v>1254</v>
      </c>
      <c r="I272" s="248" t="s">
        <v>1254</v>
      </c>
      <c r="J272" s="248" t="s">
        <v>1254</v>
      </c>
      <c r="K272" s="248" t="s">
        <v>1254</v>
      </c>
      <c r="L272" s="248" t="s">
        <v>1254</v>
      </c>
      <c r="M272" s="248" t="s">
        <v>1254</v>
      </c>
      <c r="N272" s="249">
        <f t="shared" si="4"/>
        <v>1705632</v>
      </c>
    </row>
    <row r="273" spans="1:14" ht="31" customHeight="1" x14ac:dyDescent="0.35">
      <c r="A273" s="247" t="s">
        <v>1210</v>
      </c>
      <c r="B273" s="248" t="s">
        <v>1254</v>
      </c>
      <c r="C273" s="248" t="s">
        <v>1254</v>
      </c>
      <c r="D273" s="248" t="s">
        <v>1254</v>
      </c>
      <c r="E273" s="248" t="s">
        <v>1254</v>
      </c>
      <c r="F273" s="248" t="s">
        <v>1254</v>
      </c>
      <c r="G273" s="248" t="s">
        <v>1254</v>
      </c>
      <c r="H273" s="248" t="s">
        <v>1254</v>
      </c>
      <c r="I273" s="248" t="s">
        <v>1254</v>
      </c>
      <c r="J273" s="248" t="s">
        <v>1254</v>
      </c>
      <c r="K273" s="248">
        <v>5193090</v>
      </c>
      <c r="L273" s="248" t="s">
        <v>1254</v>
      </c>
      <c r="M273" s="248" t="s">
        <v>1254</v>
      </c>
      <c r="N273" s="249">
        <f t="shared" si="4"/>
        <v>5193090</v>
      </c>
    </row>
    <row r="274" spans="1:14" ht="31" customHeight="1" x14ac:dyDescent="0.35">
      <c r="A274" s="247" t="s">
        <v>1211</v>
      </c>
      <c r="B274" s="248">
        <v>7271810</v>
      </c>
      <c r="C274" s="248" t="s">
        <v>1254</v>
      </c>
      <c r="D274" s="248" t="s">
        <v>1254</v>
      </c>
      <c r="E274" s="248" t="s">
        <v>1254</v>
      </c>
      <c r="F274" s="248" t="s">
        <v>1254</v>
      </c>
      <c r="G274" s="248" t="s">
        <v>1254</v>
      </c>
      <c r="H274" s="248" t="s">
        <v>1254</v>
      </c>
      <c r="I274" s="248" t="s">
        <v>1254</v>
      </c>
      <c r="J274" s="248" t="s">
        <v>1254</v>
      </c>
      <c r="K274" s="248" t="s">
        <v>1254</v>
      </c>
      <c r="L274" s="248" t="s">
        <v>1254</v>
      </c>
      <c r="M274" s="248" t="s">
        <v>1254</v>
      </c>
      <c r="N274" s="249">
        <f t="shared" si="4"/>
        <v>7271810</v>
      </c>
    </row>
    <row r="275" spans="1:14" ht="31" customHeight="1" x14ac:dyDescent="0.35">
      <c r="A275" s="247" t="s">
        <v>1212</v>
      </c>
      <c r="B275" s="248" t="s">
        <v>1254</v>
      </c>
      <c r="C275" s="248" t="s">
        <v>1254</v>
      </c>
      <c r="D275" s="248" t="s">
        <v>1254</v>
      </c>
      <c r="E275" s="248" t="s">
        <v>1254</v>
      </c>
      <c r="F275" s="248" t="s">
        <v>1254</v>
      </c>
      <c r="G275" s="248" t="s">
        <v>1254</v>
      </c>
      <c r="H275" s="248" t="s">
        <v>1254</v>
      </c>
      <c r="I275" s="248">
        <v>1287616</v>
      </c>
      <c r="J275" s="248" t="s">
        <v>1254</v>
      </c>
      <c r="K275" s="248" t="s">
        <v>1254</v>
      </c>
      <c r="L275" s="248" t="s">
        <v>1254</v>
      </c>
      <c r="M275" s="248" t="s">
        <v>1254</v>
      </c>
      <c r="N275" s="249">
        <f t="shared" si="4"/>
        <v>1287616</v>
      </c>
    </row>
    <row r="276" spans="1:14" ht="31" customHeight="1" x14ac:dyDescent="0.35">
      <c r="A276" s="247" t="s">
        <v>1213</v>
      </c>
      <c r="B276" s="248" t="s">
        <v>1254</v>
      </c>
      <c r="C276" s="248" t="s">
        <v>1254</v>
      </c>
      <c r="D276" s="248" t="s">
        <v>1254</v>
      </c>
      <c r="E276" s="248" t="s">
        <v>1254</v>
      </c>
      <c r="F276" s="248">
        <v>4601856</v>
      </c>
      <c r="G276" s="248" t="s">
        <v>1254</v>
      </c>
      <c r="H276" s="248" t="s">
        <v>1254</v>
      </c>
      <c r="I276" s="248" t="s">
        <v>1254</v>
      </c>
      <c r="J276" s="248" t="s">
        <v>1254</v>
      </c>
      <c r="K276" s="248" t="s">
        <v>1254</v>
      </c>
      <c r="L276" s="248" t="s">
        <v>1254</v>
      </c>
      <c r="M276" s="248" t="s">
        <v>1254</v>
      </c>
      <c r="N276" s="249">
        <f t="shared" si="4"/>
        <v>4601856</v>
      </c>
    </row>
    <row r="277" spans="1:14" ht="31" customHeight="1" x14ac:dyDescent="0.35">
      <c r="A277" s="247" t="s">
        <v>1214</v>
      </c>
      <c r="B277" s="248" t="s">
        <v>1254</v>
      </c>
      <c r="C277" s="248" t="s">
        <v>1254</v>
      </c>
      <c r="D277" s="248" t="s">
        <v>1254</v>
      </c>
      <c r="E277" s="248" t="s">
        <v>1254</v>
      </c>
      <c r="F277" s="248" t="s">
        <v>1254</v>
      </c>
      <c r="G277" s="248">
        <v>5025273</v>
      </c>
      <c r="H277" s="248" t="s">
        <v>1254</v>
      </c>
      <c r="I277" s="248" t="s">
        <v>1254</v>
      </c>
      <c r="J277" s="248" t="s">
        <v>1254</v>
      </c>
      <c r="K277" s="248" t="s">
        <v>1254</v>
      </c>
      <c r="L277" s="248" t="s">
        <v>1254</v>
      </c>
      <c r="M277" s="248" t="s">
        <v>1254</v>
      </c>
      <c r="N277" s="249">
        <f t="shared" si="4"/>
        <v>5025273</v>
      </c>
    </row>
    <row r="278" spans="1:14" ht="31" customHeight="1" x14ac:dyDescent="0.35">
      <c r="A278" s="247" t="s">
        <v>1215</v>
      </c>
      <c r="B278" s="248">
        <v>1862499</v>
      </c>
      <c r="C278" s="248" t="s">
        <v>1254</v>
      </c>
      <c r="D278" s="248" t="s">
        <v>1254</v>
      </c>
      <c r="E278" s="248" t="s">
        <v>1254</v>
      </c>
      <c r="F278" s="248" t="s">
        <v>1254</v>
      </c>
      <c r="G278" s="248" t="s">
        <v>1254</v>
      </c>
      <c r="H278" s="248" t="s">
        <v>1254</v>
      </c>
      <c r="I278" s="248" t="s">
        <v>1254</v>
      </c>
      <c r="J278" s="248" t="s">
        <v>1254</v>
      </c>
      <c r="K278" s="248" t="s">
        <v>1254</v>
      </c>
      <c r="L278" s="248" t="s">
        <v>1254</v>
      </c>
      <c r="M278" s="248" t="s">
        <v>1254</v>
      </c>
      <c r="N278" s="249">
        <f t="shared" si="4"/>
        <v>1862499</v>
      </c>
    </row>
    <row r="279" spans="1:14" ht="31" customHeight="1" x14ac:dyDescent="0.35">
      <c r="A279" s="247" t="s">
        <v>1216</v>
      </c>
      <c r="B279" s="248" t="s">
        <v>1254</v>
      </c>
      <c r="C279" s="248" t="s">
        <v>1254</v>
      </c>
      <c r="D279" s="248" t="s">
        <v>1254</v>
      </c>
      <c r="E279" s="248" t="s">
        <v>1254</v>
      </c>
      <c r="F279" s="248" t="s">
        <v>1254</v>
      </c>
      <c r="G279" s="248" t="s">
        <v>1254</v>
      </c>
      <c r="H279" s="248">
        <v>5532150</v>
      </c>
      <c r="I279" s="248" t="s">
        <v>1254</v>
      </c>
      <c r="J279" s="248" t="s">
        <v>1254</v>
      </c>
      <c r="K279" s="248" t="s">
        <v>1254</v>
      </c>
      <c r="L279" s="248" t="s">
        <v>1254</v>
      </c>
      <c r="M279" s="248" t="s">
        <v>1254</v>
      </c>
      <c r="N279" s="249">
        <f t="shared" si="4"/>
        <v>5532150</v>
      </c>
    </row>
    <row r="280" spans="1:14" ht="31" customHeight="1" x14ac:dyDescent="0.35">
      <c r="A280" s="247" t="s">
        <v>1217</v>
      </c>
      <c r="B280" s="248" t="s">
        <v>1254</v>
      </c>
      <c r="C280" s="248" t="s">
        <v>1254</v>
      </c>
      <c r="D280" s="248" t="s">
        <v>1254</v>
      </c>
      <c r="E280" s="248" t="s">
        <v>1254</v>
      </c>
      <c r="F280" s="248" t="s">
        <v>1254</v>
      </c>
      <c r="G280" s="248" t="s">
        <v>1254</v>
      </c>
      <c r="H280" s="248" t="s">
        <v>1254</v>
      </c>
      <c r="I280" s="248" t="s">
        <v>1254</v>
      </c>
      <c r="J280" s="248">
        <v>2886224</v>
      </c>
      <c r="K280" s="248" t="s">
        <v>1254</v>
      </c>
      <c r="L280" s="248" t="s">
        <v>1254</v>
      </c>
      <c r="M280" s="248" t="s">
        <v>1254</v>
      </c>
      <c r="N280" s="249">
        <f t="shared" si="4"/>
        <v>2886224</v>
      </c>
    </row>
    <row r="281" spans="1:14" ht="31" customHeight="1" x14ac:dyDescent="0.35">
      <c r="A281" s="247" t="s">
        <v>1218</v>
      </c>
      <c r="B281" s="248" t="s">
        <v>1254</v>
      </c>
      <c r="C281" s="248" t="s">
        <v>1254</v>
      </c>
      <c r="D281" s="248" t="s">
        <v>1254</v>
      </c>
      <c r="E281" s="248" t="s">
        <v>1254</v>
      </c>
      <c r="F281" s="248" t="s">
        <v>1254</v>
      </c>
      <c r="G281" s="248" t="s">
        <v>1254</v>
      </c>
      <c r="H281" s="248" t="s">
        <v>1254</v>
      </c>
      <c r="I281" s="248" t="s">
        <v>1254</v>
      </c>
      <c r="J281" s="248">
        <v>4713390</v>
      </c>
      <c r="K281" s="248" t="s">
        <v>1254</v>
      </c>
      <c r="L281" s="248" t="s">
        <v>1254</v>
      </c>
      <c r="M281" s="248" t="s">
        <v>1254</v>
      </c>
      <c r="N281" s="249">
        <f t="shared" si="4"/>
        <v>4713390</v>
      </c>
    </row>
    <row r="282" spans="1:14" ht="31" customHeight="1" x14ac:dyDescent="0.35">
      <c r="A282" s="247" t="s">
        <v>1219</v>
      </c>
      <c r="B282" s="248" t="s">
        <v>1254</v>
      </c>
      <c r="C282" s="248" t="s">
        <v>1254</v>
      </c>
      <c r="D282" s="248" t="s">
        <v>1254</v>
      </c>
      <c r="E282" s="248" t="s">
        <v>1254</v>
      </c>
      <c r="F282" s="248" t="s">
        <v>1254</v>
      </c>
      <c r="G282" s="248" t="s">
        <v>1254</v>
      </c>
      <c r="H282" s="248" t="s">
        <v>1254</v>
      </c>
      <c r="I282" s="248" t="s">
        <v>1254</v>
      </c>
      <c r="J282" s="248" t="s">
        <v>1254</v>
      </c>
      <c r="K282" s="248" t="s">
        <v>1254</v>
      </c>
      <c r="L282" s="248">
        <v>4058496</v>
      </c>
      <c r="M282" s="248" t="s">
        <v>1254</v>
      </c>
      <c r="N282" s="249">
        <f t="shared" si="4"/>
        <v>4058496</v>
      </c>
    </row>
    <row r="283" spans="1:14" ht="31" customHeight="1" x14ac:dyDescent="0.35">
      <c r="A283" s="247" t="s">
        <v>1220</v>
      </c>
      <c r="B283" s="248" t="s">
        <v>1254</v>
      </c>
      <c r="C283" s="248" t="s">
        <v>1254</v>
      </c>
      <c r="D283" s="248" t="s">
        <v>1254</v>
      </c>
      <c r="E283" s="248" t="s">
        <v>1254</v>
      </c>
      <c r="F283" s="248" t="s">
        <v>1254</v>
      </c>
      <c r="G283" s="248" t="s">
        <v>1254</v>
      </c>
      <c r="H283" s="248">
        <v>8662190</v>
      </c>
      <c r="I283" s="248" t="s">
        <v>1254</v>
      </c>
      <c r="J283" s="248" t="s">
        <v>1254</v>
      </c>
      <c r="K283" s="248" t="s">
        <v>1254</v>
      </c>
      <c r="L283" s="248" t="s">
        <v>1254</v>
      </c>
      <c r="M283" s="248" t="s">
        <v>1254</v>
      </c>
      <c r="N283" s="249">
        <f t="shared" si="4"/>
        <v>8662190</v>
      </c>
    </row>
    <row r="284" spans="1:14" ht="31" customHeight="1" x14ac:dyDescent="0.35">
      <c r="A284" s="247" t="s">
        <v>1221</v>
      </c>
      <c r="B284" s="248">
        <v>4392796</v>
      </c>
      <c r="C284" s="248" t="s">
        <v>1254</v>
      </c>
      <c r="D284" s="248" t="s">
        <v>1254</v>
      </c>
      <c r="E284" s="248" t="s">
        <v>1254</v>
      </c>
      <c r="F284" s="248" t="s">
        <v>1254</v>
      </c>
      <c r="G284" s="248" t="s">
        <v>1254</v>
      </c>
      <c r="H284" s="248" t="s">
        <v>1254</v>
      </c>
      <c r="I284" s="248" t="s">
        <v>1254</v>
      </c>
      <c r="J284" s="248" t="s">
        <v>1254</v>
      </c>
      <c r="K284" s="248" t="s">
        <v>1254</v>
      </c>
      <c r="L284" s="248" t="s">
        <v>1254</v>
      </c>
      <c r="M284" s="248" t="s">
        <v>1254</v>
      </c>
      <c r="N284" s="249">
        <f t="shared" si="4"/>
        <v>4392796</v>
      </c>
    </row>
    <row r="285" spans="1:14" ht="31" customHeight="1" x14ac:dyDescent="0.35">
      <c r="A285" s="247" t="s">
        <v>1222</v>
      </c>
      <c r="B285" s="248" t="s">
        <v>1254</v>
      </c>
      <c r="C285" s="248">
        <v>6510213</v>
      </c>
      <c r="D285" s="248">
        <v>4101260.5</v>
      </c>
      <c r="E285" s="248" t="s">
        <v>1254</v>
      </c>
      <c r="F285" s="248" t="s">
        <v>1254</v>
      </c>
      <c r="G285" s="248" t="s">
        <v>1254</v>
      </c>
      <c r="H285" s="248">
        <v>6216651</v>
      </c>
      <c r="I285" s="248">
        <v>1499740</v>
      </c>
      <c r="J285" s="248">
        <v>8358176</v>
      </c>
      <c r="K285" s="248" t="s">
        <v>1254</v>
      </c>
      <c r="L285" s="248" t="s">
        <v>1254</v>
      </c>
      <c r="M285" s="248" t="s">
        <v>1254</v>
      </c>
      <c r="N285" s="249">
        <f t="shared" si="4"/>
        <v>5337208.0999999996</v>
      </c>
    </row>
    <row r="286" spans="1:14" ht="31" customHeight="1" x14ac:dyDescent="0.35">
      <c r="A286" s="247" t="s">
        <v>1224</v>
      </c>
      <c r="B286" s="248" t="s">
        <v>1254</v>
      </c>
      <c r="C286" s="248" t="s">
        <v>1254</v>
      </c>
      <c r="D286" s="248" t="s">
        <v>1254</v>
      </c>
      <c r="E286" s="248" t="s">
        <v>1254</v>
      </c>
      <c r="F286" s="248" t="s">
        <v>1254</v>
      </c>
      <c r="G286" s="248">
        <v>6159346</v>
      </c>
      <c r="H286" s="248" t="s">
        <v>1254</v>
      </c>
      <c r="I286" s="248" t="s">
        <v>1254</v>
      </c>
      <c r="J286" s="248" t="s">
        <v>1254</v>
      </c>
      <c r="K286" s="248" t="s">
        <v>1254</v>
      </c>
      <c r="L286" s="248" t="s">
        <v>1254</v>
      </c>
      <c r="M286" s="248" t="s">
        <v>1254</v>
      </c>
      <c r="N286" s="249">
        <f t="shared" ref="N286:N303" si="5">AVERAGE(B286:M286)</f>
        <v>6159346</v>
      </c>
    </row>
    <row r="287" spans="1:14" ht="31" customHeight="1" x14ac:dyDescent="0.35">
      <c r="A287" s="247" t="s">
        <v>1225</v>
      </c>
      <c r="B287" s="248" t="s">
        <v>1254</v>
      </c>
      <c r="C287" s="248" t="s">
        <v>1254</v>
      </c>
      <c r="D287" s="248" t="s">
        <v>1254</v>
      </c>
      <c r="E287" s="248" t="s">
        <v>1254</v>
      </c>
      <c r="F287" s="248" t="s">
        <v>1254</v>
      </c>
      <c r="G287" s="248" t="s">
        <v>1254</v>
      </c>
      <c r="H287" s="248" t="s">
        <v>1254</v>
      </c>
      <c r="I287" s="248" t="s">
        <v>1254</v>
      </c>
      <c r="J287" s="248" t="s">
        <v>1254</v>
      </c>
      <c r="K287" s="248" t="s">
        <v>1254</v>
      </c>
      <c r="L287" s="248">
        <v>2738122</v>
      </c>
      <c r="M287" s="248" t="s">
        <v>1254</v>
      </c>
      <c r="N287" s="249">
        <f t="shared" si="5"/>
        <v>2738122</v>
      </c>
    </row>
    <row r="288" spans="1:14" ht="31" customHeight="1" x14ac:dyDescent="0.35">
      <c r="A288" s="247" t="s">
        <v>1226</v>
      </c>
      <c r="B288" s="248" t="s">
        <v>1254</v>
      </c>
      <c r="C288" s="248" t="s">
        <v>1254</v>
      </c>
      <c r="D288" s="248" t="s">
        <v>1254</v>
      </c>
      <c r="E288" s="248">
        <v>8545086</v>
      </c>
      <c r="F288" s="248" t="s">
        <v>1254</v>
      </c>
      <c r="G288" s="248" t="s">
        <v>1254</v>
      </c>
      <c r="H288" s="248" t="s">
        <v>1254</v>
      </c>
      <c r="I288" s="248" t="s">
        <v>1254</v>
      </c>
      <c r="J288" s="248" t="s">
        <v>1254</v>
      </c>
      <c r="K288" s="248" t="s">
        <v>1254</v>
      </c>
      <c r="L288" s="248" t="s">
        <v>1254</v>
      </c>
      <c r="M288" s="248" t="s">
        <v>1254</v>
      </c>
      <c r="N288" s="249">
        <f t="shared" si="5"/>
        <v>8545086</v>
      </c>
    </row>
    <row r="289" spans="1:14" ht="31" customHeight="1" x14ac:dyDescent="0.35">
      <c r="A289" s="247" t="s">
        <v>1227</v>
      </c>
      <c r="B289" s="248" t="s">
        <v>1254</v>
      </c>
      <c r="C289" s="248" t="s">
        <v>1254</v>
      </c>
      <c r="D289" s="248" t="s">
        <v>1254</v>
      </c>
      <c r="E289" s="248" t="s">
        <v>1254</v>
      </c>
      <c r="F289" s="248">
        <v>5095535</v>
      </c>
      <c r="G289" s="248" t="s">
        <v>1254</v>
      </c>
      <c r="H289" s="248" t="s">
        <v>1254</v>
      </c>
      <c r="I289" s="248" t="s">
        <v>1254</v>
      </c>
      <c r="J289" s="248" t="s">
        <v>1254</v>
      </c>
      <c r="K289" s="248" t="s">
        <v>1254</v>
      </c>
      <c r="L289" s="248" t="s">
        <v>1254</v>
      </c>
      <c r="M289" s="248" t="s">
        <v>1254</v>
      </c>
      <c r="N289" s="249">
        <f t="shared" si="5"/>
        <v>5095535</v>
      </c>
    </row>
    <row r="290" spans="1:14" ht="31" customHeight="1" x14ac:dyDescent="0.35">
      <c r="A290" s="247" t="s">
        <v>1223</v>
      </c>
      <c r="B290" s="248" t="s">
        <v>1254</v>
      </c>
      <c r="C290" s="248">
        <v>8036326</v>
      </c>
      <c r="D290" s="248" t="s">
        <v>1254</v>
      </c>
      <c r="E290" s="248" t="s">
        <v>1254</v>
      </c>
      <c r="F290" s="248" t="s">
        <v>1254</v>
      </c>
      <c r="G290" s="248">
        <v>5224190</v>
      </c>
      <c r="H290" s="248" t="s">
        <v>1254</v>
      </c>
      <c r="I290" s="248" t="s">
        <v>1254</v>
      </c>
      <c r="J290" s="248" t="s">
        <v>1254</v>
      </c>
      <c r="K290" s="248" t="s">
        <v>1254</v>
      </c>
      <c r="L290" s="248">
        <v>1283040</v>
      </c>
      <c r="M290" s="248" t="s">
        <v>1254</v>
      </c>
      <c r="N290" s="249">
        <f t="shared" si="5"/>
        <v>4847852</v>
      </c>
    </row>
    <row r="291" spans="1:14" ht="31" customHeight="1" x14ac:dyDescent="0.35">
      <c r="A291" s="247" t="s">
        <v>1228</v>
      </c>
      <c r="B291" s="248">
        <v>4926420</v>
      </c>
      <c r="C291" s="248" t="s">
        <v>1254</v>
      </c>
      <c r="D291" s="248" t="s">
        <v>1254</v>
      </c>
      <c r="E291" s="248" t="s">
        <v>1254</v>
      </c>
      <c r="F291" s="248" t="s">
        <v>1254</v>
      </c>
      <c r="G291" s="248" t="s">
        <v>1254</v>
      </c>
      <c r="H291" s="248" t="s">
        <v>1254</v>
      </c>
      <c r="I291" s="248" t="s">
        <v>1254</v>
      </c>
      <c r="J291" s="248" t="s">
        <v>1254</v>
      </c>
      <c r="K291" s="248" t="s">
        <v>1254</v>
      </c>
      <c r="L291" s="248" t="s">
        <v>1254</v>
      </c>
      <c r="M291" s="248" t="s">
        <v>1254</v>
      </c>
      <c r="N291" s="249">
        <f t="shared" si="5"/>
        <v>4926420</v>
      </c>
    </row>
    <row r="292" spans="1:14" ht="31" customHeight="1" x14ac:dyDescent="0.35">
      <c r="A292" s="247" t="s">
        <v>1229</v>
      </c>
      <c r="B292" s="248" t="s">
        <v>1254</v>
      </c>
      <c r="C292" s="248" t="s">
        <v>1254</v>
      </c>
      <c r="D292" s="248" t="s">
        <v>1254</v>
      </c>
      <c r="E292" s="248" t="s">
        <v>1254</v>
      </c>
      <c r="F292" s="248">
        <v>5093820</v>
      </c>
      <c r="G292" s="248" t="s">
        <v>1254</v>
      </c>
      <c r="H292" s="248" t="s">
        <v>1254</v>
      </c>
      <c r="I292" s="248" t="s">
        <v>1254</v>
      </c>
      <c r="J292" s="248" t="s">
        <v>1254</v>
      </c>
      <c r="K292" s="248" t="s">
        <v>1254</v>
      </c>
      <c r="L292" s="248" t="s">
        <v>1254</v>
      </c>
      <c r="M292" s="248" t="s">
        <v>1254</v>
      </c>
      <c r="N292" s="249">
        <f t="shared" si="5"/>
        <v>5093820</v>
      </c>
    </row>
    <row r="293" spans="1:14" ht="31" customHeight="1" x14ac:dyDescent="0.35">
      <c r="A293" s="247" t="s">
        <v>1230</v>
      </c>
      <c r="B293" s="248">
        <v>1998444</v>
      </c>
      <c r="C293" s="248" t="s">
        <v>1254</v>
      </c>
      <c r="D293" s="248" t="s">
        <v>1254</v>
      </c>
      <c r="E293" s="248" t="s">
        <v>1254</v>
      </c>
      <c r="F293" s="248" t="s">
        <v>1254</v>
      </c>
      <c r="G293" s="248" t="s">
        <v>1254</v>
      </c>
      <c r="H293" s="248" t="s">
        <v>1254</v>
      </c>
      <c r="I293" s="248" t="s">
        <v>1254</v>
      </c>
      <c r="J293" s="248" t="s">
        <v>1254</v>
      </c>
      <c r="K293" s="248" t="s">
        <v>1254</v>
      </c>
      <c r="L293" s="248" t="s">
        <v>1254</v>
      </c>
      <c r="M293" s="248" t="s">
        <v>1254</v>
      </c>
      <c r="N293" s="249">
        <f t="shared" si="5"/>
        <v>1998444</v>
      </c>
    </row>
    <row r="294" spans="1:14" ht="31" customHeight="1" x14ac:dyDescent="0.35">
      <c r="A294" s="247" t="s">
        <v>1231</v>
      </c>
      <c r="B294" s="248" t="s">
        <v>1254</v>
      </c>
      <c r="C294" s="248" t="s">
        <v>1254</v>
      </c>
      <c r="D294" s="248">
        <v>3945651</v>
      </c>
      <c r="E294" s="248" t="s">
        <v>1254</v>
      </c>
      <c r="F294" s="248" t="s">
        <v>1254</v>
      </c>
      <c r="G294" s="248" t="s">
        <v>1254</v>
      </c>
      <c r="H294" s="248" t="s">
        <v>1254</v>
      </c>
      <c r="I294" s="248" t="s">
        <v>1254</v>
      </c>
      <c r="J294" s="248" t="s">
        <v>1254</v>
      </c>
      <c r="K294" s="248" t="s">
        <v>1254</v>
      </c>
      <c r="L294" s="248" t="s">
        <v>1254</v>
      </c>
      <c r="M294" s="248" t="s">
        <v>1254</v>
      </c>
      <c r="N294" s="249">
        <f t="shared" si="5"/>
        <v>3945651</v>
      </c>
    </row>
    <row r="295" spans="1:14" ht="31" customHeight="1" x14ac:dyDescent="0.35">
      <c r="A295" s="247" t="s">
        <v>1232</v>
      </c>
      <c r="B295" s="248" t="s">
        <v>1254</v>
      </c>
      <c r="C295" s="248">
        <v>3140415</v>
      </c>
      <c r="D295" s="248" t="s">
        <v>1254</v>
      </c>
      <c r="E295" s="248" t="s">
        <v>1254</v>
      </c>
      <c r="F295" s="248" t="s">
        <v>1254</v>
      </c>
      <c r="G295" s="248" t="s">
        <v>1254</v>
      </c>
      <c r="H295" s="248" t="s">
        <v>1254</v>
      </c>
      <c r="I295" s="248" t="s">
        <v>1254</v>
      </c>
      <c r="J295" s="248" t="s">
        <v>1254</v>
      </c>
      <c r="K295" s="248" t="s">
        <v>1254</v>
      </c>
      <c r="L295" s="248" t="s">
        <v>1254</v>
      </c>
      <c r="M295" s="248" t="s">
        <v>1254</v>
      </c>
      <c r="N295" s="249">
        <f t="shared" si="5"/>
        <v>3140415</v>
      </c>
    </row>
    <row r="296" spans="1:14" ht="31" customHeight="1" x14ac:dyDescent="0.35">
      <c r="A296" s="247" t="s">
        <v>1233</v>
      </c>
      <c r="B296" s="248">
        <v>3390120</v>
      </c>
      <c r="C296" s="248" t="s">
        <v>1254</v>
      </c>
      <c r="D296" s="248" t="s">
        <v>1254</v>
      </c>
      <c r="E296" s="248" t="s">
        <v>1254</v>
      </c>
      <c r="F296" s="248" t="s">
        <v>1254</v>
      </c>
      <c r="G296" s="248" t="s">
        <v>1254</v>
      </c>
      <c r="H296" s="248" t="s">
        <v>1254</v>
      </c>
      <c r="I296" s="248" t="s">
        <v>1254</v>
      </c>
      <c r="J296" s="248" t="s">
        <v>1254</v>
      </c>
      <c r="K296" s="248" t="s">
        <v>1254</v>
      </c>
      <c r="L296" s="248" t="s">
        <v>1254</v>
      </c>
      <c r="M296" s="248" t="s">
        <v>1254</v>
      </c>
      <c r="N296" s="249">
        <f t="shared" si="5"/>
        <v>3390120</v>
      </c>
    </row>
    <row r="297" spans="1:14" ht="31" customHeight="1" x14ac:dyDescent="0.35">
      <c r="A297" s="247" t="s">
        <v>1234</v>
      </c>
      <c r="B297" s="248" t="s">
        <v>1254</v>
      </c>
      <c r="C297" s="248" t="s">
        <v>1254</v>
      </c>
      <c r="D297" s="248" t="s">
        <v>1254</v>
      </c>
      <c r="E297" s="248" t="s">
        <v>1254</v>
      </c>
      <c r="F297" s="248" t="s">
        <v>1254</v>
      </c>
      <c r="G297" s="248" t="s">
        <v>1254</v>
      </c>
      <c r="H297" s="248">
        <v>6268499</v>
      </c>
      <c r="I297" s="248" t="s">
        <v>1254</v>
      </c>
      <c r="J297" s="248" t="s">
        <v>1254</v>
      </c>
      <c r="K297" s="248" t="s">
        <v>1254</v>
      </c>
      <c r="L297" s="248" t="s">
        <v>1254</v>
      </c>
      <c r="M297" s="248" t="s">
        <v>1254</v>
      </c>
      <c r="N297" s="249">
        <f t="shared" si="5"/>
        <v>6268499</v>
      </c>
    </row>
    <row r="298" spans="1:14" ht="31" customHeight="1" x14ac:dyDescent="0.35">
      <c r="A298" s="247" t="s">
        <v>1235</v>
      </c>
      <c r="B298" s="248" t="s">
        <v>1254</v>
      </c>
      <c r="C298" s="248" t="s">
        <v>1254</v>
      </c>
      <c r="D298" s="248" t="s">
        <v>1254</v>
      </c>
      <c r="E298" s="248" t="s">
        <v>1254</v>
      </c>
      <c r="F298" s="248" t="s">
        <v>1254</v>
      </c>
      <c r="G298" s="248" t="s">
        <v>1254</v>
      </c>
      <c r="H298" s="248" t="s">
        <v>1254</v>
      </c>
      <c r="I298" s="248">
        <v>5701962</v>
      </c>
      <c r="J298" s="248" t="s">
        <v>1254</v>
      </c>
      <c r="K298" s="248" t="s">
        <v>1254</v>
      </c>
      <c r="L298" s="248" t="s">
        <v>1254</v>
      </c>
      <c r="M298" s="248" t="s">
        <v>1254</v>
      </c>
      <c r="N298" s="249">
        <f t="shared" si="5"/>
        <v>5701962</v>
      </c>
    </row>
    <row r="299" spans="1:14" ht="31" customHeight="1" x14ac:dyDescent="0.35">
      <c r="A299" s="247" t="s">
        <v>1236</v>
      </c>
      <c r="B299" s="248" t="s">
        <v>1254</v>
      </c>
      <c r="C299" s="248" t="s">
        <v>1254</v>
      </c>
      <c r="D299" s="248" t="s">
        <v>1254</v>
      </c>
      <c r="E299" s="248">
        <v>2695488</v>
      </c>
      <c r="F299" s="248" t="s">
        <v>1254</v>
      </c>
      <c r="G299" s="248" t="s">
        <v>1254</v>
      </c>
      <c r="H299" s="248" t="s">
        <v>1254</v>
      </c>
      <c r="I299" s="248" t="s">
        <v>1254</v>
      </c>
      <c r="J299" s="248" t="s">
        <v>1254</v>
      </c>
      <c r="K299" s="248" t="s">
        <v>1254</v>
      </c>
      <c r="L299" s="248" t="s">
        <v>1254</v>
      </c>
      <c r="M299" s="248" t="s">
        <v>1254</v>
      </c>
      <c r="N299" s="249">
        <f t="shared" si="5"/>
        <v>2695488</v>
      </c>
    </row>
    <row r="300" spans="1:14" ht="31" customHeight="1" x14ac:dyDescent="0.35">
      <c r="A300" s="247" t="s">
        <v>1237</v>
      </c>
      <c r="B300" s="248" t="s">
        <v>1254</v>
      </c>
      <c r="C300" s="248" t="s">
        <v>1254</v>
      </c>
      <c r="D300" s="248">
        <v>5145410</v>
      </c>
      <c r="E300" s="248" t="s">
        <v>1254</v>
      </c>
      <c r="F300" s="248" t="s">
        <v>1254</v>
      </c>
      <c r="G300" s="248" t="s">
        <v>1254</v>
      </c>
      <c r="H300" s="248" t="s">
        <v>1254</v>
      </c>
      <c r="I300" s="248" t="s">
        <v>1254</v>
      </c>
      <c r="J300" s="248" t="s">
        <v>1254</v>
      </c>
      <c r="K300" s="248" t="s">
        <v>1254</v>
      </c>
      <c r="L300" s="248" t="s">
        <v>1254</v>
      </c>
      <c r="M300" s="248" t="s">
        <v>1254</v>
      </c>
      <c r="N300" s="249">
        <f t="shared" si="5"/>
        <v>5145410</v>
      </c>
    </row>
    <row r="301" spans="1:14" ht="31" customHeight="1" x14ac:dyDescent="0.35">
      <c r="A301" s="247" t="s">
        <v>1238</v>
      </c>
      <c r="B301" s="248" t="s">
        <v>1254</v>
      </c>
      <c r="C301" s="248" t="s">
        <v>1254</v>
      </c>
      <c r="D301" s="248" t="s">
        <v>1254</v>
      </c>
      <c r="E301" s="248" t="s">
        <v>1254</v>
      </c>
      <c r="F301" s="248" t="s">
        <v>1254</v>
      </c>
      <c r="G301" s="248" t="s">
        <v>1254</v>
      </c>
      <c r="H301" s="248" t="s">
        <v>1254</v>
      </c>
      <c r="I301" s="248">
        <v>6053400</v>
      </c>
      <c r="J301" s="248" t="s">
        <v>1254</v>
      </c>
      <c r="K301" s="248" t="s">
        <v>1254</v>
      </c>
      <c r="L301" s="248" t="s">
        <v>1254</v>
      </c>
      <c r="M301" s="248" t="s">
        <v>1254</v>
      </c>
      <c r="N301" s="249">
        <f t="shared" si="5"/>
        <v>6053400</v>
      </c>
    </row>
    <row r="302" spans="1:14" ht="31" customHeight="1" x14ac:dyDescent="0.35">
      <c r="A302" s="247" t="s">
        <v>1239</v>
      </c>
      <c r="B302" s="248" t="s">
        <v>1254</v>
      </c>
      <c r="C302" s="248" t="s">
        <v>1254</v>
      </c>
      <c r="D302" s="248" t="s">
        <v>1254</v>
      </c>
      <c r="E302" s="248">
        <v>4156466</v>
      </c>
      <c r="F302" s="248" t="s">
        <v>1254</v>
      </c>
      <c r="G302" s="248" t="s">
        <v>1254</v>
      </c>
      <c r="H302" s="248" t="s">
        <v>1254</v>
      </c>
      <c r="I302" s="248" t="s">
        <v>1254</v>
      </c>
      <c r="J302" s="248" t="s">
        <v>1254</v>
      </c>
      <c r="K302" s="248" t="s">
        <v>1254</v>
      </c>
      <c r="L302" s="248" t="s">
        <v>1254</v>
      </c>
      <c r="M302" s="248" t="s">
        <v>1254</v>
      </c>
      <c r="N302" s="249">
        <f t="shared" si="5"/>
        <v>4156466</v>
      </c>
    </row>
    <row r="303" spans="1:14" ht="31" customHeight="1" thickBot="1" x14ac:dyDescent="0.4">
      <c r="A303" s="251" t="s">
        <v>1240</v>
      </c>
      <c r="B303" s="252" t="s">
        <v>1254</v>
      </c>
      <c r="C303" s="252" t="s">
        <v>1254</v>
      </c>
      <c r="D303" s="252">
        <v>3425638</v>
      </c>
      <c r="E303" s="252" t="s">
        <v>1254</v>
      </c>
      <c r="F303" s="252" t="s">
        <v>1254</v>
      </c>
      <c r="G303" s="252" t="s">
        <v>1254</v>
      </c>
      <c r="H303" s="252" t="s">
        <v>1254</v>
      </c>
      <c r="I303" s="252" t="s">
        <v>1254</v>
      </c>
      <c r="J303" s="252" t="s">
        <v>1254</v>
      </c>
      <c r="K303" s="252" t="s">
        <v>1254</v>
      </c>
      <c r="L303" s="252" t="s">
        <v>1254</v>
      </c>
      <c r="M303" s="252" t="s">
        <v>1254</v>
      </c>
      <c r="N303" s="249">
        <f t="shared" si="5"/>
        <v>3425638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1CE6-9AAA-4895-AD08-27D49EA8AE59}">
  <dimension ref="A1:L257"/>
  <sheetViews>
    <sheetView topLeftCell="B12" zoomScale="190" zoomScaleNormal="190" workbookViewId="0">
      <selection activeCell="B18" sqref="B18:H28"/>
    </sheetView>
  </sheetViews>
  <sheetFormatPr defaultRowHeight="14.5" x14ac:dyDescent="0.35"/>
  <cols>
    <col min="1" max="1" width="14.81640625" bestFit="1" customWidth="1"/>
    <col min="2" max="2" width="11.08984375" bestFit="1" customWidth="1"/>
    <col min="3" max="3" width="10.7265625" bestFit="1" customWidth="1"/>
    <col min="4" max="4" width="10.26953125" bestFit="1" customWidth="1"/>
    <col min="5" max="5" width="10.08984375" bestFit="1" customWidth="1"/>
    <col min="6" max="6" width="8.81640625" bestFit="1" customWidth="1"/>
    <col min="7" max="7" width="11.08984375" bestFit="1" customWidth="1"/>
    <col min="8" max="8" width="10.7265625" bestFit="1" customWidth="1"/>
    <col min="9" max="9" width="10.26953125" bestFit="1" customWidth="1"/>
    <col min="10" max="10" width="10.08984375" bestFit="1" customWidth="1"/>
    <col min="11" max="11" width="8.81640625" bestFit="1" customWidth="1"/>
  </cols>
  <sheetData>
    <row r="1" spans="1:8" x14ac:dyDescent="0.35">
      <c r="A1" s="254" t="s">
        <v>1255</v>
      </c>
      <c r="B1" s="255" t="s">
        <v>1256</v>
      </c>
      <c r="C1" s="255" t="s">
        <v>1257</v>
      </c>
      <c r="D1" s="256" t="s">
        <v>1258</v>
      </c>
      <c r="F1" s="254" t="s">
        <v>1255</v>
      </c>
      <c r="G1" s="256" t="s">
        <v>1258</v>
      </c>
      <c r="H1" s="256" t="s">
        <v>1258</v>
      </c>
    </row>
    <row r="2" spans="1:8" ht="15" thickBot="1" x14ac:dyDescent="0.4">
      <c r="A2" s="31">
        <v>101</v>
      </c>
      <c r="B2" s="90" t="s">
        <v>1259</v>
      </c>
      <c r="C2" s="90" t="s">
        <v>1260</v>
      </c>
      <c r="D2" s="91">
        <v>35000</v>
      </c>
      <c r="F2" s="7">
        <v>101</v>
      </c>
      <c r="G2" s="96">
        <f>VLOOKUP(F2,A2:D11,4,FALSE)</f>
        <v>35000</v>
      </c>
      <c r="H2" s="96"/>
    </row>
    <row r="3" spans="1:8" x14ac:dyDescent="0.35">
      <c r="A3" s="31">
        <v>102</v>
      </c>
      <c r="B3" s="90" t="s">
        <v>1261</v>
      </c>
      <c r="C3" s="90" t="s">
        <v>1262</v>
      </c>
      <c r="D3" s="91">
        <v>30000</v>
      </c>
    </row>
    <row r="4" spans="1:8" x14ac:dyDescent="0.35">
      <c r="A4" s="31">
        <v>103</v>
      </c>
      <c r="B4" s="90" t="s">
        <v>1263</v>
      </c>
      <c r="C4" s="90" t="s">
        <v>955</v>
      </c>
      <c r="D4" s="91">
        <v>40000</v>
      </c>
    </row>
    <row r="5" spans="1:8" x14ac:dyDescent="0.35">
      <c r="A5" s="31">
        <v>104</v>
      </c>
      <c r="B5" s="90" t="s">
        <v>1264</v>
      </c>
      <c r="C5" s="90" t="s">
        <v>1265</v>
      </c>
      <c r="D5" s="91">
        <v>45000</v>
      </c>
    </row>
    <row r="6" spans="1:8" x14ac:dyDescent="0.35">
      <c r="A6" s="31">
        <v>105</v>
      </c>
      <c r="B6" s="90" t="s">
        <v>1266</v>
      </c>
      <c r="C6" s="90" t="s">
        <v>1267</v>
      </c>
      <c r="D6" s="91">
        <v>38000</v>
      </c>
    </row>
    <row r="7" spans="1:8" x14ac:dyDescent="0.35">
      <c r="A7" s="31">
        <v>106</v>
      </c>
      <c r="B7" s="90" t="s">
        <v>1259</v>
      </c>
      <c r="C7" s="90" t="s">
        <v>1260</v>
      </c>
      <c r="D7" s="91">
        <v>35000</v>
      </c>
    </row>
    <row r="8" spans="1:8" x14ac:dyDescent="0.35">
      <c r="A8" s="31">
        <v>107</v>
      </c>
      <c r="B8" s="90" t="s">
        <v>1261</v>
      </c>
      <c r="C8" s="90" t="s">
        <v>1262</v>
      </c>
      <c r="D8" s="91">
        <v>30000</v>
      </c>
    </row>
    <row r="9" spans="1:8" x14ac:dyDescent="0.35">
      <c r="A9" s="31">
        <v>108</v>
      </c>
      <c r="B9" s="90" t="s">
        <v>1263</v>
      </c>
      <c r="C9" s="90" t="s">
        <v>955</v>
      </c>
      <c r="D9" s="91">
        <v>40000</v>
      </c>
    </row>
    <row r="10" spans="1:8" x14ac:dyDescent="0.35">
      <c r="A10" s="31">
        <v>109</v>
      </c>
      <c r="B10" s="90" t="s">
        <v>1264</v>
      </c>
      <c r="C10" s="90" t="s">
        <v>1265</v>
      </c>
      <c r="D10" s="91">
        <v>45000</v>
      </c>
    </row>
    <row r="11" spans="1:8" ht="15" thickBot="1" x14ac:dyDescent="0.4">
      <c r="A11" s="32">
        <v>110</v>
      </c>
      <c r="B11" s="92" t="s">
        <v>1266</v>
      </c>
      <c r="C11" s="92" t="s">
        <v>1267</v>
      </c>
      <c r="D11" s="93">
        <v>38000</v>
      </c>
    </row>
    <row r="17" spans="1:8" ht="15" thickBot="1" x14ac:dyDescent="0.4"/>
    <row r="18" spans="1:8" x14ac:dyDescent="0.35">
      <c r="A18" s="254" t="s">
        <v>1255</v>
      </c>
      <c r="B18" s="255" t="s">
        <v>1256</v>
      </c>
      <c r="C18" s="255" t="s">
        <v>1257</v>
      </c>
      <c r="D18" s="256" t="s">
        <v>1258</v>
      </c>
      <c r="F18" s="254" t="s">
        <v>1255</v>
      </c>
      <c r="G18" s="256" t="s">
        <v>1258</v>
      </c>
      <c r="H18" s="256" t="s">
        <v>1258</v>
      </c>
    </row>
    <row r="19" spans="1:8" x14ac:dyDescent="0.35">
      <c r="A19" s="31">
        <v>101</v>
      </c>
      <c r="B19" s="90" t="s">
        <v>1259</v>
      </c>
      <c r="C19" s="90" t="s">
        <v>1260</v>
      </c>
      <c r="D19" s="91">
        <v>35000</v>
      </c>
      <c r="F19" s="4">
        <v>103</v>
      </c>
      <c r="G19" s="95">
        <f>VLOOKUP($F19,$A$19:$D$28,4,FALSE)</f>
        <v>40000</v>
      </c>
      <c r="H19" s="95"/>
    </row>
    <row r="20" spans="1:8" x14ac:dyDescent="0.35">
      <c r="A20" s="31">
        <v>102</v>
      </c>
      <c r="B20" s="90" t="s">
        <v>1261</v>
      </c>
      <c r="C20" s="90" t="s">
        <v>1262</v>
      </c>
      <c r="D20" s="91">
        <v>30000</v>
      </c>
      <c r="F20" s="4">
        <v>108</v>
      </c>
      <c r="G20" s="95">
        <f t="shared" ref="G20:G22" si="0">VLOOKUP($F20,$A$19:$D$28,4,FALSE)</f>
        <v>40000</v>
      </c>
      <c r="H20" s="95"/>
    </row>
    <row r="21" spans="1:8" x14ac:dyDescent="0.35">
      <c r="A21" s="31">
        <v>103</v>
      </c>
      <c r="B21" s="90" t="s">
        <v>1263</v>
      </c>
      <c r="C21" s="90" t="s">
        <v>955</v>
      </c>
      <c r="D21" s="91">
        <v>40000</v>
      </c>
      <c r="F21" s="4">
        <v>109</v>
      </c>
      <c r="G21" s="95">
        <f t="shared" si="0"/>
        <v>45000</v>
      </c>
      <c r="H21" s="95"/>
    </row>
    <row r="22" spans="1:8" ht="15" thickBot="1" x14ac:dyDescent="0.4">
      <c r="A22" s="31">
        <v>104</v>
      </c>
      <c r="B22" s="90" t="s">
        <v>1264</v>
      </c>
      <c r="C22" s="90" t="s">
        <v>1265</v>
      </c>
      <c r="D22" s="91">
        <v>45000</v>
      </c>
      <c r="F22" s="7">
        <v>110</v>
      </c>
      <c r="G22" s="95">
        <f t="shared" si="0"/>
        <v>38000</v>
      </c>
      <c r="H22" s="95"/>
    </row>
    <row r="23" spans="1:8" x14ac:dyDescent="0.35">
      <c r="A23" s="31">
        <v>105</v>
      </c>
      <c r="B23" s="90" t="s">
        <v>1266</v>
      </c>
      <c r="C23" s="90" t="s">
        <v>1267</v>
      </c>
      <c r="D23" s="91">
        <v>38000</v>
      </c>
    </row>
    <row r="24" spans="1:8" x14ac:dyDescent="0.35">
      <c r="A24" s="31">
        <v>106</v>
      </c>
      <c r="B24" s="90" t="s">
        <v>1259</v>
      </c>
      <c r="C24" s="90" t="s">
        <v>1260</v>
      </c>
      <c r="D24" s="91">
        <v>35000</v>
      </c>
    </row>
    <row r="25" spans="1:8" x14ac:dyDescent="0.35">
      <c r="A25" s="31">
        <v>107</v>
      </c>
      <c r="B25" s="90" t="s">
        <v>1261</v>
      </c>
      <c r="C25" s="90" t="s">
        <v>1262</v>
      </c>
      <c r="D25" s="91">
        <v>30000</v>
      </c>
    </row>
    <row r="26" spans="1:8" x14ac:dyDescent="0.35">
      <c r="A26" s="31">
        <v>108</v>
      </c>
      <c r="B26" s="90" t="s">
        <v>1263</v>
      </c>
      <c r="C26" s="90" t="s">
        <v>955</v>
      </c>
      <c r="D26" s="91">
        <v>40000</v>
      </c>
    </row>
    <row r="27" spans="1:8" x14ac:dyDescent="0.35">
      <c r="A27" s="31">
        <v>109</v>
      </c>
      <c r="B27" s="90" t="s">
        <v>1264</v>
      </c>
      <c r="C27" s="90" t="s">
        <v>1265</v>
      </c>
      <c r="D27" s="91">
        <v>45000</v>
      </c>
    </row>
    <row r="28" spans="1:8" ht="15" thickBot="1" x14ac:dyDescent="0.4">
      <c r="A28" s="32">
        <v>110</v>
      </c>
      <c r="B28" s="92" t="s">
        <v>1266</v>
      </c>
      <c r="C28" s="92" t="s">
        <v>1267</v>
      </c>
      <c r="D28" s="93">
        <v>38000</v>
      </c>
    </row>
    <row r="32" spans="1:8" ht="15" thickBot="1" x14ac:dyDescent="0.4"/>
    <row r="33" spans="1:9" x14ac:dyDescent="0.35">
      <c r="A33" s="254" t="s">
        <v>0</v>
      </c>
      <c r="B33" s="255" t="s">
        <v>1255</v>
      </c>
      <c r="C33" s="255" t="s">
        <v>1256</v>
      </c>
      <c r="D33" s="255" t="s">
        <v>1257</v>
      </c>
      <c r="E33" s="256" t="s">
        <v>1258</v>
      </c>
      <c r="G33" s="254" t="s">
        <v>1255</v>
      </c>
      <c r="H33" s="256" t="s">
        <v>1258</v>
      </c>
      <c r="I33" s="256" t="s">
        <v>1258</v>
      </c>
    </row>
    <row r="34" spans="1:9" x14ac:dyDescent="0.35">
      <c r="A34" s="31">
        <v>1</v>
      </c>
      <c r="B34" s="90">
        <v>101</v>
      </c>
      <c r="C34" s="90" t="s">
        <v>1259</v>
      </c>
      <c r="D34" s="90" t="s">
        <v>1260</v>
      </c>
      <c r="E34" s="91">
        <v>35000</v>
      </c>
      <c r="G34" s="4">
        <v>103</v>
      </c>
      <c r="H34" s="95" t="e">
        <f>VLOOKUP(G34,$A$34:$E$43,5,FALSE)</f>
        <v>#N/A</v>
      </c>
      <c r="I34" s="95"/>
    </row>
    <row r="35" spans="1:9" x14ac:dyDescent="0.35">
      <c r="A35" s="31">
        <v>2</v>
      </c>
      <c r="B35" s="90">
        <v>102</v>
      </c>
      <c r="C35" s="90" t="s">
        <v>1261</v>
      </c>
      <c r="D35" s="90" t="s">
        <v>1262</v>
      </c>
      <c r="E35" s="91">
        <v>30000</v>
      </c>
      <c r="G35" s="4">
        <v>106</v>
      </c>
      <c r="H35" s="95" t="e">
        <f t="shared" ref="H35:H37" si="1">VLOOKUP(G35,$A$34:$E$43,5,FALSE)</f>
        <v>#N/A</v>
      </c>
      <c r="I35" s="95"/>
    </row>
    <row r="36" spans="1:9" x14ac:dyDescent="0.35">
      <c r="A36" s="31">
        <v>3</v>
      </c>
      <c r="B36" s="90">
        <v>103</v>
      </c>
      <c r="C36" s="90" t="s">
        <v>1263</v>
      </c>
      <c r="D36" s="90" t="s">
        <v>955</v>
      </c>
      <c r="E36" s="91">
        <v>40000</v>
      </c>
      <c r="G36" s="4">
        <v>109</v>
      </c>
      <c r="H36" s="95" t="e">
        <f t="shared" si="1"/>
        <v>#N/A</v>
      </c>
      <c r="I36" s="95"/>
    </row>
    <row r="37" spans="1:9" ht="15" thickBot="1" x14ac:dyDescent="0.4">
      <c r="A37" s="31">
        <v>4</v>
      </c>
      <c r="B37" s="90">
        <v>104</v>
      </c>
      <c r="C37" s="90" t="s">
        <v>1264</v>
      </c>
      <c r="D37" s="90" t="s">
        <v>1265</v>
      </c>
      <c r="E37" s="91">
        <v>45000</v>
      </c>
      <c r="G37" s="7">
        <v>110</v>
      </c>
      <c r="H37" s="95" t="e">
        <f t="shared" si="1"/>
        <v>#N/A</v>
      </c>
      <c r="I37" s="95"/>
    </row>
    <row r="38" spans="1:9" x14ac:dyDescent="0.35">
      <c r="A38" s="31">
        <v>5</v>
      </c>
      <c r="B38" s="90">
        <v>105</v>
      </c>
      <c r="C38" s="90" t="s">
        <v>1266</v>
      </c>
      <c r="D38" s="90" t="s">
        <v>1267</v>
      </c>
      <c r="E38" s="91">
        <v>38000</v>
      </c>
    </row>
    <row r="39" spans="1:9" x14ac:dyDescent="0.35">
      <c r="A39" s="31">
        <v>6</v>
      </c>
      <c r="B39" s="90">
        <v>106</v>
      </c>
      <c r="C39" s="90" t="s">
        <v>1259</v>
      </c>
      <c r="D39" s="90" t="s">
        <v>1260</v>
      </c>
      <c r="E39" s="91">
        <v>35000</v>
      </c>
    </row>
    <row r="40" spans="1:9" x14ac:dyDescent="0.35">
      <c r="A40" s="31">
        <v>7</v>
      </c>
      <c r="B40" s="90">
        <v>107</v>
      </c>
      <c r="C40" s="90" t="s">
        <v>1261</v>
      </c>
      <c r="D40" s="90" t="s">
        <v>1262</v>
      </c>
      <c r="E40" s="91">
        <v>30000</v>
      </c>
    </row>
    <row r="41" spans="1:9" x14ac:dyDescent="0.35">
      <c r="A41" s="31">
        <v>8</v>
      </c>
      <c r="B41" s="90">
        <v>108</v>
      </c>
      <c r="C41" s="90" t="s">
        <v>1263</v>
      </c>
      <c r="D41" s="90" t="s">
        <v>955</v>
      </c>
      <c r="E41" s="91">
        <v>40000</v>
      </c>
    </row>
    <row r="42" spans="1:9" x14ac:dyDescent="0.35">
      <c r="A42" s="31">
        <v>9</v>
      </c>
      <c r="B42" s="90">
        <v>109</v>
      </c>
      <c r="C42" s="90" t="s">
        <v>1264</v>
      </c>
      <c r="D42" s="90" t="s">
        <v>1265</v>
      </c>
      <c r="E42" s="91">
        <v>45000</v>
      </c>
    </row>
    <row r="43" spans="1:9" ht="15" thickBot="1" x14ac:dyDescent="0.4">
      <c r="A43" s="31">
        <v>10</v>
      </c>
      <c r="B43" s="92">
        <v>110</v>
      </c>
      <c r="C43" s="92" t="s">
        <v>1266</v>
      </c>
      <c r="D43" s="92" t="s">
        <v>1267</v>
      </c>
      <c r="E43" s="93">
        <v>38000</v>
      </c>
    </row>
    <row r="50" spans="1:7" ht="15" thickBot="1" x14ac:dyDescent="0.4"/>
    <row r="51" spans="1:7" x14ac:dyDescent="0.35">
      <c r="A51" s="254" t="s">
        <v>1255</v>
      </c>
      <c r="B51" s="255" t="s">
        <v>1256</v>
      </c>
      <c r="C51" s="255" t="s">
        <v>1257</v>
      </c>
      <c r="D51" s="256" t="s">
        <v>1258</v>
      </c>
      <c r="F51" s="254" t="s">
        <v>1255</v>
      </c>
      <c r="G51" s="256" t="s">
        <v>1258</v>
      </c>
    </row>
    <row r="52" spans="1:7" ht="15" thickBot="1" x14ac:dyDescent="0.4">
      <c r="A52" s="31">
        <v>101</v>
      </c>
      <c r="B52" s="90" t="s">
        <v>1259</v>
      </c>
      <c r="C52" s="90" t="s">
        <v>1260</v>
      </c>
      <c r="D52" s="91">
        <v>35000</v>
      </c>
      <c r="F52" s="7">
        <v>103</v>
      </c>
      <c r="G52" s="96">
        <f>VLOOKUP(F52,A52:D61,4,FALSE)</f>
        <v>40000</v>
      </c>
    </row>
    <row r="53" spans="1:7" x14ac:dyDescent="0.35">
      <c r="A53" s="31">
        <v>102</v>
      </c>
      <c r="B53" s="90" t="s">
        <v>1261</v>
      </c>
      <c r="C53" s="90" t="s">
        <v>1262</v>
      </c>
      <c r="D53" s="91">
        <v>30000</v>
      </c>
    </row>
    <row r="54" spans="1:7" x14ac:dyDescent="0.35">
      <c r="A54" s="31">
        <v>103</v>
      </c>
      <c r="B54" s="90" t="s">
        <v>1263</v>
      </c>
      <c r="C54" s="90" t="s">
        <v>955</v>
      </c>
      <c r="D54" s="91">
        <v>40000</v>
      </c>
      <c r="F54" t="s">
        <v>1268</v>
      </c>
    </row>
    <row r="55" spans="1:7" x14ac:dyDescent="0.35">
      <c r="A55" s="31">
        <v>104</v>
      </c>
      <c r="B55" s="90" t="s">
        <v>1264</v>
      </c>
      <c r="C55" s="90" t="s">
        <v>1265</v>
      </c>
      <c r="D55" s="91">
        <v>45000</v>
      </c>
    </row>
    <row r="56" spans="1:7" x14ac:dyDescent="0.35">
      <c r="A56" s="31">
        <v>105</v>
      </c>
      <c r="B56" s="90" t="s">
        <v>1266</v>
      </c>
      <c r="C56" s="90" t="s">
        <v>1267</v>
      </c>
      <c r="D56" s="91">
        <v>38000</v>
      </c>
    </row>
    <row r="57" spans="1:7" x14ac:dyDescent="0.35">
      <c r="A57" s="31">
        <v>101</v>
      </c>
      <c r="B57" s="90" t="s">
        <v>1259</v>
      </c>
      <c r="C57" s="90" t="s">
        <v>1260</v>
      </c>
      <c r="D57" s="91">
        <v>35000</v>
      </c>
    </row>
    <row r="58" spans="1:7" x14ac:dyDescent="0.35">
      <c r="A58" s="31">
        <v>107</v>
      </c>
      <c r="B58" s="90" t="s">
        <v>1261</v>
      </c>
      <c r="C58" s="90" t="s">
        <v>1262</v>
      </c>
      <c r="D58" s="91">
        <v>30000</v>
      </c>
    </row>
    <row r="59" spans="1:7" x14ac:dyDescent="0.35">
      <c r="A59" s="31">
        <v>102</v>
      </c>
      <c r="B59" s="90" t="s">
        <v>1263</v>
      </c>
      <c r="C59" s="90" t="s">
        <v>955</v>
      </c>
      <c r="D59" s="91">
        <v>40000</v>
      </c>
    </row>
    <row r="60" spans="1:7" x14ac:dyDescent="0.35">
      <c r="A60" s="31">
        <v>103</v>
      </c>
      <c r="B60" s="90" t="s">
        <v>1264</v>
      </c>
      <c r="C60" s="90" t="s">
        <v>1265</v>
      </c>
      <c r="D60" s="91">
        <v>45000</v>
      </c>
    </row>
    <row r="61" spans="1:7" ht="15" thickBot="1" x14ac:dyDescent="0.4">
      <c r="A61" s="32">
        <v>104</v>
      </c>
      <c r="B61" s="92" t="s">
        <v>1266</v>
      </c>
      <c r="C61" s="92" t="s">
        <v>1267</v>
      </c>
      <c r="D61" s="93">
        <v>38000</v>
      </c>
    </row>
    <row r="72" spans="1:7" ht="15" thickBot="1" x14ac:dyDescent="0.4"/>
    <row r="73" spans="1:7" x14ac:dyDescent="0.35">
      <c r="A73" s="254" t="s">
        <v>1255</v>
      </c>
      <c r="B73" s="255" t="s">
        <v>1256</v>
      </c>
      <c r="C73" s="255" t="s">
        <v>1257</v>
      </c>
      <c r="D73" s="256" t="s">
        <v>1258</v>
      </c>
      <c r="F73" s="254" t="s">
        <v>1255</v>
      </c>
      <c r="G73" s="256" t="s">
        <v>1258</v>
      </c>
    </row>
    <row r="74" spans="1:7" ht="15" thickBot="1" x14ac:dyDescent="0.4">
      <c r="A74" s="31">
        <v>101</v>
      </c>
      <c r="B74" s="90" t="s">
        <v>1259</v>
      </c>
      <c r="C74" s="90" t="s">
        <v>1260</v>
      </c>
      <c r="D74" s="91">
        <v>35000</v>
      </c>
      <c r="F74" s="7">
        <v>103</v>
      </c>
      <c r="G74" s="96" t="e">
        <f>VLOOKUP(F74,A74:D83,4,FALSE)</f>
        <v>#N/A</v>
      </c>
    </row>
    <row r="75" spans="1:7" x14ac:dyDescent="0.35">
      <c r="A75" s="31">
        <v>102</v>
      </c>
      <c r="B75" s="90" t="s">
        <v>1261</v>
      </c>
      <c r="C75" s="90" t="s">
        <v>1262</v>
      </c>
      <c r="D75" s="91">
        <v>30000</v>
      </c>
    </row>
    <row r="76" spans="1:7" x14ac:dyDescent="0.35">
      <c r="A76" s="31">
        <v>111</v>
      </c>
      <c r="B76" s="90" t="s">
        <v>1263</v>
      </c>
      <c r="C76" s="90" t="s">
        <v>955</v>
      </c>
      <c r="D76" s="91">
        <v>40000</v>
      </c>
    </row>
    <row r="77" spans="1:7" x14ac:dyDescent="0.35">
      <c r="A77" s="31">
        <v>104</v>
      </c>
      <c r="B77" s="90" t="s">
        <v>1264</v>
      </c>
      <c r="C77" s="90" t="s">
        <v>1265</v>
      </c>
      <c r="D77" s="91">
        <v>45000</v>
      </c>
    </row>
    <row r="78" spans="1:7" x14ac:dyDescent="0.35">
      <c r="A78" s="31">
        <v>105</v>
      </c>
      <c r="B78" s="90" t="s">
        <v>1266</v>
      </c>
      <c r="C78" s="90" t="s">
        <v>1267</v>
      </c>
      <c r="D78" s="91">
        <v>38000</v>
      </c>
    </row>
    <row r="79" spans="1:7" x14ac:dyDescent="0.35">
      <c r="A79" s="31">
        <v>101</v>
      </c>
      <c r="B79" s="90" t="s">
        <v>1259</v>
      </c>
      <c r="C79" s="90" t="s">
        <v>1260</v>
      </c>
      <c r="D79" s="91">
        <v>35000</v>
      </c>
    </row>
    <row r="80" spans="1:7" x14ac:dyDescent="0.35">
      <c r="A80" s="31">
        <v>107</v>
      </c>
      <c r="B80" s="90" t="s">
        <v>1261</v>
      </c>
      <c r="C80" s="90" t="s">
        <v>1262</v>
      </c>
      <c r="D80" s="91">
        <v>30000</v>
      </c>
    </row>
    <row r="81" spans="1:8" x14ac:dyDescent="0.35">
      <c r="A81" s="31">
        <v>102</v>
      </c>
      <c r="B81" s="90" t="s">
        <v>1263</v>
      </c>
      <c r="C81" s="90" t="s">
        <v>955</v>
      </c>
      <c r="D81" s="91">
        <v>40000</v>
      </c>
    </row>
    <row r="82" spans="1:8" x14ac:dyDescent="0.35">
      <c r="A82" s="31">
        <v>112</v>
      </c>
      <c r="B82" s="90" t="s">
        <v>1264</v>
      </c>
      <c r="C82" s="90" t="s">
        <v>1265</v>
      </c>
      <c r="D82" s="91">
        <v>45000</v>
      </c>
    </row>
    <row r="83" spans="1:8" ht="15" thickBot="1" x14ac:dyDescent="0.4">
      <c r="A83" s="32">
        <v>104</v>
      </c>
      <c r="B83" s="92" t="s">
        <v>1266</v>
      </c>
      <c r="C83" s="92" t="s">
        <v>1267</v>
      </c>
      <c r="D83" s="93">
        <v>38000</v>
      </c>
    </row>
    <row r="87" spans="1:8" ht="15" thickBot="1" x14ac:dyDescent="0.4"/>
    <row r="88" spans="1:8" x14ac:dyDescent="0.35">
      <c r="A88" s="254" t="s">
        <v>1255</v>
      </c>
      <c r="B88" s="255" t="s">
        <v>1256</v>
      </c>
      <c r="C88" s="255" t="s">
        <v>1257</v>
      </c>
      <c r="D88" s="256" t="s">
        <v>1258</v>
      </c>
      <c r="F88" s="254" t="s">
        <v>1255</v>
      </c>
      <c r="G88" s="255" t="s">
        <v>1257</v>
      </c>
      <c r="H88" s="256" t="s">
        <v>1258</v>
      </c>
    </row>
    <row r="89" spans="1:8" x14ac:dyDescent="0.35">
      <c r="A89" s="31">
        <v>101</v>
      </c>
      <c r="B89" s="90" t="s">
        <v>1259</v>
      </c>
      <c r="C89" s="90" t="s">
        <v>1260</v>
      </c>
      <c r="D89" s="91">
        <v>35000</v>
      </c>
      <c r="F89" s="4">
        <v>103</v>
      </c>
      <c r="G89" s="5" t="str" cm="1">
        <f t="array" ref="G89:H89">VLOOKUP($F89,$A$89:$D$98,{3,4},FALSE)</f>
        <v>Sales</v>
      </c>
      <c r="H89" s="95">
        <v>40000</v>
      </c>
    </row>
    <row r="90" spans="1:8" x14ac:dyDescent="0.35">
      <c r="A90" s="31">
        <v>102</v>
      </c>
      <c r="B90" s="90" t="s">
        <v>1261</v>
      </c>
      <c r="C90" s="90" t="s">
        <v>1262</v>
      </c>
      <c r="D90" s="91">
        <v>30000</v>
      </c>
      <c r="F90" s="4">
        <v>108</v>
      </c>
      <c r="G90" s="5" t="str" cm="1">
        <f t="array" ref="G90:H90">VLOOKUP($F90,$A$89:$D$98,{3,4},FALSE)</f>
        <v>Sales</v>
      </c>
      <c r="H90" s="95">
        <v>40000</v>
      </c>
    </row>
    <row r="91" spans="1:8" x14ac:dyDescent="0.35">
      <c r="A91" s="31">
        <v>103</v>
      </c>
      <c r="B91" s="90" t="s">
        <v>1263</v>
      </c>
      <c r="C91" s="90" t="s">
        <v>955</v>
      </c>
      <c r="D91" s="91">
        <v>40000</v>
      </c>
      <c r="F91" s="4">
        <v>109</v>
      </c>
      <c r="G91" s="5" t="str" cm="1">
        <f t="array" ref="G91:H91">VLOOKUP($F91,$A$89:$D$98,{3,4},FALSE)</f>
        <v>IT</v>
      </c>
      <c r="H91" s="95">
        <v>45000</v>
      </c>
    </row>
    <row r="92" spans="1:8" ht="15" thickBot="1" x14ac:dyDescent="0.4">
      <c r="A92" s="31">
        <v>104</v>
      </c>
      <c r="B92" s="90" t="s">
        <v>1264</v>
      </c>
      <c r="C92" s="90" t="s">
        <v>1265</v>
      </c>
      <c r="D92" s="91">
        <v>45000</v>
      </c>
      <c r="F92" s="7">
        <v>110</v>
      </c>
      <c r="G92" s="5" t="str" cm="1">
        <f t="array" ref="G92:H92">VLOOKUP($F92,$A$89:$D$98,{3,4},FALSE)</f>
        <v>Marketing</v>
      </c>
      <c r="H92" s="95">
        <v>38000</v>
      </c>
    </row>
    <row r="93" spans="1:8" x14ac:dyDescent="0.35">
      <c r="A93" s="31">
        <v>105</v>
      </c>
      <c r="B93" s="90" t="s">
        <v>1266</v>
      </c>
      <c r="C93" s="90" t="s">
        <v>1267</v>
      </c>
      <c r="D93" s="91">
        <v>38000</v>
      </c>
    </row>
    <row r="94" spans="1:8" ht="15" thickBot="1" x14ac:dyDescent="0.4">
      <c r="A94" s="31">
        <v>106</v>
      </c>
      <c r="B94" s="90" t="s">
        <v>1259</v>
      </c>
      <c r="C94" s="90" t="s">
        <v>1260</v>
      </c>
      <c r="D94" s="91">
        <v>35000</v>
      </c>
    </row>
    <row r="95" spans="1:8" x14ac:dyDescent="0.35">
      <c r="A95" s="31">
        <v>107</v>
      </c>
      <c r="B95" s="90" t="s">
        <v>1261</v>
      </c>
      <c r="C95" s="90" t="s">
        <v>1262</v>
      </c>
      <c r="D95" s="91">
        <v>30000</v>
      </c>
      <c r="F95" s="254" t="s">
        <v>1255</v>
      </c>
      <c r="G95" s="255" t="s">
        <v>1257</v>
      </c>
      <c r="H95" s="256" t="s">
        <v>1258</v>
      </c>
    </row>
    <row r="96" spans="1:8" x14ac:dyDescent="0.35">
      <c r="A96" s="31">
        <v>108</v>
      </c>
      <c r="B96" s="90" t="s">
        <v>1263</v>
      </c>
      <c r="C96" s="90" t="s">
        <v>955</v>
      </c>
      <c r="D96" s="91">
        <v>40000</v>
      </c>
      <c r="F96" s="4">
        <v>103</v>
      </c>
      <c r="G96" s="5"/>
      <c r="H96" s="95"/>
    </row>
    <row r="97" spans="1:8" x14ac:dyDescent="0.35">
      <c r="A97" s="31">
        <v>109</v>
      </c>
      <c r="B97" s="90" t="s">
        <v>1264</v>
      </c>
      <c r="C97" s="90" t="s">
        <v>1265</v>
      </c>
      <c r="D97" s="91">
        <v>45000</v>
      </c>
      <c r="F97" s="4">
        <v>108</v>
      </c>
      <c r="G97" s="5"/>
      <c r="H97" s="95"/>
    </row>
    <row r="98" spans="1:8" ht="15" thickBot="1" x14ac:dyDescent="0.4">
      <c r="A98" s="32">
        <v>110</v>
      </c>
      <c r="B98" s="92" t="s">
        <v>1266</v>
      </c>
      <c r="C98" s="92" t="s">
        <v>1267</v>
      </c>
      <c r="D98" s="93">
        <v>38000</v>
      </c>
      <c r="F98" s="4">
        <v>109</v>
      </c>
      <c r="G98" s="5"/>
      <c r="H98" s="95"/>
    </row>
    <row r="99" spans="1:8" ht="15" thickBot="1" x14ac:dyDescent="0.4">
      <c r="F99" s="7">
        <v>110</v>
      </c>
      <c r="G99" s="8"/>
      <c r="H99" s="96"/>
    </row>
    <row r="109" spans="1:8" ht="15" thickBot="1" x14ac:dyDescent="0.4"/>
    <row r="110" spans="1:8" x14ac:dyDescent="0.35">
      <c r="A110" s="255" t="s">
        <v>1256</v>
      </c>
      <c r="B110" s="255" t="s">
        <v>1257</v>
      </c>
      <c r="C110" s="256" t="s">
        <v>1258</v>
      </c>
      <c r="D110" s="254" t="s">
        <v>1255</v>
      </c>
      <c r="F110" s="254" t="s">
        <v>1255</v>
      </c>
      <c r="G110" s="255" t="s">
        <v>1257</v>
      </c>
      <c r="H110" s="256" t="s">
        <v>1258</v>
      </c>
    </row>
    <row r="111" spans="1:8" x14ac:dyDescent="0.35">
      <c r="A111" s="90" t="s">
        <v>1259</v>
      </c>
      <c r="B111" s="90" t="s">
        <v>1260</v>
      </c>
      <c r="C111" s="91">
        <v>35000</v>
      </c>
      <c r="D111" s="31">
        <v>101</v>
      </c>
      <c r="F111" s="4">
        <v>103</v>
      </c>
      <c r="G111" s="5" t="str" cm="1">
        <f t="array" ref="G111:H111">VLOOKUP($F111,CHOOSE({1,2,3,4},$D$111:$D$120,$A$111:$A$120,$B$111:$B$120,$C$111:$C$120),{3,4},FALSE)</f>
        <v>Sales</v>
      </c>
      <c r="H111" s="95">
        <v>40000</v>
      </c>
    </row>
    <row r="112" spans="1:8" x14ac:dyDescent="0.35">
      <c r="A112" s="90" t="s">
        <v>1261</v>
      </c>
      <c r="B112" s="90" t="s">
        <v>1262</v>
      </c>
      <c r="C112" s="91">
        <v>30000</v>
      </c>
      <c r="D112" s="31">
        <v>102</v>
      </c>
      <c r="F112" s="4">
        <v>108</v>
      </c>
      <c r="G112" s="5" t="str" cm="1">
        <f t="array" ref="G112:H112">VLOOKUP($F112,CHOOSE({1,2,3,4},$D$111:$D$120,$A$111:$A$120,$B$111:$B$120,$C$111:$C$120),{3,4},FALSE)</f>
        <v>Sales</v>
      </c>
      <c r="H112" s="95">
        <v>40000</v>
      </c>
    </row>
    <row r="113" spans="1:8" x14ac:dyDescent="0.35">
      <c r="A113" s="90" t="s">
        <v>1263</v>
      </c>
      <c r="B113" s="90" t="s">
        <v>955</v>
      </c>
      <c r="C113" s="91">
        <v>40000</v>
      </c>
      <c r="D113" s="31">
        <v>103</v>
      </c>
      <c r="F113" s="4">
        <v>109</v>
      </c>
      <c r="G113" s="5" t="str" cm="1">
        <f t="array" ref="G113:H113">VLOOKUP($F113,CHOOSE({1,2,3,4},$D$111:$D$120,$A$111:$A$120,$B$111:$B$120,$C$111:$C$120),{3,4},FALSE)</f>
        <v>IT</v>
      </c>
      <c r="H113" s="95">
        <v>45000</v>
      </c>
    </row>
    <row r="114" spans="1:8" ht="15" thickBot="1" x14ac:dyDescent="0.4">
      <c r="A114" s="90" t="s">
        <v>1264</v>
      </c>
      <c r="B114" s="90" t="s">
        <v>1265</v>
      </c>
      <c r="C114" s="91">
        <v>45000</v>
      </c>
      <c r="D114" s="31">
        <v>104</v>
      </c>
      <c r="F114" s="7">
        <v>110</v>
      </c>
      <c r="G114" s="5" t="str" cm="1">
        <f t="array" ref="G114:H114">VLOOKUP($F114,CHOOSE({1,2,3,4},$D$111:$D$120,$A$111:$A$120,$B$111:$B$120,$C$111:$C$120),{3,4},FALSE)</f>
        <v>Marketing</v>
      </c>
      <c r="H114" s="95">
        <v>38000</v>
      </c>
    </row>
    <row r="115" spans="1:8" x14ac:dyDescent="0.35">
      <c r="A115" s="90" t="s">
        <v>1266</v>
      </c>
      <c r="B115" s="90" t="s">
        <v>1267</v>
      </c>
      <c r="C115" s="91">
        <v>38000</v>
      </c>
      <c r="D115" s="31">
        <v>105</v>
      </c>
    </row>
    <row r="116" spans="1:8" ht="15" thickBot="1" x14ac:dyDescent="0.4">
      <c r="A116" s="90" t="s">
        <v>1259</v>
      </c>
      <c r="B116" s="90" t="s">
        <v>1260</v>
      </c>
      <c r="C116" s="91">
        <v>35000</v>
      </c>
      <c r="D116" s="31">
        <v>106</v>
      </c>
    </row>
    <row r="117" spans="1:8" x14ac:dyDescent="0.35">
      <c r="A117" s="90" t="s">
        <v>1261</v>
      </c>
      <c r="B117" s="90" t="s">
        <v>1262</v>
      </c>
      <c r="C117" s="91">
        <v>30000</v>
      </c>
      <c r="D117" s="31">
        <v>107</v>
      </c>
      <c r="F117" s="254" t="s">
        <v>1255</v>
      </c>
      <c r="G117" s="255" t="s">
        <v>1257</v>
      </c>
      <c r="H117" s="256" t="s">
        <v>1258</v>
      </c>
    </row>
    <row r="118" spans="1:8" x14ac:dyDescent="0.35">
      <c r="A118" s="90" t="s">
        <v>1263</v>
      </c>
      <c r="B118" s="90" t="s">
        <v>955</v>
      </c>
      <c r="C118" s="91">
        <v>40000</v>
      </c>
      <c r="D118" s="31">
        <v>108</v>
      </c>
      <c r="F118" s="4">
        <v>103</v>
      </c>
      <c r="G118" s="5"/>
      <c r="H118" s="95"/>
    </row>
    <row r="119" spans="1:8" x14ac:dyDescent="0.35">
      <c r="A119" s="90" t="s">
        <v>1264</v>
      </c>
      <c r="B119" s="90" t="s">
        <v>1265</v>
      </c>
      <c r="C119" s="91">
        <v>45000</v>
      </c>
      <c r="D119" s="31">
        <v>109</v>
      </c>
      <c r="F119" s="4">
        <v>108</v>
      </c>
      <c r="G119" s="5"/>
      <c r="H119" s="95"/>
    </row>
    <row r="120" spans="1:8" ht="15" thickBot="1" x14ac:dyDescent="0.4">
      <c r="A120" s="92" t="s">
        <v>1266</v>
      </c>
      <c r="B120" s="92" t="s">
        <v>1267</v>
      </c>
      <c r="C120" s="93">
        <v>38000</v>
      </c>
      <c r="D120" s="32">
        <v>110</v>
      </c>
      <c r="F120" s="4">
        <v>109</v>
      </c>
      <c r="G120" s="5"/>
      <c r="H120" s="95"/>
    </row>
    <row r="121" spans="1:8" ht="15" thickBot="1" x14ac:dyDescent="0.4">
      <c r="F121" s="7">
        <v>110</v>
      </c>
      <c r="G121" s="8"/>
      <c r="H121" s="96"/>
    </row>
    <row r="125" spans="1:8" x14ac:dyDescent="0.35">
      <c r="B125" cm="1">
        <f t="array" ref="B125:E134">CHOOSE({1,2,3,4},D111:D120,A111:A120,B111:B120,C111:C120)</f>
        <v>101</v>
      </c>
      <c r="C125" t="str">
        <v>Amit Sharma</v>
      </c>
      <c r="D125" t="str">
        <v>Accounts</v>
      </c>
      <c r="E125">
        <v>35000</v>
      </c>
    </row>
    <row r="126" spans="1:8" x14ac:dyDescent="0.35">
      <c r="B126">
        <v>102</v>
      </c>
      <c r="C126" t="str">
        <v>Neha Verma</v>
      </c>
      <c r="D126" t="str">
        <v>HR</v>
      </c>
      <c r="E126">
        <v>30000</v>
      </c>
    </row>
    <row r="127" spans="1:8" x14ac:dyDescent="0.35">
      <c r="B127">
        <v>103</v>
      </c>
      <c r="C127" t="str">
        <v>Rohit Gupta</v>
      </c>
      <c r="D127" t="str">
        <v>Sales</v>
      </c>
      <c r="E127">
        <v>40000</v>
      </c>
    </row>
    <row r="128" spans="1:8" x14ac:dyDescent="0.35">
      <c r="B128">
        <v>104</v>
      </c>
      <c r="C128" t="str">
        <v>Pooja Singh</v>
      </c>
      <c r="D128" t="str">
        <v>IT</v>
      </c>
      <c r="E128">
        <v>45000</v>
      </c>
    </row>
    <row r="129" spans="2:5" x14ac:dyDescent="0.35">
      <c r="B129">
        <v>105</v>
      </c>
      <c r="C129" t="str">
        <v>Ankit Jain</v>
      </c>
      <c r="D129" t="str">
        <v>Marketing</v>
      </c>
      <c r="E129">
        <v>38000</v>
      </c>
    </row>
    <row r="130" spans="2:5" x14ac:dyDescent="0.35">
      <c r="B130">
        <v>106</v>
      </c>
      <c r="C130" t="str">
        <v>Amit Sharma</v>
      </c>
      <c r="D130" t="str">
        <v>Accounts</v>
      </c>
      <c r="E130">
        <v>35000</v>
      </c>
    </row>
    <row r="131" spans="2:5" x14ac:dyDescent="0.35">
      <c r="B131">
        <v>107</v>
      </c>
      <c r="C131" t="str">
        <v>Neha Verma</v>
      </c>
      <c r="D131" t="str">
        <v>HR</v>
      </c>
      <c r="E131">
        <v>30000</v>
      </c>
    </row>
    <row r="132" spans="2:5" x14ac:dyDescent="0.35">
      <c r="B132">
        <v>108</v>
      </c>
      <c r="C132" t="str">
        <v>Rohit Gupta</v>
      </c>
      <c r="D132" t="str">
        <v>Sales</v>
      </c>
      <c r="E132">
        <v>40000</v>
      </c>
    </row>
    <row r="133" spans="2:5" x14ac:dyDescent="0.35">
      <c r="B133">
        <v>109</v>
      </c>
      <c r="C133" t="str">
        <v>Pooja Singh</v>
      </c>
      <c r="D133" t="str">
        <v>IT</v>
      </c>
      <c r="E133">
        <v>45000</v>
      </c>
    </row>
    <row r="134" spans="2:5" x14ac:dyDescent="0.35">
      <c r="B134">
        <v>110</v>
      </c>
      <c r="C134" t="str">
        <v>Ankit Jain</v>
      </c>
      <c r="D134" t="str">
        <v>Marketing</v>
      </c>
      <c r="E134">
        <v>38000</v>
      </c>
    </row>
    <row r="150" spans="1:12" ht="15" thickBot="1" x14ac:dyDescent="0.4"/>
    <row r="151" spans="1:12" ht="15" thickBot="1" x14ac:dyDescent="0.4">
      <c r="A151" s="171" t="s">
        <v>932</v>
      </c>
      <c r="B151" s="172" t="s">
        <v>2</v>
      </c>
      <c r="C151" s="172" t="s">
        <v>3</v>
      </c>
      <c r="D151" s="172" t="s">
        <v>933</v>
      </c>
      <c r="E151" s="172" t="s">
        <v>5</v>
      </c>
      <c r="F151" s="172" t="s">
        <v>6</v>
      </c>
      <c r="G151" s="172" t="s">
        <v>23</v>
      </c>
      <c r="H151" s="173" t="s">
        <v>964</v>
      </c>
    </row>
    <row r="152" spans="1:12" x14ac:dyDescent="0.35">
      <c r="A152" s="4" t="s">
        <v>935</v>
      </c>
      <c r="B152" s="5">
        <v>100</v>
      </c>
      <c r="C152" s="5">
        <v>100</v>
      </c>
      <c r="D152" s="5">
        <v>90</v>
      </c>
      <c r="E152" s="5">
        <v>90</v>
      </c>
      <c r="F152" s="140">
        <f>SUM(B152:E152)</f>
        <v>380</v>
      </c>
      <c r="G152" s="174">
        <f>F152/400</f>
        <v>0.95</v>
      </c>
      <c r="H152" s="180" t="str">
        <f>VLOOKUP(G152,$K$152:$L$156,2,TRUE)</f>
        <v>A+</v>
      </c>
      <c r="J152" s="258" t="s">
        <v>1269</v>
      </c>
      <c r="K152" s="259">
        <v>0</v>
      </c>
      <c r="L152" s="260" t="s">
        <v>966</v>
      </c>
    </row>
    <row r="153" spans="1:12" x14ac:dyDescent="0.35">
      <c r="A153" s="4" t="s">
        <v>936</v>
      </c>
      <c r="B153" s="5">
        <v>95</v>
      </c>
      <c r="C153" s="5">
        <v>85</v>
      </c>
      <c r="D153" s="5">
        <v>96</v>
      </c>
      <c r="E153" s="5">
        <v>95</v>
      </c>
      <c r="F153" s="140">
        <f t="shared" ref="F153:F171" si="2">SUM(B153:E153)</f>
        <v>371</v>
      </c>
      <c r="G153" s="174">
        <f t="shared" ref="G153:G171" si="3">F153/400</f>
        <v>0.92749999999999999</v>
      </c>
      <c r="H153" s="180" t="str">
        <f t="shared" ref="H153:H171" si="4">VLOOKUP(G153,$K$152:$L$156,2,TRUE)</f>
        <v>A+</v>
      </c>
      <c r="J153" s="4" t="s">
        <v>967</v>
      </c>
      <c r="K153" s="261">
        <v>0.3</v>
      </c>
      <c r="L153" s="95" t="s">
        <v>961</v>
      </c>
    </row>
    <row r="154" spans="1:12" x14ac:dyDescent="0.35">
      <c r="A154" s="4" t="s">
        <v>937</v>
      </c>
      <c r="B154" s="5">
        <v>85</v>
      </c>
      <c r="C154" s="5">
        <v>87</v>
      </c>
      <c r="D154" s="5">
        <v>58</v>
      </c>
      <c r="E154" s="5">
        <v>62</v>
      </c>
      <c r="F154" s="140">
        <f t="shared" si="2"/>
        <v>292</v>
      </c>
      <c r="G154" s="174">
        <f t="shared" si="3"/>
        <v>0.73</v>
      </c>
      <c r="H154" s="180" t="str">
        <f t="shared" si="4"/>
        <v>B</v>
      </c>
      <c r="J154" s="4" t="s">
        <v>968</v>
      </c>
      <c r="K154" s="261">
        <v>0.5</v>
      </c>
      <c r="L154" s="95" t="s">
        <v>960</v>
      </c>
    </row>
    <row r="155" spans="1:12" x14ac:dyDescent="0.35">
      <c r="A155" s="4" t="s">
        <v>938</v>
      </c>
      <c r="B155" s="5">
        <v>61</v>
      </c>
      <c r="C155" s="5">
        <v>52</v>
      </c>
      <c r="D155" s="5">
        <v>77</v>
      </c>
      <c r="E155" s="5">
        <v>67</v>
      </c>
      <c r="F155" s="140">
        <f t="shared" si="2"/>
        <v>257</v>
      </c>
      <c r="G155" s="174">
        <f t="shared" si="3"/>
        <v>0.64249999999999996</v>
      </c>
      <c r="H155" s="180" t="str">
        <f t="shared" si="4"/>
        <v>B</v>
      </c>
      <c r="J155" s="4" t="s">
        <v>969</v>
      </c>
      <c r="K155" s="261">
        <v>0.75</v>
      </c>
      <c r="L155" s="95" t="s">
        <v>959</v>
      </c>
    </row>
    <row r="156" spans="1:12" ht="15" thickBot="1" x14ac:dyDescent="0.4">
      <c r="A156" s="4" t="s">
        <v>939</v>
      </c>
      <c r="B156" s="5">
        <v>26</v>
      </c>
      <c r="C156" s="5">
        <v>91</v>
      </c>
      <c r="D156" s="5">
        <v>75</v>
      </c>
      <c r="E156" s="5">
        <v>38</v>
      </c>
      <c r="F156" s="140">
        <f t="shared" si="2"/>
        <v>230</v>
      </c>
      <c r="G156" s="174">
        <f t="shared" si="3"/>
        <v>0.57499999999999996</v>
      </c>
      <c r="H156" s="180" t="str">
        <f t="shared" si="4"/>
        <v>B</v>
      </c>
      <c r="J156" s="7" t="s">
        <v>970</v>
      </c>
      <c r="K156" s="262">
        <v>0.9</v>
      </c>
      <c r="L156" s="96" t="s">
        <v>971</v>
      </c>
    </row>
    <row r="157" spans="1:12" x14ac:dyDescent="0.35">
      <c r="A157" s="4" t="s">
        <v>940</v>
      </c>
      <c r="B157" s="5">
        <v>49</v>
      </c>
      <c r="C157" s="5">
        <v>55</v>
      </c>
      <c r="D157" s="5">
        <v>63</v>
      </c>
      <c r="E157" s="5">
        <v>73</v>
      </c>
      <c r="F157" s="140">
        <f t="shared" si="2"/>
        <v>240</v>
      </c>
      <c r="G157" s="174">
        <f t="shared" si="3"/>
        <v>0.6</v>
      </c>
      <c r="H157" s="180" t="str">
        <f t="shared" si="4"/>
        <v>B</v>
      </c>
    </row>
    <row r="158" spans="1:12" x14ac:dyDescent="0.35">
      <c r="A158" s="4" t="s">
        <v>941</v>
      </c>
      <c r="B158" s="5">
        <v>44</v>
      </c>
      <c r="C158" s="5">
        <v>56</v>
      </c>
      <c r="D158" s="5">
        <v>92</v>
      </c>
      <c r="E158" s="5">
        <v>77</v>
      </c>
      <c r="F158" s="140">
        <f t="shared" si="2"/>
        <v>269</v>
      </c>
      <c r="G158" s="174">
        <f t="shared" si="3"/>
        <v>0.67249999999999999</v>
      </c>
      <c r="H158" s="180" t="str">
        <f t="shared" si="4"/>
        <v>B</v>
      </c>
    </row>
    <row r="159" spans="1:12" x14ac:dyDescent="0.35">
      <c r="A159" s="4" t="s">
        <v>942</v>
      </c>
      <c r="B159" s="5">
        <v>95</v>
      </c>
      <c r="C159" s="5">
        <v>80</v>
      </c>
      <c r="D159" s="5">
        <v>62</v>
      </c>
      <c r="E159" s="5">
        <v>85</v>
      </c>
      <c r="F159" s="140">
        <f t="shared" si="2"/>
        <v>322</v>
      </c>
      <c r="G159" s="174">
        <f t="shared" si="3"/>
        <v>0.80500000000000005</v>
      </c>
      <c r="H159" s="180" t="str">
        <f t="shared" si="4"/>
        <v>A</v>
      </c>
    </row>
    <row r="160" spans="1:12" x14ac:dyDescent="0.35">
      <c r="A160" s="4" t="s">
        <v>943</v>
      </c>
      <c r="B160" s="5">
        <v>64</v>
      </c>
      <c r="C160" s="5">
        <v>59</v>
      </c>
      <c r="D160" s="5">
        <v>85</v>
      </c>
      <c r="E160" s="5">
        <v>58</v>
      </c>
      <c r="F160" s="140">
        <f t="shared" si="2"/>
        <v>266</v>
      </c>
      <c r="G160" s="174">
        <f t="shared" si="3"/>
        <v>0.66500000000000004</v>
      </c>
      <c r="H160" s="180" t="str">
        <f t="shared" si="4"/>
        <v>B</v>
      </c>
    </row>
    <row r="161" spans="1:8" x14ac:dyDescent="0.35">
      <c r="A161" s="4" t="s">
        <v>944</v>
      </c>
      <c r="B161" s="5">
        <v>32</v>
      </c>
      <c r="C161" s="5">
        <v>42</v>
      </c>
      <c r="D161" s="5">
        <v>30</v>
      </c>
      <c r="E161" s="5">
        <v>63</v>
      </c>
      <c r="F161" s="140">
        <f t="shared" si="2"/>
        <v>167</v>
      </c>
      <c r="G161" s="174">
        <f t="shared" si="3"/>
        <v>0.41749999999999998</v>
      </c>
      <c r="H161" s="180" t="str">
        <f t="shared" si="4"/>
        <v>C</v>
      </c>
    </row>
    <row r="162" spans="1:8" x14ac:dyDescent="0.35">
      <c r="A162" s="4" t="s">
        <v>945</v>
      </c>
      <c r="B162" s="5">
        <v>32</v>
      </c>
      <c r="C162" s="5">
        <v>68</v>
      </c>
      <c r="D162" s="5">
        <v>48</v>
      </c>
      <c r="E162" s="5">
        <v>95</v>
      </c>
      <c r="F162" s="140">
        <f t="shared" si="2"/>
        <v>243</v>
      </c>
      <c r="G162" s="174">
        <f t="shared" si="3"/>
        <v>0.60750000000000004</v>
      </c>
      <c r="H162" s="180" t="str">
        <f t="shared" si="4"/>
        <v>B</v>
      </c>
    </row>
    <row r="163" spans="1:8" x14ac:dyDescent="0.35">
      <c r="A163" s="4" t="s">
        <v>946</v>
      </c>
      <c r="B163" s="5">
        <v>98</v>
      </c>
      <c r="C163" s="5">
        <v>98</v>
      </c>
      <c r="D163" s="5">
        <v>100</v>
      </c>
      <c r="E163" s="5">
        <v>100</v>
      </c>
      <c r="F163" s="140">
        <f t="shared" si="2"/>
        <v>396</v>
      </c>
      <c r="G163" s="174">
        <f t="shared" si="3"/>
        <v>0.99</v>
      </c>
      <c r="H163" s="180" t="str">
        <f t="shared" si="4"/>
        <v>A+</v>
      </c>
    </row>
    <row r="164" spans="1:8" x14ac:dyDescent="0.35">
      <c r="A164" s="4" t="s">
        <v>947</v>
      </c>
      <c r="B164" s="5">
        <v>61</v>
      </c>
      <c r="C164" s="5">
        <v>83</v>
      </c>
      <c r="D164" s="5">
        <v>39</v>
      </c>
      <c r="E164" s="5">
        <v>80</v>
      </c>
      <c r="F164" s="140">
        <f t="shared" si="2"/>
        <v>263</v>
      </c>
      <c r="G164" s="174">
        <f t="shared" si="3"/>
        <v>0.65749999999999997</v>
      </c>
      <c r="H164" s="180" t="str">
        <f t="shared" si="4"/>
        <v>B</v>
      </c>
    </row>
    <row r="165" spans="1:8" x14ac:dyDescent="0.35">
      <c r="A165" s="4" t="s">
        <v>948</v>
      </c>
      <c r="B165" s="5">
        <v>58</v>
      </c>
      <c r="C165" s="5">
        <v>87</v>
      </c>
      <c r="D165" s="5">
        <v>72</v>
      </c>
      <c r="E165" s="5">
        <v>46</v>
      </c>
      <c r="F165" s="140">
        <f t="shared" si="2"/>
        <v>263</v>
      </c>
      <c r="G165" s="174">
        <f t="shared" si="3"/>
        <v>0.65749999999999997</v>
      </c>
      <c r="H165" s="180" t="str">
        <f t="shared" si="4"/>
        <v>B</v>
      </c>
    </row>
    <row r="166" spans="1:8" x14ac:dyDescent="0.35">
      <c r="A166" s="4" t="s">
        <v>225</v>
      </c>
      <c r="B166" s="5">
        <v>71</v>
      </c>
      <c r="C166" s="5">
        <v>64</v>
      </c>
      <c r="D166" s="5">
        <v>25</v>
      </c>
      <c r="E166" s="5">
        <v>66</v>
      </c>
      <c r="F166" s="140">
        <f t="shared" si="2"/>
        <v>226</v>
      </c>
      <c r="G166" s="174">
        <f t="shared" si="3"/>
        <v>0.56499999999999995</v>
      </c>
      <c r="H166" s="180" t="str">
        <f t="shared" si="4"/>
        <v>B</v>
      </c>
    </row>
    <row r="167" spans="1:8" x14ac:dyDescent="0.35">
      <c r="A167" s="4" t="s">
        <v>949</v>
      </c>
      <c r="B167" s="5">
        <v>80</v>
      </c>
      <c r="C167" s="5">
        <v>31</v>
      </c>
      <c r="D167" s="5">
        <v>96</v>
      </c>
      <c r="E167" s="5">
        <v>94</v>
      </c>
      <c r="F167" s="140">
        <f t="shared" si="2"/>
        <v>301</v>
      </c>
      <c r="G167" s="174">
        <f t="shared" si="3"/>
        <v>0.75249999999999995</v>
      </c>
      <c r="H167" s="180" t="str">
        <f t="shared" si="4"/>
        <v>A</v>
      </c>
    </row>
    <row r="168" spans="1:8" x14ac:dyDescent="0.35">
      <c r="A168" s="4" t="s">
        <v>950</v>
      </c>
      <c r="B168" s="5">
        <v>72</v>
      </c>
      <c r="C168" s="5">
        <v>10</v>
      </c>
      <c r="D168" s="5">
        <v>10</v>
      </c>
      <c r="E168" s="5">
        <v>10</v>
      </c>
      <c r="F168" s="140">
        <f t="shared" si="2"/>
        <v>102</v>
      </c>
      <c r="G168" s="174">
        <f t="shared" si="3"/>
        <v>0.255</v>
      </c>
      <c r="H168" s="180" t="str">
        <f t="shared" si="4"/>
        <v>D</v>
      </c>
    </row>
    <row r="169" spans="1:8" x14ac:dyDescent="0.35">
      <c r="A169" s="4" t="s">
        <v>951</v>
      </c>
      <c r="B169" s="5">
        <v>67</v>
      </c>
      <c r="C169" s="5">
        <v>54</v>
      </c>
      <c r="D169" s="5">
        <v>84</v>
      </c>
      <c r="E169" s="5">
        <v>73</v>
      </c>
      <c r="F169" s="140">
        <f t="shared" si="2"/>
        <v>278</v>
      </c>
      <c r="G169" s="174">
        <f t="shared" si="3"/>
        <v>0.69499999999999995</v>
      </c>
      <c r="H169" s="180" t="str">
        <f t="shared" si="4"/>
        <v>B</v>
      </c>
    </row>
    <row r="170" spans="1:8" x14ac:dyDescent="0.35">
      <c r="A170" s="4" t="s">
        <v>952</v>
      </c>
      <c r="B170" s="5">
        <v>30</v>
      </c>
      <c r="C170" s="5">
        <v>69</v>
      </c>
      <c r="D170" s="5">
        <v>78</v>
      </c>
      <c r="E170" s="5">
        <v>59</v>
      </c>
      <c r="F170" s="140">
        <f t="shared" si="2"/>
        <v>236</v>
      </c>
      <c r="G170" s="174">
        <f t="shared" si="3"/>
        <v>0.59</v>
      </c>
      <c r="H170" s="180" t="str">
        <f t="shared" si="4"/>
        <v>B</v>
      </c>
    </row>
    <row r="171" spans="1:8" ht="15" thickBot="1" x14ac:dyDescent="0.4">
      <c r="A171" s="7" t="s">
        <v>953</v>
      </c>
      <c r="B171" s="8">
        <v>26</v>
      </c>
      <c r="C171" s="8">
        <v>38</v>
      </c>
      <c r="D171" s="8">
        <v>33</v>
      </c>
      <c r="E171" s="8">
        <v>42</v>
      </c>
      <c r="F171" s="143">
        <f t="shared" si="2"/>
        <v>139</v>
      </c>
      <c r="G171" s="257">
        <f t="shared" si="3"/>
        <v>0.34749999999999998</v>
      </c>
      <c r="H171" s="180" t="str">
        <f t="shared" si="4"/>
        <v>C</v>
      </c>
    </row>
    <row r="176" spans="1:8" ht="15" thickBot="1" x14ac:dyDescent="0.4"/>
    <row r="177" spans="1:8" x14ac:dyDescent="0.35">
      <c r="A177" s="254" t="s">
        <v>1255</v>
      </c>
      <c r="B177" s="255" t="s">
        <v>1256</v>
      </c>
      <c r="C177" s="255" t="s">
        <v>1257</v>
      </c>
      <c r="D177" s="256" t="s">
        <v>1258</v>
      </c>
      <c r="F177" s="263" t="s">
        <v>1255</v>
      </c>
      <c r="G177" s="264" t="s">
        <v>1257</v>
      </c>
      <c r="H177" s="264" t="s">
        <v>1256</v>
      </c>
    </row>
    <row r="178" spans="1:8" x14ac:dyDescent="0.35">
      <c r="A178" s="31">
        <v>101</v>
      </c>
      <c r="B178" s="90" t="s">
        <v>1259</v>
      </c>
      <c r="C178" s="90" t="s">
        <v>1260</v>
      </c>
      <c r="D178" s="91">
        <v>35000</v>
      </c>
      <c r="F178" s="4">
        <v>103</v>
      </c>
      <c r="G178" s="5" t="str">
        <f>VLOOKUP(F178,$A$178:$D$187,MATCH($G$177,$A$177:$D$177,0),FALSE)</f>
        <v>Sales</v>
      </c>
      <c r="H178" s="265" t="str">
        <f>VLOOKUP(F178,$A$178:$D$187,MATCH($H$177,$A$177:$D$177,0))</f>
        <v>Rohit Gupta</v>
      </c>
    </row>
    <row r="179" spans="1:8" x14ac:dyDescent="0.35">
      <c r="A179" s="31">
        <v>102</v>
      </c>
      <c r="B179" s="90" t="s">
        <v>1261</v>
      </c>
      <c r="C179" s="90" t="s">
        <v>1262</v>
      </c>
      <c r="D179" s="91">
        <v>30000</v>
      </c>
      <c r="F179" s="4">
        <v>108</v>
      </c>
      <c r="G179" s="5" t="str">
        <f t="shared" ref="G179:G181" si="5">VLOOKUP(F179,$A$178:$D$187,MATCH($G$177,$A$177:$D$177,0),FALSE)</f>
        <v>Sales</v>
      </c>
      <c r="H179" s="265" t="str">
        <f t="shared" ref="H179:H181" si="6">VLOOKUP(F179,$A$178:$D$187,MATCH($H$177,$A$177:$D$177,0))</f>
        <v>Rohit Gupta</v>
      </c>
    </row>
    <row r="180" spans="1:8" x14ac:dyDescent="0.35">
      <c r="A180" s="31">
        <v>103</v>
      </c>
      <c r="B180" s="90" t="s">
        <v>1263</v>
      </c>
      <c r="C180" s="90" t="s">
        <v>955</v>
      </c>
      <c r="D180" s="91">
        <v>40000</v>
      </c>
      <c r="F180" s="4">
        <v>109</v>
      </c>
      <c r="G180" s="5" t="str">
        <f t="shared" si="5"/>
        <v>IT</v>
      </c>
      <c r="H180" s="265" t="str">
        <f t="shared" si="6"/>
        <v>Pooja Singh</v>
      </c>
    </row>
    <row r="181" spans="1:8" ht="15" thickBot="1" x14ac:dyDescent="0.4">
      <c r="A181" s="31">
        <v>104</v>
      </c>
      <c r="B181" s="90" t="s">
        <v>1264</v>
      </c>
      <c r="C181" s="90" t="s">
        <v>1265</v>
      </c>
      <c r="D181" s="91">
        <v>45000</v>
      </c>
      <c r="F181" s="7">
        <v>110</v>
      </c>
      <c r="G181" s="5" t="str">
        <f t="shared" si="5"/>
        <v>Marketing</v>
      </c>
      <c r="H181" s="265" t="str">
        <f t="shared" si="6"/>
        <v>Ankit Jain</v>
      </c>
    </row>
    <row r="182" spans="1:8" x14ac:dyDescent="0.35">
      <c r="A182" s="31">
        <v>105</v>
      </c>
      <c r="B182" s="90" t="s">
        <v>1266</v>
      </c>
      <c r="C182" s="90" t="s">
        <v>1267</v>
      </c>
      <c r="D182" s="91">
        <v>38000</v>
      </c>
    </row>
    <row r="183" spans="1:8" ht="15" thickBot="1" x14ac:dyDescent="0.4">
      <c r="A183" s="31">
        <v>106</v>
      </c>
      <c r="B183" s="90" t="s">
        <v>1259</v>
      </c>
      <c r="C183" s="90" t="s">
        <v>1260</v>
      </c>
      <c r="D183" s="91">
        <v>35000</v>
      </c>
    </row>
    <row r="184" spans="1:8" x14ac:dyDescent="0.35">
      <c r="A184" s="31">
        <v>107</v>
      </c>
      <c r="B184" s="90" t="s">
        <v>1261</v>
      </c>
      <c r="C184" s="90" t="s">
        <v>1262</v>
      </c>
      <c r="D184" s="91">
        <v>30000</v>
      </c>
      <c r="F184" s="254" t="s">
        <v>1255</v>
      </c>
      <c r="G184" s="255" t="s">
        <v>1257</v>
      </c>
    </row>
    <row r="185" spans="1:8" x14ac:dyDescent="0.35">
      <c r="A185" s="31">
        <v>108</v>
      </c>
      <c r="B185" s="90" t="s">
        <v>1263</v>
      </c>
      <c r="C185" s="90" t="s">
        <v>955</v>
      </c>
      <c r="D185" s="91">
        <v>40000</v>
      </c>
      <c r="F185" s="4">
        <v>103</v>
      </c>
      <c r="G185" s="5"/>
    </row>
    <row r="186" spans="1:8" x14ac:dyDescent="0.35">
      <c r="A186" s="31">
        <v>109</v>
      </c>
      <c r="B186" s="90" t="s">
        <v>1264</v>
      </c>
      <c r="C186" s="90" t="s">
        <v>1265</v>
      </c>
      <c r="D186" s="91">
        <v>45000</v>
      </c>
      <c r="F186" s="4">
        <v>108</v>
      </c>
      <c r="G186" s="5"/>
    </row>
    <row r="187" spans="1:8" ht="15" thickBot="1" x14ac:dyDescent="0.4">
      <c r="A187" s="32">
        <v>110</v>
      </c>
      <c r="B187" s="92" t="s">
        <v>1266</v>
      </c>
      <c r="C187" s="92" t="s">
        <v>1267</v>
      </c>
      <c r="D187" s="93">
        <v>38000</v>
      </c>
      <c r="F187" s="4">
        <v>109</v>
      </c>
      <c r="G187" s="5"/>
    </row>
    <row r="188" spans="1:8" ht="15" thickBot="1" x14ac:dyDescent="0.4">
      <c r="F188" s="7">
        <v>110</v>
      </c>
      <c r="G188" s="8"/>
    </row>
    <row r="191" spans="1:8" x14ac:dyDescent="0.35">
      <c r="B191">
        <f>MATCH(G177,A177:D177,0)</f>
        <v>3</v>
      </c>
    </row>
    <row r="201" spans="1:8" ht="15" thickBot="1" x14ac:dyDescent="0.4"/>
    <row r="202" spans="1:8" x14ac:dyDescent="0.35">
      <c r="A202" s="254" t="s">
        <v>1255</v>
      </c>
      <c r="B202" s="255" t="s">
        <v>1256</v>
      </c>
      <c r="C202" s="255" t="s">
        <v>1257</v>
      </c>
      <c r="D202" s="256" t="s">
        <v>1258</v>
      </c>
      <c r="F202" s="263" t="s">
        <v>1255</v>
      </c>
      <c r="G202" s="255" t="s">
        <v>1257</v>
      </c>
    </row>
    <row r="203" spans="1:8" x14ac:dyDescent="0.35">
      <c r="A203" s="31">
        <v>101</v>
      </c>
      <c r="B203" s="90" t="s">
        <v>1259</v>
      </c>
      <c r="C203" s="90" t="s">
        <v>1260</v>
      </c>
      <c r="D203" s="91">
        <v>35000</v>
      </c>
      <c r="F203" s="31">
        <v>106</v>
      </c>
      <c r="G203" s="5" t="str">
        <f>INDEX($A$203:$D$212,MATCH($F203,$A$203:$A$212,0),MATCH($G$202,$A$202:$D$202,0))</f>
        <v>Accounts</v>
      </c>
      <c r="H203">
        <f>MATCH(F203,$A$203:$A$212)</f>
        <v>6</v>
      </c>
    </row>
    <row r="204" spans="1:8" x14ac:dyDescent="0.35">
      <c r="A204" s="31">
        <v>102</v>
      </c>
      <c r="B204" s="90" t="s">
        <v>1261</v>
      </c>
      <c r="C204" s="90" t="s">
        <v>1262</v>
      </c>
      <c r="D204" s="91">
        <v>30000</v>
      </c>
      <c r="F204" s="4">
        <v>108</v>
      </c>
      <c r="G204" s="5" t="str">
        <f t="shared" ref="G204:G206" si="7">INDEX($A$203:$D$212,MATCH($F204,$A$203:$A$212,0),MATCH($G$202,$A$202:$D$202,0))</f>
        <v>Sales</v>
      </c>
      <c r="H204">
        <f t="shared" ref="H204:H206" si="8">MATCH(F204,$A$203:$A$212)</f>
        <v>8</v>
      </c>
    </row>
    <row r="205" spans="1:8" x14ac:dyDescent="0.35">
      <c r="A205" s="31">
        <v>103</v>
      </c>
      <c r="B205" s="90" t="s">
        <v>1263</v>
      </c>
      <c r="C205" s="90" t="s">
        <v>955</v>
      </c>
      <c r="D205" s="91">
        <v>40000</v>
      </c>
      <c r="F205" s="4">
        <v>109</v>
      </c>
      <c r="G205" s="5" t="str">
        <f t="shared" si="7"/>
        <v>IT</v>
      </c>
      <c r="H205">
        <f t="shared" si="8"/>
        <v>9</v>
      </c>
    </row>
    <row r="206" spans="1:8" ht="15" thickBot="1" x14ac:dyDescent="0.4">
      <c r="A206" s="31">
        <v>104</v>
      </c>
      <c r="B206" s="90" t="s">
        <v>1264</v>
      </c>
      <c r="C206" s="90" t="s">
        <v>1265</v>
      </c>
      <c r="D206" s="91">
        <v>45000</v>
      </c>
      <c r="F206" s="7">
        <v>110</v>
      </c>
      <c r="G206" s="5" t="str">
        <f t="shared" si="7"/>
        <v>Marketing</v>
      </c>
      <c r="H206">
        <f t="shared" si="8"/>
        <v>10</v>
      </c>
    </row>
    <row r="207" spans="1:8" x14ac:dyDescent="0.35">
      <c r="A207" s="31">
        <v>105</v>
      </c>
      <c r="B207" s="90" t="s">
        <v>1266</v>
      </c>
      <c r="C207" s="90" t="s">
        <v>1267</v>
      </c>
      <c r="D207" s="91">
        <v>38000</v>
      </c>
    </row>
    <row r="208" spans="1:8" ht="15" thickBot="1" x14ac:dyDescent="0.4">
      <c r="A208" s="31">
        <v>106</v>
      </c>
      <c r="B208" s="90" t="s">
        <v>1259</v>
      </c>
      <c r="C208" s="90" t="s">
        <v>1260</v>
      </c>
      <c r="D208" s="91">
        <v>35000</v>
      </c>
    </row>
    <row r="209" spans="1:11" x14ac:dyDescent="0.35">
      <c r="A209" s="31">
        <v>107</v>
      </c>
      <c r="B209" s="90" t="s">
        <v>1261</v>
      </c>
      <c r="C209" s="90" t="s">
        <v>1262</v>
      </c>
      <c r="D209" s="91">
        <v>30000</v>
      </c>
      <c r="F209" s="254" t="s">
        <v>1255</v>
      </c>
      <c r="G209" s="255" t="s">
        <v>1257</v>
      </c>
    </row>
    <row r="210" spans="1:11" x14ac:dyDescent="0.35">
      <c r="A210" s="31">
        <v>108</v>
      </c>
      <c r="B210" s="90" t="s">
        <v>1263</v>
      </c>
      <c r="C210" s="90" t="s">
        <v>955</v>
      </c>
      <c r="D210" s="91">
        <v>40000</v>
      </c>
      <c r="F210" s="4">
        <v>103</v>
      </c>
      <c r="G210" s="5"/>
    </row>
    <row r="211" spans="1:11" x14ac:dyDescent="0.35">
      <c r="A211" s="31">
        <v>109</v>
      </c>
      <c r="B211" s="90" t="s">
        <v>1264</v>
      </c>
      <c r="C211" s="90" t="s">
        <v>1265</v>
      </c>
      <c r="D211" s="91">
        <v>45000</v>
      </c>
      <c r="F211" s="4">
        <v>108</v>
      </c>
      <c r="G211" s="5"/>
    </row>
    <row r="212" spans="1:11" ht="15" thickBot="1" x14ac:dyDescent="0.4">
      <c r="A212" s="32">
        <v>110</v>
      </c>
      <c r="B212" s="92" t="s">
        <v>1266</v>
      </c>
      <c r="C212" s="92" t="s">
        <v>1267</v>
      </c>
      <c r="D212" s="93">
        <v>38000</v>
      </c>
      <c r="F212" s="4">
        <v>109</v>
      </c>
      <c r="G212" s="5"/>
    </row>
    <row r="213" spans="1:11" ht="15" thickBot="1" x14ac:dyDescent="0.4">
      <c r="F213" s="7">
        <v>110</v>
      </c>
      <c r="G213" s="8"/>
    </row>
    <row r="221" spans="1:11" ht="15" thickBot="1" x14ac:dyDescent="0.4"/>
    <row r="222" spans="1:11" ht="15" thickBot="1" x14ac:dyDescent="0.4">
      <c r="A222" s="254" t="s">
        <v>1255</v>
      </c>
      <c r="B222" s="31">
        <v>101</v>
      </c>
      <c r="C222" s="31">
        <v>102</v>
      </c>
      <c r="D222" s="31">
        <v>103</v>
      </c>
      <c r="E222" s="31">
        <v>104</v>
      </c>
      <c r="F222" s="31">
        <v>105</v>
      </c>
      <c r="G222" s="31">
        <v>106</v>
      </c>
      <c r="H222" s="31">
        <v>107</v>
      </c>
      <c r="I222" s="31">
        <v>108</v>
      </c>
      <c r="J222" s="31">
        <v>109</v>
      </c>
      <c r="K222" s="32">
        <v>110</v>
      </c>
    </row>
    <row r="223" spans="1:11" ht="15" thickBot="1" x14ac:dyDescent="0.4">
      <c r="A223" s="255" t="s">
        <v>1256</v>
      </c>
      <c r="B223" s="90" t="s">
        <v>1259</v>
      </c>
      <c r="C223" s="90" t="s">
        <v>1261</v>
      </c>
      <c r="D223" s="90" t="s">
        <v>1263</v>
      </c>
      <c r="E223" s="90" t="s">
        <v>1264</v>
      </c>
      <c r="F223" s="90" t="s">
        <v>1266</v>
      </c>
      <c r="G223" s="90" t="s">
        <v>1259</v>
      </c>
      <c r="H223" s="90" t="s">
        <v>1261</v>
      </c>
      <c r="I223" s="90" t="s">
        <v>1263</v>
      </c>
      <c r="J223" s="90" t="s">
        <v>1264</v>
      </c>
      <c r="K223" s="92" t="s">
        <v>1266</v>
      </c>
    </row>
    <row r="224" spans="1:11" ht="15" thickBot="1" x14ac:dyDescent="0.4">
      <c r="A224" s="255" t="s">
        <v>1257</v>
      </c>
      <c r="B224" s="90" t="s">
        <v>1260</v>
      </c>
      <c r="C224" s="90" t="s">
        <v>1262</v>
      </c>
      <c r="D224" s="90" t="s">
        <v>955</v>
      </c>
      <c r="E224" s="90" t="s">
        <v>1265</v>
      </c>
      <c r="F224" s="90" t="s">
        <v>1267</v>
      </c>
      <c r="G224" s="90" t="s">
        <v>1260</v>
      </c>
      <c r="H224" s="90" t="s">
        <v>1262</v>
      </c>
      <c r="I224" s="90" t="s">
        <v>955</v>
      </c>
      <c r="J224" s="90" t="s">
        <v>1265</v>
      </c>
      <c r="K224" s="92" t="s">
        <v>1267</v>
      </c>
    </row>
    <row r="225" spans="1:11" ht="15" thickBot="1" x14ac:dyDescent="0.4">
      <c r="A225" s="256" t="s">
        <v>1258</v>
      </c>
      <c r="B225" s="91">
        <v>35000</v>
      </c>
      <c r="C225" s="91">
        <v>30000</v>
      </c>
      <c r="D225" s="91">
        <v>40000</v>
      </c>
      <c r="E225" s="91">
        <v>45000</v>
      </c>
      <c r="F225" s="91">
        <v>38000</v>
      </c>
      <c r="G225" s="91">
        <v>35000</v>
      </c>
      <c r="H225" s="91">
        <v>30000</v>
      </c>
      <c r="I225" s="91">
        <v>40000</v>
      </c>
      <c r="J225" s="91">
        <v>45000</v>
      </c>
      <c r="K225" s="93">
        <v>38000</v>
      </c>
    </row>
    <row r="234" spans="1:11" ht="15" thickBot="1" x14ac:dyDescent="0.4"/>
    <row r="235" spans="1:11" x14ac:dyDescent="0.35">
      <c r="B235" s="263" t="s">
        <v>1255</v>
      </c>
      <c r="C235" s="255" t="s">
        <v>1257</v>
      </c>
      <c r="E235" s="254" t="s">
        <v>1255</v>
      </c>
      <c r="F235" s="255" t="s">
        <v>1257</v>
      </c>
      <c r="H235" s="254" t="s">
        <v>1255</v>
      </c>
      <c r="I235" s="255" t="s">
        <v>1257</v>
      </c>
    </row>
    <row r="236" spans="1:11" x14ac:dyDescent="0.35">
      <c r="B236" s="31">
        <v>106</v>
      </c>
      <c r="C236" s="5" t="str">
        <f>HLOOKUP(B236,$B$222:$K$225,3,FALSE)</f>
        <v>Accounts</v>
      </c>
      <c r="E236" s="4">
        <v>103</v>
      </c>
      <c r="F236" s="5" t="str">
        <f>_xlfn.XLOOKUP(E236,$B$222:$K$222,$B$224:$K$224)</f>
        <v>Sales</v>
      </c>
      <c r="H236" s="4">
        <v>103</v>
      </c>
      <c r="I236" s="5"/>
    </row>
    <row r="237" spans="1:11" x14ac:dyDescent="0.35">
      <c r="B237" s="4">
        <v>108</v>
      </c>
      <c r="C237" s="5" t="str">
        <f t="shared" ref="C237:C239" si="9">HLOOKUP(B237,$B$222:$K$225,3,FALSE)</f>
        <v>Sales</v>
      </c>
      <c r="E237" s="4">
        <v>108</v>
      </c>
      <c r="F237" s="5" t="str">
        <f t="shared" ref="F237:F239" si="10">_xlfn.XLOOKUP(E237,$B$222:$K$222,$B$224:$K$224)</f>
        <v>Sales</v>
      </c>
      <c r="H237" s="4">
        <v>108</v>
      </c>
      <c r="I237" s="5"/>
    </row>
    <row r="238" spans="1:11" x14ac:dyDescent="0.35">
      <c r="B238" s="4">
        <v>109</v>
      </c>
      <c r="C238" s="5" t="str">
        <f t="shared" si="9"/>
        <v>IT</v>
      </c>
      <c r="E238" s="4">
        <v>109</v>
      </c>
      <c r="F238" s="5" t="str">
        <f t="shared" si="10"/>
        <v>IT</v>
      </c>
      <c r="H238" s="4">
        <v>109</v>
      </c>
      <c r="I238" s="5"/>
    </row>
    <row r="239" spans="1:11" ht="15" thickBot="1" x14ac:dyDescent="0.4">
      <c r="B239" s="7">
        <v>110</v>
      </c>
      <c r="C239" s="5" t="str">
        <f t="shared" si="9"/>
        <v>Marketing</v>
      </c>
      <c r="E239" s="7">
        <v>110</v>
      </c>
      <c r="F239" s="5" t="str">
        <f t="shared" si="10"/>
        <v>Marketing</v>
      </c>
      <c r="H239" s="7">
        <v>110</v>
      </c>
      <c r="I239" s="8"/>
    </row>
    <row r="245" spans="2:9" ht="15" thickBot="1" x14ac:dyDescent="0.4"/>
    <row r="246" spans="2:9" x14ac:dyDescent="0.35">
      <c r="B246" s="254" t="s">
        <v>1255</v>
      </c>
      <c r="C246" s="255" t="s">
        <v>1256</v>
      </c>
      <c r="D246" s="255" t="s">
        <v>1257</v>
      </c>
      <c r="E246" s="256" t="s">
        <v>1258</v>
      </c>
      <c r="G246" s="263" t="s">
        <v>1255</v>
      </c>
      <c r="H246" s="255" t="s">
        <v>1257</v>
      </c>
      <c r="I246" s="256" t="s">
        <v>1258</v>
      </c>
    </row>
    <row r="247" spans="2:9" x14ac:dyDescent="0.35">
      <c r="B247" s="31">
        <v>101</v>
      </c>
      <c r="C247" s="90" t="s">
        <v>1259</v>
      </c>
      <c r="D247" s="90" t="s">
        <v>1260</v>
      </c>
      <c r="E247" s="91">
        <v>35000</v>
      </c>
      <c r="G247" s="31">
        <v>106</v>
      </c>
      <c r="H247" s="5" t="str" cm="1">
        <f t="array" ref="H247:I247">_xlfn.XLOOKUP($G247,$B$247:$B$256,$D$247:$E$256,"not found")</f>
        <v>Accounts</v>
      </c>
      <c r="I247">
        <v>35000</v>
      </c>
    </row>
    <row r="248" spans="2:9" x14ac:dyDescent="0.35">
      <c r="B248" s="31">
        <v>102</v>
      </c>
      <c r="C248" s="90" t="s">
        <v>1261</v>
      </c>
      <c r="D248" s="90" t="s">
        <v>1262</v>
      </c>
      <c r="E248" s="91">
        <v>30000</v>
      </c>
      <c r="G248" s="4">
        <v>108</v>
      </c>
      <c r="H248" s="5" t="str" cm="1">
        <f t="array" ref="H248:I248">_xlfn.XLOOKUP($G248,$B$247:$B$256,$D$247:$E$256,"not found")</f>
        <v>Sales</v>
      </c>
      <c r="I248">
        <v>40000</v>
      </c>
    </row>
    <row r="249" spans="2:9" x14ac:dyDescent="0.35">
      <c r="B249" s="31">
        <v>103</v>
      </c>
      <c r="C249" s="90" t="s">
        <v>1263</v>
      </c>
      <c r="D249" s="90" t="s">
        <v>955</v>
      </c>
      <c r="E249" s="91">
        <v>40000</v>
      </c>
      <c r="G249" s="4">
        <v>109</v>
      </c>
      <c r="H249" s="5" t="str" cm="1">
        <f t="array" ref="H249:I249">_xlfn.XLOOKUP($G249,$B$247:$B$256,$D$247:$E$256,"not found")</f>
        <v>IT</v>
      </c>
      <c r="I249">
        <v>45000</v>
      </c>
    </row>
    <row r="250" spans="2:9" ht="15" thickBot="1" x14ac:dyDescent="0.4">
      <c r="B250" s="31">
        <v>104</v>
      </c>
      <c r="C250" s="90" t="s">
        <v>1264</v>
      </c>
      <c r="D250" s="90" t="s">
        <v>1265</v>
      </c>
      <c r="E250" s="91">
        <v>45000</v>
      </c>
      <c r="G250" s="7">
        <v>110</v>
      </c>
      <c r="H250" s="5" t="str" cm="1">
        <f t="array" ref="H250:I250">_xlfn.XLOOKUP($G250,$B$247:$B$256,$D$247:$E$256,"not found")</f>
        <v>Marketing</v>
      </c>
      <c r="I250">
        <v>38000</v>
      </c>
    </row>
    <row r="251" spans="2:9" x14ac:dyDescent="0.35">
      <c r="B251" s="31">
        <v>105</v>
      </c>
      <c r="C251" s="90" t="s">
        <v>1266</v>
      </c>
      <c r="D251" s="90" t="s">
        <v>1267</v>
      </c>
      <c r="E251" s="91">
        <v>38000</v>
      </c>
      <c r="G251" s="266">
        <v>112</v>
      </c>
      <c r="H251" s="5" t="str" cm="1">
        <f t="array" ref="H251">_xlfn.XLOOKUP($G251,$B$247:$B$256,$D$247:$E$256,"not found")</f>
        <v>not found</v>
      </c>
    </row>
    <row r="252" spans="2:9" ht="15" thickBot="1" x14ac:dyDescent="0.4">
      <c r="B252" s="31">
        <v>106</v>
      </c>
      <c r="C252" s="90" t="s">
        <v>1259</v>
      </c>
      <c r="D252" s="90" t="s">
        <v>1260</v>
      </c>
      <c r="E252" s="91">
        <v>35000</v>
      </c>
    </row>
    <row r="253" spans="2:9" x14ac:dyDescent="0.35">
      <c r="B253" s="31">
        <v>107</v>
      </c>
      <c r="C253" s="90" t="s">
        <v>1261</v>
      </c>
      <c r="D253" s="90" t="s">
        <v>1262</v>
      </c>
      <c r="E253" s="91">
        <v>30000</v>
      </c>
      <c r="G253" s="254" t="s">
        <v>1255</v>
      </c>
      <c r="H253" s="255" t="s">
        <v>1257</v>
      </c>
    </row>
    <row r="254" spans="2:9" x14ac:dyDescent="0.35">
      <c r="B254" s="31">
        <v>108</v>
      </c>
      <c r="C254" s="90" t="s">
        <v>1263</v>
      </c>
      <c r="D254" s="90" t="s">
        <v>955</v>
      </c>
      <c r="E254" s="91">
        <v>40000</v>
      </c>
      <c r="G254" s="4">
        <v>103</v>
      </c>
      <c r="H254" s="5"/>
    </row>
    <row r="255" spans="2:9" x14ac:dyDescent="0.35">
      <c r="B255" s="31">
        <v>109</v>
      </c>
      <c r="C255" s="90" t="s">
        <v>1264</v>
      </c>
      <c r="D255" s="90" t="s">
        <v>1265</v>
      </c>
      <c r="E255" s="91">
        <v>45000</v>
      </c>
      <c r="G255" s="4">
        <v>108</v>
      </c>
      <c r="H255" s="5"/>
    </row>
    <row r="256" spans="2:9" ht="15" thickBot="1" x14ac:dyDescent="0.4">
      <c r="B256" s="32">
        <v>110</v>
      </c>
      <c r="C256" s="92" t="s">
        <v>1266</v>
      </c>
      <c r="D256" s="92" t="s">
        <v>1267</v>
      </c>
      <c r="E256" s="93">
        <v>38000</v>
      </c>
      <c r="G256" s="4">
        <v>109</v>
      </c>
      <c r="H256" s="5"/>
    </row>
    <row r="257" spans="7:8" ht="15" thickBot="1" x14ac:dyDescent="0.4">
      <c r="G257" s="7">
        <v>110</v>
      </c>
      <c r="H257" s="8"/>
    </row>
  </sheetData>
  <dataValidations count="1">
    <dataValidation type="list" allowBlank="1" showInputMessage="1" showErrorMessage="1" sqref="F2 F19:F22 G34:G37 F52 F74 F89:F92 F96:F99 F111:F114 F118:F121 F178:F181 F185:F188 F210:F213 F204:F206 E236:E239 B237:B239 G254:G257 G248:G250 H236:H239" xr:uid="{A88CC5CB-2BD0-412C-BC0B-E5F1C59FBF7E}">
      <formula1>$A$2:$A$11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F2F2-5DAA-4B9F-A35D-1578D8A985CA}">
  <dimension ref="A1:G31"/>
  <sheetViews>
    <sheetView topLeftCell="A24" zoomScale="250" zoomScaleNormal="250" workbookViewId="0">
      <selection activeCell="F25" sqref="F25"/>
    </sheetView>
  </sheetViews>
  <sheetFormatPr defaultRowHeight="14.5" x14ac:dyDescent="0.35"/>
  <cols>
    <col min="1" max="1" width="11.90625" customWidth="1"/>
    <col min="2" max="2" width="15" customWidth="1"/>
    <col min="3" max="3" width="11.08984375" customWidth="1"/>
    <col min="6" max="6" width="13" customWidth="1"/>
  </cols>
  <sheetData>
    <row r="1" spans="1:7" x14ac:dyDescent="0.35">
      <c r="A1" s="281" t="s">
        <v>1255</v>
      </c>
      <c r="B1" s="282" t="s">
        <v>1256</v>
      </c>
      <c r="C1" s="282" t="s">
        <v>1257</v>
      </c>
      <c r="D1" s="283" t="s">
        <v>1258</v>
      </c>
      <c r="F1" s="254" t="s">
        <v>1255</v>
      </c>
      <c r="G1" s="256" t="s">
        <v>1258</v>
      </c>
    </row>
    <row r="2" spans="1:7" ht="15" thickBot="1" x14ac:dyDescent="0.4">
      <c r="A2" s="279">
        <v>101</v>
      </c>
      <c r="B2" s="90" t="s">
        <v>1259</v>
      </c>
      <c r="C2" s="90" t="s">
        <v>1260</v>
      </c>
      <c r="D2" s="280">
        <v>35000</v>
      </c>
      <c r="F2" s="7">
        <v>101</v>
      </c>
      <c r="G2" s="96">
        <f>VLOOKUP(F2,Table1[],4,FALSE)</f>
        <v>35000</v>
      </c>
    </row>
    <row r="3" spans="1:7" x14ac:dyDescent="0.35">
      <c r="A3" s="279">
        <v>102</v>
      </c>
      <c r="B3" s="90" t="s">
        <v>1261</v>
      </c>
      <c r="C3" s="90" t="s">
        <v>1262</v>
      </c>
      <c r="D3" s="280">
        <v>30000</v>
      </c>
    </row>
    <row r="4" spans="1:7" x14ac:dyDescent="0.35">
      <c r="A4" s="279">
        <v>103</v>
      </c>
      <c r="B4" s="90" t="s">
        <v>1263</v>
      </c>
      <c r="C4" s="90" t="s">
        <v>955</v>
      </c>
      <c r="D4" s="280">
        <v>40000</v>
      </c>
    </row>
    <row r="5" spans="1:7" x14ac:dyDescent="0.35">
      <c r="A5" s="279">
        <v>104</v>
      </c>
      <c r="B5" s="90" t="s">
        <v>1264</v>
      </c>
      <c r="C5" s="90" t="s">
        <v>1265</v>
      </c>
      <c r="D5" s="280">
        <v>45000</v>
      </c>
    </row>
    <row r="6" spans="1:7" x14ac:dyDescent="0.35">
      <c r="A6" s="279">
        <v>105</v>
      </c>
      <c r="B6" s="90" t="s">
        <v>1266</v>
      </c>
      <c r="C6" s="90" t="s">
        <v>1267</v>
      </c>
      <c r="D6" s="280">
        <v>38000</v>
      </c>
    </row>
    <row r="7" spans="1:7" x14ac:dyDescent="0.35">
      <c r="A7" s="279">
        <v>106</v>
      </c>
      <c r="B7" s="90" t="s">
        <v>1259</v>
      </c>
      <c r="C7" s="90" t="s">
        <v>1260</v>
      </c>
      <c r="D7" s="280">
        <v>35000</v>
      </c>
    </row>
    <row r="8" spans="1:7" x14ac:dyDescent="0.35">
      <c r="A8" s="279">
        <v>107</v>
      </c>
      <c r="B8" s="90" t="s">
        <v>1261</v>
      </c>
      <c r="C8" s="90" t="s">
        <v>1262</v>
      </c>
      <c r="D8" s="280">
        <v>30000</v>
      </c>
    </row>
    <row r="9" spans="1:7" x14ac:dyDescent="0.35">
      <c r="A9" s="279">
        <v>108</v>
      </c>
      <c r="B9" s="90" t="s">
        <v>1263</v>
      </c>
      <c r="C9" s="90" t="s">
        <v>955</v>
      </c>
      <c r="D9" s="280">
        <v>40000</v>
      </c>
    </row>
    <row r="10" spans="1:7" x14ac:dyDescent="0.35">
      <c r="A10" s="279">
        <v>109</v>
      </c>
      <c r="B10" s="90" t="s">
        <v>1264</v>
      </c>
      <c r="C10" s="90" t="s">
        <v>1265</v>
      </c>
      <c r="D10" s="280">
        <v>45000</v>
      </c>
    </row>
    <row r="11" spans="1:7" x14ac:dyDescent="0.35">
      <c r="A11" s="284">
        <v>110</v>
      </c>
      <c r="B11" s="285" t="s">
        <v>1266</v>
      </c>
      <c r="C11" s="285" t="s">
        <v>1267</v>
      </c>
      <c r="D11" s="286">
        <v>38000</v>
      </c>
    </row>
    <row r="20" spans="1:6" ht="15" thickBot="1" x14ac:dyDescent="0.4"/>
    <row r="21" spans="1:6" x14ac:dyDescent="0.35">
      <c r="A21" s="255" t="s">
        <v>1256</v>
      </c>
      <c r="B21" s="255" t="s">
        <v>1257</v>
      </c>
      <c r="C21" s="256" t="s">
        <v>1258</v>
      </c>
      <c r="E21" s="254" t="s">
        <v>1255</v>
      </c>
      <c r="F21" s="256" t="s">
        <v>1258</v>
      </c>
    </row>
    <row r="22" spans="1:6" x14ac:dyDescent="0.35">
      <c r="A22" s="90" t="s">
        <v>1259</v>
      </c>
      <c r="B22" s="90" t="s">
        <v>1260</v>
      </c>
      <c r="C22" s="91">
        <v>35000</v>
      </c>
      <c r="E22" s="4">
        <v>103</v>
      </c>
      <c r="F22" s="95">
        <f>VLOOKUP(E22,Table1[],4,FALSE)</f>
        <v>40000</v>
      </c>
    </row>
    <row r="23" spans="1:6" x14ac:dyDescent="0.35">
      <c r="A23" s="90" t="s">
        <v>1261</v>
      </c>
      <c r="B23" s="90" t="s">
        <v>1262</v>
      </c>
      <c r="C23" s="91">
        <v>30000</v>
      </c>
      <c r="E23" s="4">
        <v>108</v>
      </c>
      <c r="F23" s="95">
        <f>VLOOKUP(E23,Table1[],4,FALSE)</f>
        <v>40000</v>
      </c>
    </row>
    <row r="24" spans="1:6" x14ac:dyDescent="0.35">
      <c r="A24" s="90" t="s">
        <v>1263</v>
      </c>
      <c r="B24" s="90" t="s">
        <v>955</v>
      </c>
      <c r="C24" s="91">
        <v>40000</v>
      </c>
      <c r="E24" s="4">
        <v>109</v>
      </c>
      <c r="F24" s="95">
        <f>VLOOKUP(E24,Table1[],4,FALSE)</f>
        <v>45000</v>
      </c>
    </row>
    <row r="25" spans="1:6" ht="15" thickBot="1" x14ac:dyDescent="0.4">
      <c r="A25" s="90" t="s">
        <v>1264</v>
      </c>
      <c r="B25" s="90" t="s">
        <v>1265</v>
      </c>
      <c r="C25" s="91">
        <v>45000</v>
      </c>
      <c r="E25" s="7">
        <v>110</v>
      </c>
      <c r="F25" s="95">
        <f>VLOOKUP(E25,Table1[],4,FALSE)</f>
        <v>38000</v>
      </c>
    </row>
    <row r="26" spans="1:6" x14ac:dyDescent="0.35">
      <c r="A26" s="90" t="s">
        <v>1266</v>
      </c>
      <c r="B26" s="90" t="s">
        <v>1267</v>
      </c>
      <c r="C26" s="91">
        <v>38000</v>
      </c>
    </row>
    <row r="27" spans="1:6" x14ac:dyDescent="0.35">
      <c r="A27" s="90" t="s">
        <v>1259</v>
      </c>
      <c r="B27" s="90" t="s">
        <v>1260</v>
      </c>
      <c r="C27" s="91">
        <v>35000</v>
      </c>
    </row>
    <row r="28" spans="1:6" x14ac:dyDescent="0.35">
      <c r="A28" s="90" t="s">
        <v>1261</v>
      </c>
      <c r="B28" s="90" t="s">
        <v>1262</v>
      </c>
      <c r="C28" s="91">
        <v>30000</v>
      </c>
    </row>
    <row r="29" spans="1:6" x14ac:dyDescent="0.35">
      <c r="A29" s="90" t="s">
        <v>1263</v>
      </c>
      <c r="B29" s="90" t="s">
        <v>955</v>
      </c>
      <c r="C29" s="91">
        <v>40000</v>
      </c>
    </row>
    <row r="30" spans="1:6" x14ac:dyDescent="0.35">
      <c r="A30" s="90" t="s">
        <v>1264</v>
      </c>
      <c r="B30" s="90" t="s">
        <v>1265</v>
      </c>
      <c r="C30" s="91">
        <v>45000</v>
      </c>
    </row>
    <row r="31" spans="1:6" ht="15" thickBot="1" x14ac:dyDescent="0.4">
      <c r="A31" s="92" t="s">
        <v>1266</v>
      </c>
      <c r="B31" s="92" t="s">
        <v>1267</v>
      </c>
      <c r="C31" s="93">
        <v>38000</v>
      </c>
    </row>
  </sheetData>
  <dataValidations count="1">
    <dataValidation type="list" allowBlank="1" showInputMessage="1" showErrorMessage="1" sqref="F2 E22:E25" xr:uid="{BEB77FB1-0FD2-4C83-BB48-D436763C975B}">
      <formula1>$A$2:$A$11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DB19-93B4-4B11-873E-EA4CEB41C859}">
  <dimension ref="B1:J67"/>
  <sheetViews>
    <sheetView topLeftCell="B54" zoomScale="220" zoomScaleNormal="220" workbookViewId="0">
      <selection activeCell="H63" sqref="H63"/>
    </sheetView>
  </sheetViews>
  <sheetFormatPr defaultRowHeight="14.5" x14ac:dyDescent="0.35"/>
  <cols>
    <col min="1" max="2" width="11.6328125" bestFit="1" customWidth="1"/>
    <col min="3" max="3" width="14.81640625" bestFit="1" customWidth="1"/>
    <col min="4" max="4" width="10.81640625" bestFit="1" customWidth="1"/>
    <col min="5" max="5" width="6" bestFit="1" customWidth="1"/>
    <col min="7" max="7" width="15.90625" customWidth="1"/>
    <col min="8" max="8" width="14.7265625" customWidth="1"/>
  </cols>
  <sheetData>
    <row r="1" spans="2:10" x14ac:dyDescent="0.35">
      <c r="B1" s="254" t="s">
        <v>1255</v>
      </c>
      <c r="C1" s="255" t="s">
        <v>1256</v>
      </c>
      <c r="D1" s="255" t="s">
        <v>1257</v>
      </c>
      <c r="E1" s="256" t="s">
        <v>1258</v>
      </c>
    </row>
    <row r="2" spans="2:10" x14ac:dyDescent="0.35">
      <c r="B2" s="31">
        <v>101</v>
      </c>
      <c r="C2" s="90" t="s">
        <v>1259</v>
      </c>
      <c r="D2" s="90" t="s">
        <v>1260</v>
      </c>
      <c r="E2" s="91">
        <v>40000</v>
      </c>
      <c r="G2" s="341">
        <v>104</v>
      </c>
      <c r="H2" s="341"/>
      <c r="I2" s="341"/>
      <c r="J2" s="341"/>
    </row>
    <row r="3" spans="2:10" ht="15" thickBot="1" x14ac:dyDescent="0.4">
      <c r="B3" s="31">
        <v>102</v>
      </c>
      <c r="C3" s="90" t="s">
        <v>1261</v>
      </c>
      <c r="D3" s="90" t="s">
        <v>1262</v>
      </c>
      <c r="E3" s="91">
        <v>30000</v>
      </c>
    </row>
    <row r="4" spans="2:10" x14ac:dyDescent="0.35">
      <c r="B4" s="31">
        <v>101</v>
      </c>
      <c r="C4" s="90" t="s">
        <v>1259</v>
      </c>
      <c r="D4" s="90" t="s">
        <v>1260</v>
      </c>
      <c r="E4" s="91">
        <v>20000</v>
      </c>
      <c r="G4" s="254" t="s">
        <v>1255</v>
      </c>
      <c r="H4" s="255" t="s">
        <v>1256</v>
      </c>
      <c r="I4" s="255" t="s">
        <v>1257</v>
      </c>
      <c r="J4" s="256" t="s">
        <v>1258</v>
      </c>
    </row>
    <row r="5" spans="2:10" x14ac:dyDescent="0.35">
      <c r="B5" s="31">
        <v>104</v>
      </c>
      <c r="C5" s="90" t="s">
        <v>1264</v>
      </c>
      <c r="D5" s="90" t="s">
        <v>1265</v>
      </c>
      <c r="E5" s="91">
        <v>45000</v>
      </c>
      <c r="G5" s="1" cm="1">
        <f t="array" ref="G5:J7">_xlfn._xlws.FILTER(B2:E11,B2:B11=G2)</f>
        <v>104</v>
      </c>
      <c r="H5" s="1" t="str">
        <v>Pooja Singh</v>
      </c>
      <c r="I5" s="1" t="str">
        <v>IT</v>
      </c>
      <c r="J5" s="1">
        <v>45000</v>
      </c>
    </row>
    <row r="6" spans="2:10" x14ac:dyDescent="0.35">
      <c r="B6" s="31">
        <v>102</v>
      </c>
      <c r="C6" s="90" t="s">
        <v>1261</v>
      </c>
      <c r="D6" s="90" t="s">
        <v>1262</v>
      </c>
      <c r="E6" s="91">
        <v>30000</v>
      </c>
      <c r="G6" s="1">
        <v>104</v>
      </c>
      <c r="H6" s="1" t="str">
        <v>Pooja Singh</v>
      </c>
      <c r="I6" s="1" t="str">
        <v>IT</v>
      </c>
      <c r="J6" s="1">
        <v>50000</v>
      </c>
    </row>
    <row r="7" spans="2:10" x14ac:dyDescent="0.35">
      <c r="B7" s="31">
        <v>101</v>
      </c>
      <c r="C7" s="90" t="s">
        <v>1259</v>
      </c>
      <c r="D7" s="90" t="s">
        <v>1260</v>
      </c>
      <c r="E7" s="91">
        <v>35000</v>
      </c>
      <c r="G7" s="1">
        <v>104</v>
      </c>
      <c r="H7" s="1" t="str">
        <v>Pooja Singh</v>
      </c>
      <c r="I7" s="1" t="str">
        <v>IT</v>
      </c>
      <c r="J7" s="1">
        <v>45000</v>
      </c>
    </row>
    <row r="8" spans="2:10" x14ac:dyDescent="0.35">
      <c r="B8" s="31">
        <v>104</v>
      </c>
      <c r="C8" s="90" t="s">
        <v>1264</v>
      </c>
      <c r="D8" s="90" t="s">
        <v>1265</v>
      </c>
      <c r="E8" s="91">
        <v>50000</v>
      </c>
      <c r="G8" s="1"/>
      <c r="H8" s="1"/>
      <c r="I8" s="1"/>
      <c r="J8" s="1"/>
    </row>
    <row r="9" spans="2:10" x14ac:dyDescent="0.35">
      <c r="B9" s="31">
        <v>102</v>
      </c>
      <c r="C9" s="90" t="s">
        <v>1261</v>
      </c>
      <c r="D9" s="90" t="s">
        <v>1262</v>
      </c>
      <c r="E9" s="91">
        <v>30000</v>
      </c>
    </row>
    <row r="10" spans="2:10" x14ac:dyDescent="0.35">
      <c r="B10" s="31">
        <v>101</v>
      </c>
      <c r="C10" s="90" t="s">
        <v>1259</v>
      </c>
      <c r="D10" s="90" t="s">
        <v>1260</v>
      </c>
      <c r="E10" s="91">
        <v>35000</v>
      </c>
    </row>
    <row r="11" spans="2:10" x14ac:dyDescent="0.35">
      <c r="B11" s="31">
        <v>104</v>
      </c>
      <c r="C11" s="90" t="s">
        <v>1264</v>
      </c>
      <c r="D11" s="90" t="s">
        <v>1265</v>
      </c>
      <c r="E11" s="91">
        <v>45000</v>
      </c>
    </row>
    <row r="15" spans="2:10" ht="15" thickBot="1" x14ac:dyDescent="0.4"/>
    <row r="16" spans="2:10" x14ac:dyDescent="0.35">
      <c r="B16" s="254" t="s">
        <v>1255</v>
      </c>
      <c r="C16" s="255" t="s">
        <v>1256</v>
      </c>
      <c r="D16" s="255" t="s">
        <v>1257</v>
      </c>
      <c r="E16" s="256" t="s">
        <v>1258</v>
      </c>
    </row>
    <row r="17" spans="2:10" x14ac:dyDescent="0.35">
      <c r="B17" s="31">
        <v>101</v>
      </c>
      <c r="C17" s="90" t="s">
        <v>1259</v>
      </c>
      <c r="D17" s="90" t="s">
        <v>1260</v>
      </c>
      <c r="E17" s="91">
        <v>40000</v>
      </c>
      <c r="G17" s="341" t="s">
        <v>1259</v>
      </c>
      <c r="H17" s="341"/>
      <c r="I17" s="341"/>
      <c r="J17" s="341"/>
    </row>
    <row r="18" spans="2:10" ht="15" thickBot="1" x14ac:dyDescent="0.4">
      <c r="B18" s="31">
        <v>102</v>
      </c>
      <c r="C18" s="90" t="s">
        <v>1261</v>
      </c>
      <c r="D18" s="90" t="s">
        <v>1262</v>
      </c>
      <c r="E18" s="91">
        <v>30000</v>
      </c>
    </row>
    <row r="19" spans="2:10" x14ac:dyDescent="0.35">
      <c r="B19" s="31">
        <v>101</v>
      </c>
      <c r="C19" s="90" t="s">
        <v>1259</v>
      </c>
      <c r="D19" s="90" t="s">
        <v>1260</v>
      </c>
      <c r="E19" s="91">
        <v>20000</v>
      </c>
      <c r="G19" s="254" t="s">
        <v>1255</v>
      </c>
      <c r="H19" s="255" t="s">
        <v>1256</v>
      </c>
      <c r="I19" s="255" t="s">
        <v>1257</v>
      </c>
      <c r="J19" s="256" t="s">
        <v>1258</v>
      </c>
    </row>
    <row r="20" spans="2:10" x14ac:dyDescent="0.35">
      <c r="B20" s="31">
        <v>104</v>
      </c>
      <c r="C20" s="90" t="s">
        <v>1264</v>
      </c>
      <c r="D20" s="90" t="s">
        <v>1265</v>
      </c>
      <c r="E20" s="91">
        <v>45000</v>
      </c>
      <c r="G20" s="1" cm="1">
        <f t="array" ref="G20:J23">_xlfn._xlws.FILTER(B17:E26,C17:C26=G17)</f>
        <v>101</v>
      </c>
      <c r="H20" s="1" t="str">
        <v>Amit Sharma</v>
      </c>
      <c r="I20" s="1" t="str">
        <v>Accounts</v>
      </c>
      <c r="J20" s="1">
        <v>40000</v>
      </c>
    </row>
    <row r="21" spans="2:10" x14ac:dyDescent="0.35">
      <c r="B21" s="31">
        <v>102</v>
      </c>
      <c r="C21" s="90" t="s">
        <v>1261</v>
      </c>
      <c r="D21" s="90" t="s">
        <v>1262</v>
      </c>
      <c r="E21" s="91">
        <v>30000</v>
      </c>
      <c r="G21" s="1">
        <v>101</v>
      </c>
      <c r="H21" s="1" t="str">
        <v>Amit Sharma</v>
      </c>
      <c r="I21" s="1" t="str">
        <v>Accounts</v>
      </c>
      <c r="J21" s="1">
        <v>20000</v>
      </c>
    </row>
    <row r="22" spans="2:10" x14ac:dyDescent="0.35">
      <c r="B22" s="31">
        <v>101</v>
      </c>
      <c r="C22" s="90" t="s">
        <v>1259</v>
      </c>
      <c r="D22" s="90" t="s">
        <v>1260</v>
      </c>
      <c r="E22" s="91">
        <v>35000</v>
      </c>
      <c r="G22" s="1">
        <v>101</v>
      </c>
      <c r="H22" s="1" t="str">
        <v>Amit Sharma</v>
      </c>
      <c r="I22" s="1" t="str">
        <v>Accounts</v>
      </c>
      <c r="J22" s="1">
        <v>35000</v>
      </c>
    </row>
    <row r="23" spans="2:10" x14ac:dyDescent="0.35">
      <c r="B23" s="31">
        <v>104</v>
      </c>
      <c r="C23" s="90" t="s">
        <v>1264</v>
      </c>
      <c r="D23" s="90" t="s">
        <v>1265</v>
      </c>
      <c r="E23" s="91">
        <v>50000</v>
      </c>
      <c r="G23" s="1">
        <v>101</v>
      </c>
      <c r="H23" s="1" t="str">
        <v>Amit Sharma</v>
      </c>
      <c r="I23" s="1" t="str">
        <v>Accounts</v>
      </c>
      <c r="J23" s="1">
        <v>35000</v>
      </c>
    </row>
    <row r="24" spans="2:10" x14ac:dyDescent="0.35">
      <c r="B24" s="31">
        <v>102</v>
      </c>
      <c r="C24" s="90" t="s">
        <v>1261</v>
      </c>
      <c r="D24" s="90" t="s">
        <v>1262</v>
      </c>
      <c r="E24" s="91">
        <v>30000</v>
      </c>
    </row>
    <row r="25" spans="2:10" x14ac:dyDescent="0.35">
      <c r="B25" s="31">
        <v>101</v>
      </c>
      <c r="C25" s="90" t="s">
        <v>1259</v>
      </c>
      <c r="D25" s="90" t="s">
        <v>1260</v>
      </c>
      <c r="E25" s="91">
        <v>35000</v>
      </c>
    </row>
    <row r="26" spans="2:10" x14ac:dyDescent="0.35">
      <c r="B26" s="31">
        <v>104</v>
      </c>
      <c r="C26" s="90" t="s">
        <v>1264</v>
      </c>
      <c r="D26" s="90" t="s">
        <v>1265</v>
      </c>
      <c r="E26" s="91">
        <v>45000</v>
      </c>
    </row>
    <row r="31" spans="2:10" ht="15" thickBot="1" x14ac:dyDescent="0.4"/>
    <row r="32" spans="2:10" x14ac:dyDescent="0.35">
      <c r="B32" s="254" t="s">
        <v>1255</v>
      </c>
      <c r="C32" s="255" t="s">
        <v>1256</v>
      </c>
      <c r="D32" s="255" t="s">
        <v>1257</v>
      </c>
      <c r="E32" s="256" t="s">
        <v>1258</v>
      </c>
    </row>
    <row r="33" spans="2:10" x14ac:dyDescent="0.35">
      <c r="B33" s="31">
        <v>101</v>
      </c>
      <c r="C33" s="90" t="s">
        <v>1259</v>
      </c>
      <c r="D33" s="90" t="s">
        <v>1260</v>
      </c>
      <c r="E33" s="91">
        <v>40000</v>
      </c>
      <c r="G33" s="341">
        <v>40000</v>
      </c>
      <c r="H33" s="341"/>
      <c r="I33" s="341"/>
      <c r="J33" s="341"/>
    </row>
    <row r="34" spans="2:10" ht="15" thickBot="1" x14ac:dyDescent="0.4">
      <c r="B34" s="31">
        <v>102</v>
      </c>
      <c r="C34" s="90" t="s">
        <v>1261</v>
      </c>
      <c r="D34" s="90" t="s">
        <v>1262</v>
      </c>
      <c r="E34" s="91">
        <v>30000</v>
      </c>
    </row>
    <row r="35" spans="2:10" x14ac:dyDescent="0.35">
      <c r="B35" s="31">
        <v>101</v>
      </c>
      <c r="C35" s="90" t="s">
        <v>1259</v>
      </c>
      <c r="D35" s="90" t="s">
        <v>1260</v>
      </c>
      <c r="E35" s="91">
        <v>20000</v>
      </c>
      <c r="G35" s="254" t="s">
        <v>1255</v>
      </c>
      <c r="H35" s="255" t="s">
        <v>1256</v>
      </c>
      <c r="I35" s="255" t="s">
        <v>1257</v>
      </c>
      <c r="J35" s="256" t="s">
        <v>1258</v>
      </c>
    </row>
    <row r="36" spans="2:10" x14ac:dyDescent="0.35">
      <c r="B36" s="31">
        <v>104</v>
      </c>
      <c r="C36" s="90" t="s">
        <v>1264</v>
      </c>
      <c r="D36" s="90" t="s">
        <v>1265</v>
      </c>
      <c r="E36" s="91">
        <v>45000</v>
      </c>
      <c r="G36" s="1" cm="1">
        <f t="array" ref="G36:J38">_xlfn._xlws.FILTER(B33:E42,E33:E42&gt;G33)</f>
        <v>104</v>
      </c>
      <c r="H36" s="1" t="str">
        <v>Pooja Singh</v>
      </c>
      <c r="I36" s="1" t="str">
        <v>IT</v>
      </c>
      <c r="J36" s="1">
        <v>45000</v>
      </c>
    </row>
    <row r="37" spans="2:10" x14ac:dyDescent="0.35">
      <c r="B37" s="31">
        <v>102</v>
      </c>
      <c r="C37" s="90" t="s">
        <v>1261</v>
      </c>
      <c r="D37" s="90" t="s">
        <v>1262</v>
      </c>
      <c r="E37" s="91">
        <v>30000</v>
      </c>
      <c r="G37" s="1">
        <v>104</v>
      </c>
      <c r="H37" s="1" t="str">
        <v>Pooja Singh</v>
      </c>
      <c r="I37" s="1" t="str">
        <v>IT</v>
      </c>
      <c r="J37" s="1">
        <v>50000</v>
      </c>
    </row>
    <row r="38" spans="2:10" x14ac:dyDescent="0.35">
      <c r="B38" s="31">
        <v>101</v>
      </c>
      <c r="C38" s="90" t="s">
        <v>1259</v>
      </c>
      <c r="D38" s="90" t="s">
        <v>1260</v>
      </c>
      <c r="E38" s="91">
        <v>35000</v>
      </c>
      <c r="G38" s="1">
        <v>104</v>
      </c>
      <c r="H38" s="1" t="str">
        <v>Pooja Singh</v>
      </c>
      <c r="I38" s="1" t="str">
        <v>IT</v>
      </c>
      <c r="J38" s="1">
        <v>45000</v>
      </c>
    </row>
    <row r="39" spans="2:10" x14ac:dyDescent="0.35">
      <c r="B39" s="31">
        <v>104</v>
      </c>
      <c r="C39" s="90" t="s">
        <v>1264</v>
      </c>
      <c r="D39" s="90" t="s">
        <v>1265</v>
      </c>
      <c r="E39" s="91">
        <v>50000</v>
      </c>
      <c r="G39" s="1"/>
      <c r="H39" s="1"/>
      <c r="I39" s="1"/>
      <c r="J39" s="1"/>
    </row>
    <row r="40" spans="2:10" x14ac:dyDescent="0.35">
      <c r="B40" s="31">
        <v>102</v>
      </c>
      <c r="C40" s="90" t="s">
        <v>1261</v>
      </c>
      <c r="D40" s="90" t="s">
        <v>1262</v>
      </c>
      <c r="E40" s="91">
        <v>30000</v>
      </c>
      <c r="G40" s="1"/>
      <c r="H40" s="1"/>
      <c r="I40" s="1"/>
      <c r="J40" s="1"/>
    </row>
    <row r="41" spans="2:10" x14ac:dyDescent="0.35">
      <c r="B41" s="31">
        <v>101</v>
      </c>
      <c r="C41" s="90" t="s">
        <v>1259</v>
      </c>
      <c r="D41" s="90" t="s">
        <v>1260</v>
      </c>
      <c r="E41" s="91">
        <v>35000</v>
      </c>
      <c r="G41" s="1"/>
      <c r="H41" s="1"/>
      <c r="I41" s="1"/>
      <c r="J41" s="1"/>
    </row>
    <row r="42" spans="2:10" x14ac:dyDescent="0.35">
      <c r="B42" s="31">
        <v>104</v>
      </c>
      <c r="C42" s="90" t="s">
        <v>1264</v>
      </c>
      <c r="D42" s="90" t="s">
        <v>1265</v>
      </c>
      <c r="E42" s="91">
        <v>45000</v>
      </c>
      <c r="G42" s="1"/>
      <c r="H42" s="1"/>
      <c r="I42" s="1"/>
      <c r="J42" s="1"/>
    </row>
    <row r="43" spans="2:10" x14ac:dyDescent="0.35">
      <c r="G43" s="1"/>
      <c r="H43" s="1"/>
      <c r="I43" s="1"/>
      <c r="J43" s="1"/>
    </row>
    <row r="44" spans="2:10" x14ac:dyDescent="0.35">
      <c r="G44" s="1"/>
      <c r="H44" s="1"/>
      <c r="I44" s="1"/>
      <c r="J44" s="1"/>
    </row>
    <row r="56" spans="2:10" ht="15" thickBot="1" x14ac:dyDescent="0.4"/>
    <row r="57" spans="2:10" x14ac:dyDescent="0.35">
      <c r="B57" s="254" t="s">
        <v>1255</v>
      </c>
      <c r="C57" s="255" t="s">
        <v>1256</v>
      </c>
      <c r="D57" s="255" t="s">
        <v>1257</v>
      </c>
      <c r="E57" s="256" t="s">
        <v>1258</v>
      </c>
      <c r="G57" s="264" t="s">
        <v>1257</v>
      </c>
    </row>
    <row r="58" spans="2:10" x14ac:dyDescent="0.35">
      <c r="B58" s="31">
        <v>101</v>
      </c>
      <c r="C58" s="90" t="s">
        <v>1259</v>
      </c>
      <c r="D58" s="90" t="s">
        <v>1260</v>
      </c>
      <c r="E58" s="91">
        <v>40000</v>
      </c>
      <c r="G58" s="1" t="s">
        <v>1260</v>
      </c>
    </row>
    <row r="59" spans="2:10" ht="15" thickBot="1" x14ac:dyDescent="0.4">
      <c r="B59" s="31">
        <v>102</v>
      </c>
      <c r="C59" s="90" t="s">
        <v>1261</v>
      </c>
      <c r="D59" s="90" t="s">
        <v>1262</v>
      </c>
      <c r="E59" s="91">
        <v>30000</v>
      </c>
    </row>
    <row r="60" spans="2:10" x14ac:dyDescent="0.35">
      <c r="B60" s="31">
        <v>101</v>
      </c>
      <c r="C60" s="90" t="s">
        <v>1259</v>
      </c>
      <c r="D60" s="90" t="s">
        <v>1260</v>
      </c>
      <c r="E60" s="91">
        <v>20000</v>
      </c>
      <c r="G60" s="254" t="s">
        <v>1255</v>
      </c>
      <c r="H60" s="255" t="s">
        <v>1256</v>
      </c>
      <c r="I60" s="255" t="s">
        <v>1257</v>
      </c>
      <c r="J60" s="256" t="s">
        <v>1258</v>
      </c>
    </row>
    <row r="61" spans="2:10" x14ac:dyDescent="0.35">
      <c r="B61" s="31">
        <v>104</v>
      </c>
      <c r="C61" s="90" t="s">
        <v>1264</v>
      </c>
      <c r="D61" s="90" t="s">
        <v>1260</v>
      </c>
      <c r="E61" s="91">
        <v>45000</v>
      </c>
      <c r="G61" s="31">
        <v>101</v>
      </c>
      <c r="H61" s="90" t="s">
        <v>1259</v>
      </c>
      <c r="I61" s="90" t="s">
        <v>1260</v>
      </c>
      <c r="J61" s="91">
        <v>40000</v>
      </c>
    </row>
    <row r="62" spans="2:10" x14ac:dyDescent="0.35">
      <c r="B62" s="31">
        <v>102</v>
      </c>
      <c r="C62" s="90" t="s">
        <v>1261</v>
      </c>
      <c r="D62" s="90" t="s">
        <v>1262</v>
      </c>
      <c r="E62" s="91">
        <v>30000</v>
      </c>
      <c r="G62" s="31">
        <v>101</v>
      </c>
      <c r="H62" s="90" t="s">
        <v>1259</v>
      </c>
      <c r="I62" s="90" t="s">
        <v>1260</v>
      </c>
      <c r="J62" s="91">
        <v>20000</v>
      </c>
    </row>
    <row r="63" spans="2:10" x14ac:dyDescent="0.35">
      <c r="B63" s="31">
        <v>101</v>
      </c>
      <c r="C63" s="90" t="s">
        <v>1259</v>
      </c>
      <c r="D63" s="90" t="s">
        <v>1262</v>
      </c>
      <c r="E63" s="91">
        <v>35000</v>
      </c>
      <c r="G63" s="31">
        <v>104</v>
      </c>
      <c r="H63" s="90" t="s">
        <v>1264</v>
      </c>
      <c r="I63" s="90" t="s">
        <v>1260</v>
      </c>
      <c r="J63" s="91">
        <v>45000</v>
      </c>
    </row>
    <row r="64" spans="2:10" x14ac:dyDescent="0.35">
      <c r="B64" s="31">
        <v>104</v>
      </c>
      <c r="C64" s="90" t="s">
        <v>1264</v>
      </c>
      <c r="D64" s="90" t="s">
        <v>1265</v>
      </c>
      <c r="E64" s="91">
        <v>50000</v>
      </c>
      <c r="G64" s="31">
        <v>101</v>
      </c>
      <c r="H64" s="90" t="s">
        <v>1259</v>
      </c>
      <c r="I64" s="90" t="s">
        <v>1260</v>
      </c>
      <c r="J64" s="91">
        <v>35000</v>
      </c>
    </row>
    <row r="65" spans="2:5" x14ac:dyDescent="0.35">
      <c r="B65" s="31">
        <v>102</v>
      </c>
      <c r="C65" s="90" t="s">
        <v>1261</v>
      </c>
      <c r="D65" s="90" t="s">
        <v>1262</v>
      </c>
      <c r="E65" s="91">
        <v>30000</v>
      </c>
    </row>
    <row r="66" spans="2:5" x14ac:dyDescent="0.35">
      <c r="B66" s="31">
        <v>101</v>
      </c>
      <c r="C66" s="90" t="s">
        <v>1259</v>
      </c>
      <c r="D66" s="90" t="s">
        <v>1260</v>
      </c>
      <c r="E66" s="91">
        <v>35000</v>
      </c>
    </row>
    <row r="67" spans="2:5" x14ac:dyDescent="0.35">
      <c r="B67" s="31">
        <v>104</v>
      </c>
      <c r="C67" s="90" t="s">
        <v>1264</v>
      </c>
      <c r="D67" s="90" t="s">
        <v>1265</v>
      </c>
      <c r="E67" s="91">
        <v>45000</v>
      </c>
    </row>
  </sheetData>
  <mergeCells count="3">
    <mergeCell ref="G2:J2"/>
    <mergeCell ref="G17:J17"/>
    <mergeCell ref="G33:J33"/>
  </mergeCells>
  <dataValidations count="1">
    <dataValidation type="list" allowBlank="1" showInputMessage="1" showErrorMessage="1" sqref="G17:J17" xr:uid="{5A2DD63F-EC65-448E-B50F-C842ABCF150B}">
      <formula1>$C$17:$C$25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C5B3-C86E-4CF5-A42A-29455E90E20E}">
  <dimension ref="C1:D14"/>
  <sheetViews>
    <sheetView zoomScale="235" zoomScaleNormal="235" workbookViewId="0">
      <selection activeCell="C2" sqref="C2:D11"/>
    </sheetView>
  </sheetViews>
  <sheetFormatPr defaultRowHeight="14.5" x14ac:dyDescent="0.35"/>
  <cols>
    <col min="3" max="3" width="20.6328125" customWidth="1"/>
    <col min="4" max="4" width="12.1796875" bestFit="1" customWidth="1"/>
  </cols>
  <sheetData>
    <row r="1" spans="3:4" ht="15" thickBot="1" x14ac:dyDescent="0.4"/>
    <row r="2" spans="3:4" x14ac:dyDescent="0.35">
      <c r="C2" s="182" t="s">
        <v>1270</v>
      </c>
      <c r="D2" s="271">
        <v>110000</v>
      </c>
    </row>
    <row r="3" spans="3:4" x14ac:dyDescent="0.35">
      <c r="C3" s="85" t="s">
        <v>1271</v>
      </c>
      <c r="D3" s="272">
        <v>10000</v>
      </c>
    </row>
    <row r="4" spans="3:4" x14ac:dyDescent="0.35">
      <c r="C4" s="267" t="s">
        <v>1272</v>
      </c>
      <c r="D4" s="273">
        <f>D2-D3</f>
        <v>100000</v>
      </c>
    </row>
    <row r="5" spans="3:4" x14ac:dyDescent="0.35">
      <c r="C5" s="85" t="s">
        <v>1273</v>
      </c>
      <c r="D5" s="274">
        <v>0.12</v>
      </c>
    </row>
    <row r="6" spans="3:4" x14ac:dyDescent="0.35">
      <c r="C6" s="267" t="s">
        <v>1274</v>
      </c>
      <c r="D6" s="275">
        <f>D5/12</f>
        <v>0.01</v>
      </c>
    </row>
    <row r="7" spans="3:4" x14ac:dyDescent="0.35">
      <c r="C7" s="85" t="s">
        <v>1275</v>
      </c>
      <c r="D7" s="86">
        <v>1</v>
      </c>
    </row>
    <row r="8" spans="3:4" x14ac:dyDescent="0.35">
      <c r="C8" s="267" t="s">
        <v>1276</v>
      </c>
      <c r="D8" s="268">
        <f>D7*12</f>
        <v>12</v>
      </c>
    </row>
    <row r="9" spans="3:4" x14ac:dyDescent="0.35">
      <c r="C9" s="269" t="s">
        <v>1277</v>
      </c>
      <c r="D9" s="276">
        <f>PMT(D6,D8,D4)</f>
        <v>-8884.878867834168</v>
      </c>
    </row>
    <row r="10" spans="3:4" x14ac:dyDescent="0.35">
      <c r="C10" s="269" t="s">
        <v>1278</v>
      </c>
      <c r="D10" s="277">
        <f>IPMT(D6,D7,D8,D4)</f>
        <v>-1000</v>
      </c>
    </row>
    <row r="11" spans="3:4" ht="15" thickBot="1" x14ac:dyDescent="0.4">
      <c r="C11" s="270" t="s">
        <v>1279</v>
      </c>
      <c r="D11" s="278">
        <f>PPMT(D6,D7,D8,D4)</f>
        <v>-7884.8788678341689</v>
      </c>
    </row>
    <row r="14" spans="3:4" x14ac:dyDescent="0.35">
      <c r="C14" s="342" t="s">
        <v>1280</v>
      </c>
      <c r="D14" s="342"/>
    </row>
  </sheetData>
  <mergeCells count="1">
    <mergeCell ref="C14:D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5C50-C56A-4458-855F-2440B8B2F14C}">
  <dimension ref="A1:N42"/>
  <sheetViews>
    <sheetView topLeftCell="A12" zoomScale="160" zoomScaleNormal="160" workbookViewId="0">
      <selection activeCell="B2" sqref="B2:B5"/>
    </sheetView>
  </sheetViews>
  <sheetFormatPr defaultRowHeight="14.5" x14ac:dyDescent="0.35"/>
  <cols>
    <col min="1" max="1" width="11.6328125" bestFit="1" customWidth="1"/>
    <col min="2" max="2" width="14.81640625" bestFit="1" customWidth="1"/>
    <col min="3" max="3" width="10.81640625" bestFit="1" customWidth="1"/>
    <col min="4" max="4" width="6" bestFit="1" customWidth="1"/>
    <col min="6" max="6" width="11.6328125" bestFit="1" customWidth="1"/>
    <col min="7" max="7" width="14.81640625" bestFit="1" customWidth="1"/>
    <col min="8" max="8" width="10.81640625" bestFit="1" customWidth="1"/>
    <col min="9" max="9" width="6" bestFit="1" customWidth="1"/>
    <col min="11" max="11" width="11.6328125" bestFit="1" customWidth="1"/>
    <col min="12" max="12" width="14.81640625" bestFit="1" customWidth="1"/>
    <col min="13" max="13" width="10.81640625" bestFit="1" customWidth="1"/>
    <col min="14" max="14" width="6" bestFit="1" customWidth="1"/>
  </cols>
  <sheetData>
    <row r="1" spans="1:14" x14ac:dyDescent="0.35">
      <c r="A1" s="254" t="s">
        <v>1255</v>
      </c>
      <c r="B1" s="255" t="s">
        <v>1256</v>
      </c>
      <c r="C1" s="255" t="s">
        <v>1257</v>
      </c>
      <c r="D1" s="256" t="s">
        <v>1258</v>
      </c>
      <c r="F1" s="254" t="s">
        <v>1255</v>
      </c>
      <c r="G1" s="255" t="s">
        <v>1256</v>
      </c>
      <c r="H1" s="255" t="s">
        <v>1257</v>
      </c>
      <c r="I1" s="256" t="s">
        <v>1258</v>
      </c>
      <c r="K1" s="254" t="s">
        <v>1255</v>
      </c>
      <c r="L1" s="255" t="s">
        <v>1256</v>
      </c>
      <c r="M1" s="255" t="s">
        <v>1257</v>
      </c>
      <c r="N1" s="256" t="s">
        <v>1258</v>
      </c>
    </row>
    <row r="2" spans="1:14" x14ac:dyDescent="0.35">
      <c r="A2" s="31">
        <v>101</v>
      </c>
      <c r="B2" s="90" t="s">
        <v>1259</v>
      </c>
      <c r="C2" s="90" t="s">
        <v>1260</v>
      </c>
      <c r="D2" s="91">
        <v>35000</v>
      </c>
      <c r="F2" s="31">
        <v>105</v>
      </c>
      <c r="G2" s="90" t="s">
        <v>1266</v>
      </c>
      <c r="H2" s="90" t="s">
        <v>1267</v>
      </c>
      <c r="I2" s="91">
        <v>38000</v>
      </c>
      <c r="K2" s="31">
        <v>108</v>
      </c>
      <c r="L2" s="90" t="s">
        <v>1263</v>
      </c>
      <c r="M2" s="90" t="s">
        <v>955</v>
      </c>
      <c r="N2" s="91">
        <v>40000</v>
      </c>
    </row>
    <row r="3" spans="1:14" x14ac:dyDescent="0.35">
      <c r="A3" s="31">
        <v>102</v>
      </c>
      <c r="B3" s="90" t="s">
        <v>1261</v>
      </c>
      <c r="C3" s="90" t="s">
        <v>1262</v>
      </c>
      <c r="D3" s="91">
        <v>30000</v>
      </c>
      <c r="F3" s="31">
        <v>106</v>
      </c>
      <c r="G3" s="90" t="s">
        <v>1259</v>
      </c>
      <c r="H3" s="90" t="s">
        <v>1260</v>
      </c>
      <c r="I3" s="91">
        <v>35000</v>
      </c>
      <c r="K3" s="31">
        <v>109</v>
      </c>
      <c r="L3" s="90" t="s">
        <v>1264</v>
      </c>
      <c r="M3" s="90" t="s">
        <v>1265</v>
      </c>
      <c r="N3" s="91">
        <v>45000</v>
      </c>
    </row>
    <row r="4" spans="1:14" ht="15" thickBot="1" x14ac:dyDescent="0.4">
      <c r="A4" s="31">
        <v>103</v>
      </c>
      <c r="B4" s="90" t="s">
        <v>1261</v>
      </c>
      <c r="C4" s="90" t="s">
        <v>955</v>
      </c>
      <c r="D4" s="91">
        <v>40000</v>
      </c>
      <c r="F4" s="31">
        <v>107</v>
      </c>
      <c r="G4" s="90" t="s">
        <v>1261</v>
      </c>
      <c r="H4" s="90" t="s">
        <v>1262</v>
      </c>
      <c r="I4" s="91">
        <v>30000</v>
      </c>
      <c r="K4" s="32">
        <v>110</v>
      </c>
      <c r="L4" s="92" t="s">
        <v>1266</v>
      </c>
      <c r="M4" s="92" t="s">
        <v>1267</v>
      </c>
      <c r="N4" s="93">
        <v>38000</v>
      </c>
    </row>
    <row r="5" spans="1:14" x14ac:dyDescent="0.35">
      <c r="A5" s="31">
        <v>104</v>
      </c>
      <c r="B5" s="90" t="s">
        <v>1264</v>
      </c>
      <c r="C5" s="90" t="s">
        <v>1265</v>
      </c>
      <c r="D5" s="91">
        <v>45000</v>
      </c>
    </row>
    <row r="9" spans="1:14" x14ac:dyDescent="0.35">
      <c r="B9" t="str" cm="1">
        <f t="array" ref="B9:B11">_xlfn.UNIQUE(B2:B5)</f>
        <v>Amit Sharma</v>
      </c>
      <c r="E9" t="str" cm="1">
        <f t="array" ref="E9:H19">_xlfn.VSTACK(A1:D5,F2:I4,K2:N4)</f>
        <v>Employee_ID</v>
      </c>
      <c r="F9" t="str">
        <v>Employee_Name</v>
      </c>
      <c r="G9" t="str">
        <v>Department</v>
      </c>
      <c r="H9" t="str">
        <v>Salary</v>
      </c>
    </row>
    <row r="10" spans="1:14" x14ac:dyDescent="0.35">
      <c r="B10" t="str">
        <v>Neha Verma</v>
      </c>
      <c r="E10">
        <v>101</v>
      </c>
      <c r="F10" t="str">
        <v>Amit Sharma</v>
      </c>
      <c r="G10" t="str">
        <v>Accounts</v>
      </c>
      <c r="H10">
        <v>35000</v>
      </c>
    </row>
    <row r="11" spans="1:14" x14ac:dyDescent="0.35">
      <c r="B11" t="str">
        <v>Pooja Singh</v>
      </c>
      <c r="E11">
        <v>102</v>
      </c>
      <c r="F11" t="str">
        <v>Neha Verma</v>
      </c>
      <c r="G11" t="str">
        <v>HR</v>
      </c>
      <c r="H11">
        <v>30000</v>
      </c>
    </row>
    <row r="12" spans="1:14" x14ac:dyDescent="0.35">
      <c r="E12">
        <v>103</v>
      </c>
      <c r="F12" t="str">
        <v>Neha Verma</v>
      </c>
      <c r="G12" t="str">
        <v>Sales</v>
      </c>
      <c r="H12">
        <v>40000</v>
      </c>
    </row>
    <row r="13" spans="1:14" x14ac:dyDescent="0.35">
      <c r="E13">
        <v>104</v>
      </c>
      <c r="F13" t="str">
        <v>Pooja Singh</v>
      </c>
      <c r="G13" t="str">
        <v>IT</v>
      </c>
      <c r="H13">
        <v>45000</v>
      </c>
    </row>
    <row r="14" spans="1:14" x14ac:dyDescent="0.35">
      <c r="E14">
        <v>105</v>
      </c>
      <c r="F14" t="str">
        <v>Ankit Jain</v>
      </c>
      <c r="G14" t="str">
        <v>Marketing</v>
      </c>
      <c r="H14">
        <v>38000</v>
      </c>
    </row>
    <row r="15" spans="1:14" x14ac:dyDescent="0.35">
      <c r="E15">
        <v>106</v>
      </c>
      <c r="F15" t="str">
        <v>Amit Sharma</v>
      </c>
      <c r="G15" t="str">
        <v>Accounts</v>
      </c>
      <c r="H15">
        <v>35000</v>
      </c>
    </row>
    <row r="16" spans="1:14" x14ac:dyDescent="0.35">
      <c r="E16">
        <v>107</v>
      </c>
      <c r="F16" t="str">
        <v>Neha Verma</v>
      </c>
      <c r="G16" t="str">
        <v>HR</v>
      </c>
      <c r="H16">
        <v>30000</v>
      </c>
    </row>
    <row r="17" spans="3:8" x14ac:dyDescent="0.35">
      <c r="E17">
        <v>108</v>
      </c>
      <c r="F17" t="str">
        <v>Rohit Gupta</v>
      </c>
      <c r="G17" t="str">
        <v>Sales</v>
      </c>
      <c r="H17">
        <v>40000</v>
      </c>
    </row>
    <row r="18" spans="3:8" x14ac:dyDescent="0.35">
      <c r="E18">
        <v>109</v>
      </c>
      <c r="F18" t="str">
        <v>Pooja Singh</v>
      </c>
      <c r="G18" t="str">
        <v>IT</v>
      </c>
      <c r="H18">
        <v>45000</v>
      </c>
    </row>
    <row r="19" spans="3:8" x14ac:dyDescent="0.35">
      <c r="E19">
        <v>110</v>
      </c>
      <c r="F19" t="str">
        <v>Ankit Jain</v>
      </c>
      <c r="G19" t="str">
        <v>Marketing</v>
      </c>
      <c r="H19">
        <v>38000</v>
      </c>
    </row>
    <row r="30" spans="3:8" x14ac:dyDescent="0.35">
      <c r="C30" cm="1">
        <f t="array" ref="C30:F34">_xlfn.SEQUENCE(5,4,1,1)</f>
        <v>1</v>
      </c>
      <c r="D30">
        <v>2</v>
      </c>
      <c r="E30">
        <v>3</v>
      </c>
      <c r="F30">
        <v>4</v>
      </c>
    </row>
    <row r="31" spans="3:8" x14ac:dyDescent="0.35">
      <c r="C31">
        <v>5</v>
      </c>
      <c r="D31">
        <v>6</v>
      </c>
      <c r="E31">
        <v>7</v>
      </c>
      <c r="F31">
        <v>8</v>
      </c>
    </row>
    <row r="32" spans="3:8" x14ac:dyDescent="0.35">
      <c r="C32">
        <v>9</v>
      </c>
      <c r="D32">
        <v>10</v>
      </c>
      <c r="E32">
        <v>11</v>
      </c>
      <c r="F32">
        <v>12</v>
      </c>
    </row>
    <row r="33" spans="3:7" x14ac:dyDescent="0.35">
      <c r="C33">
        <v>13</v>
      </c>
      <c r="D33">
        <v>14</v>
      </c>
      <c r="E33">
        <v>15</v>
      </c>
      <c r="F33">
        <v>16</v>
      </c>
    </row>
    <row r="34" spans="3:7" x14ac:dyDescent="0.35">
      <c r="C34">
        <v>17</v>
      </c>
      <c r="D34">
        <v>18</v>
      </c>
      <c r="E34">
        <v>19</v>
      </c>
      <c r="F34">
        <v>20</v>
      </c>
    </row>
    <row r="39" spans="3:7" x14ac:dyDescent="0.35">
      <c r="C39">
        <v>1</v>
      </c>
      <c r="D39">
        <v>5</v>
      </c>
      <c r="E39">
        <v>9</v>
      </c>
      <c r="F39">
        <v>13</v>
      </c>
      <c r="G39">
        <v>17</v>
      </c>
    </row>
    <row r="40" spans="3:7" x14ac:dyDescent="0.35">
      <c r="C40">
        <v>2</v>
      </c>
      <c r="D40">
        <v>6</v>
      </c>
      <c r="E40">
        <v>10</v>
      </c>
      <c r="F40">
        <v>14</v>
      </c>
      <c r="G40">
        <v>18</v>
      </c>
    </row>
    <row r="41" spans="3:7" x14ac:dyDescent="0.35">
      <c r="C41">
        <v>3</v>
      </c>
      <c r="D41">
        <v>7</v>
      </c>
      <c r="E41">
        <v>11</v>
      </c>
      <c r="F41">
        <v>15</v>
      </c>
      <c r="G41">
        <v>19</v>
      </c>
    </row>
    <row r="42" spans="3:7" x14ac:dyDescent="0.35">
      <c r="C42">
        <v>4</v>
      </c>
      <c r="D42">
        <v>8</v>
      </c>
      <c r="E42">
        <v>12</v>
      </c>
      <c r="F42">
        <v>16</v>
      </c>
      <c r="G42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90EE-8153-481E-A896-E44DAE698E1A}">
  <dimension ref="A1"/>
  <sheetViews>
    <sheetView zoomScale="175" zoomScaleNormal="175" workbookViewId="0">
      <selection activeCell="E5" sqref="E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89D92-3FE7-4143-845D-714E61235146}">
  <dimension ref="A1:N15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5" x14ac:dyDescent="0.35"/>
  <cols>
    <col min="1" max="1" width="40" customWidth="1"/>
    <col min="2" max="14" width="17.26953125" customWidth="1"/>
  </cols>
  <sheetData>
    <row r="1" spans="1:14" ht="18.5" x14ac:dyDescent="0.45">
      <c r="A1" s="287" t="s">
        <v>1281</v>
      </c>
    </row>
    <row r="2" spans="1:14" ht="15" thickBot="1" x14ac:dyDescent="0.4"/>
    <row r="3" spans="1:14" x14ac:dyDescent="0.35">
      <c r="A3" s="292" t="s">
        <v>1252</v>
      </c>
      <c r="B3" s="290" t="s">
        <v>1244</v>
      </c>
      <c r="C3" s="290" t="s">
        <v>1241</v>
      </c>
      <c r="D3" s="290" t="s">
        <v>1253</v>
      </c>
      <c r="E3" s="290" t="s">
        <v>1245</v>
      </c>
      <c r="F3" s="290" t="s">
        <v>1242</v>
      </c>
      <c r="G3" s="290" t="s">
        <v>1248</v>
      </c>
      <c r="H3" s="290" t="s">
        <v>1249</v>
      </c>
      <c r="I3" s="290" t="s">
        <v>1251</v>
      </c>
      <c r="J3" s="290" t="s">
        <v>1247</v>
      </c>
      <c r="K3" s="290" t="s">
        <v>1246</v>
      </c>
      <c r="L3" s="290" t="s">
        <v>1243</v>
      </c>
      <c r="M3" s="290" t="s">
        <v>1250</v>
      </c>
      <c r="N3" s="296" t="s">
        <v>1282</v>
      </c>
    </row>
    <row r="4" spans="1:14" x14ac:dyDescent="0.35">
      <c r="A4" s="293" t="s">
        <v>1113</v>
      </c>
      <c r="B4" s="288">
        <f>SUMIFS('Master data'!$M$2:$M$296,'Master data'!$D$2:$D$296,$A4,'Master data'!$C$2:$C$296,B$3)</f>
        <v>0</v>
      </c>
      <c r="C4" s="288">
        <f>SUMIFS('Master data'!$M$2:$M$296,'Master data'!$D$2:$D$296,$A4,'Master data'!$C$2:$C$296,C$3)</f>
        <v>0</v>
      </c>
      <c r="D4" s="288">
        <f>SUMIFS('Master data'!$M$2:$M$296,'Master data'!$D$2:$D$296,$A4,'Master data'!$C$2:$C$296,D$3)</f>
        <v>0</v>
      </c>
      <c r="E4" s="288">
        <f>SUMIFS('Master data'!$M$2:$M$296,'Master data'!$D$2:$D$296,$A4,'Master data'!$C$2:$C$296,E$3)</f>
        <v>0</v>
      </c>
      <c r="F4" s="288">
        <f>SUMIFS('Master data'!$M$2:$M$296,'Master data'!$D$2:$D$296,$A4,'Master data'!$C$2:$C$296,F$3)</f>
        <v>0</v>
      </c>
      <c r="G4" s="288">
        <f>SUMIFS('Master data'!$M$2:$M$296,'Master data'!$D$2:$D$296,$A4,'Master data'!$C$2:$C$296,G$3)</f>
        <v>0</v>
      </c>
      <c r="H4" s="288">
        <f>SUMIFS('Master data'!$M$2:$M$296,'Master data'!$D$2:$D$296,$A4,'Master data'!$C$2:$C$296,H$3)</f>
        <v>0</v>
      </c>
      <c r="I4" s="288">
        <f>SUMIFS('Master data'!$M$2:$M$296,'Master data'!$D$2:$D$296,$A4,'Master data'!$C$2:$C$296,I$3)</f>
        <v>0</v>
      </c>
      <c r="J4" s="288">
        <f>SUMIFS('Master data'!$M$2:$M$296,'Master data'!$D$2:$D$296,$A4,'Master data'!$C$2:$C$296,J$3)</f>
        <v>7541264</v>
      </c>
      <c r="K4" s="288">
        <f>SUMIFS('Master data'!$M$2:$M$296,'Master data'!$D$2:$D$296,$A4,'Master data'!$C$2:$C$296,K$3)</f>
        <v>0</v>
      </c>
      <c r="L4" s="288">
        <f>SUMIFS('Master data'!$M$2:$M$296,'Master data'!$D$2:$D$296,$A4,'Master data'!$C$2:$C$296,L$3)</f>
        <v>0</v>
      </c>
      <c r="M4" s="288">
        <f>SUMIFS('Master data'!$M$2:$M$296,'Master data'!$D$2:$D$296,$A4,'Master data'!$C$2:$C$296,M$3)</f>
        <v>0</v>
      </c>
      <c r="N4" s="298">
        <f>SUM(B4:M4)</f>
        <v>7541264</v>
      </c>
    </row>
    <row r="5" spans="1:14" x14ac:dyDescent="0.35">
      <c r="A5" s="294" t="s">
        <v>1127</v>
      </c>
      <c r="B5" s="289">
        <f>SUMIFS('Master data'!$M$2:$M$296,'Master data'!$D$2:$D$296,$A5,'Master data'!$C$2:$C$296,B$3)</f>
        <v>0</v>
      </c>
      <c r="C5" s="289">
        <f>SUMIFS('Master data'!$M$2:$M$296,'Master data'!$D$2:$D$296,$A5,'Master data'!$C$2:$C$296,C$3)</f>
        <v>1404660</v>
      </c>
      <c r="D5" s="289">
        <f>SUMIFS('Master data'!$M$2:$M$296,'Master data'!$D$2:$D$296,$A5,'Master data'!$C$2:$C$296,D$3)</f>
        <v>0</v>
      </c>
      <c r="E5" s="289">
        <f>SUMIFS('Master data'!$M$2:$M$296,'Master data'!$D$2:$D$296,$A5,'Master data'!$C$2:$C$296,E$3)</f>
        <v>0</v>
      </c>
      <c r="F5" s="289">
        <f>SUMIFS('Master data'!$M$2:$M$296,'Master data'!$D$2:$D$296,$A5,'Master data'!$C$2:$C$296,F$3)</f>
        <v>0</v>
      </c>
      <c r="G5" s="289">
        <f>SUMIFS('Master data'!$M$2:$M$296,'Master data'!$D$2:$D$296,$A5,'Master data'!$C$2:$C$296,G$3)</f>
        <v>0</v>
      </c>
      <c r="H5" s="289">
        <f>SUMIFS('Master data'!$M$2:$M$296,'Master data'!$D$2:$D$296,$A5,'Master data'!$C$2:$C$296,H$3)</f>
        <v>0</v>
      </c>
      <c r="I5" s="289">
        <f>SUMIFS('Master data'!$M$2:$M$296,'Master data'!$D$2:$D$296,$A5,'Master data'!$C$2:$C$296,I$3)</f>
        <v>0</v>
      </c>
      <c r="J5" s="289">
        <f>SUMIFS('Master data'!$M$2:$M$296,'Master data'!$D$2:$D$296,$A5,'Master data'!$C$2:$C$296,J$3)</f>
        <v>0</v>
      </c>
      <c r="K5" s="289">
        <f>SUMIFS('Master data'!$M$2:$M$296,'Master data'!$D$2:$D$296,$A5,'Master data'!$C$2:$C$296,K$3)</f>
        <v>0</v>
      </c>
      <c r="L5" s="289">
        <f>SUMIFS('Master data'!$M$2:$M$296,'Master data'!$D$2:$D$296,$A5,'Master data'!$C$2:$C$296,L$3)</f>
        <v>0</v>
      </c>
      <c r="M5" s="289">
        <f>SUMIFS('Master data'!$M$2:$M$296,'Master data'!$D$2:$D$296,$A5,'Master data'!$C$2:$C$296,M$3)</f>
        <v>0</v>
      </c>
      <c r="N5" s="299">
        <f t="shared" ref="N5:N68" si="0">SUM(B5:M5)</f>
        <v>1404660</v>
      </c>
    </row>
    <row r="6" spans="1:14" x14ac:dyDescent="0.35">
      <c r="A6" s="293" t="s">
        <v>1185</v>
      </c>
      <c r="B6" s="288">
        <f>SUMIFS('Master data'!$M$2:$M$296,'Master data'!$D$2:$D$296,$A6,'Master data'!$C$2:$C$296,B$3)</f>
        <v>0</v>
      </c>
      <c r="C6" s="288">
        <f>SUMIFS('Master data'!$M$2:$M$296,'Master data'!$D$2:$D$296,$A6,'Master data'!$C$2:$C$296,C$3)</f>
        <v>0</v>
      </c>
      <c r="D6" s="288">
        <f>SUMIFS('Master data'!$M$2:$M$296,'Master data'!$D$2:$D$296,$A6,'Master data'!$C$2:$C$296,D$3)</f>
        <v>0</v>
      </c>
      <c r="E6" s="288">
        <f>SUMIFS('Master data'!$M$2:$M$296,'Master data'!$D$2:$D$296,$A6,'Master data'!$C$2:$C$296,E$3)</f>
        <v>0</v>
      </c>
      <c r="F6" s="288">
        <f>SUMIFS('Master data'!$M$2:$M$296,'Master data'!$D$2:$D$296,$A6,'Master data'!$C$2:$C$296,F$3)</f>
        <v>0</v>
      </c>
      <c r="G6" s="288">
        <f>SUMIFS('Master data'!$M$2:$M$296,'Master data'!$D$2:$D$296,$A6,'Master data'!$C$2:$C$296,G$3)</f>
        <v>0</v>
      </c>
      <c r="H6" s="288">
        <f>SUMIFS('Master data'!$M$2:$M$296,'Master data'!$D$2:$D$296,$A6,'Master data'!$C$2:$C$296,H$3)</f>
        <v>0</v>
      </c>
      <c r="I6" s="288">
        <f>SUMIFS('Master data'!$M$2:$M$296,'Master data'!$D$2:$D$296,$A6,'Master data'!$C$2:$C$296,I$3)</f>
        <v>3206472</v>
      </c>
      <c r="J6" s="288">
        <f>SUMIFS('Master data'!$M$2:$M$296,'Master data'!$D$2:$D$296,$A6,'Master data'!$C$2:$C$296,J$3)</f>
        <v>0</v>
      </c>
      <c r="K6" s="288">
        <f>SUMIFS('Master data'!$M$2:$M$296,'Master data'!$D$2:$D$296,$A6,'Master data'!$C$2:$C$296,K$3)</f>
        <v>0</v>
      </c>
      <c r="L6" s="288">
        <f>SUMIFS('Master data'!$M$2:$M$296,'Master data'!$D$2:$D$296,$A6,'Master data'!$C$2:$C$296,L$3)</f>
        <v>0</v>
      </c>
      <c r="M6" s="288">
        <f>SUMIFS('Master data'!$M$2:$M$296,'Master data'!$D$2:$D$296,$A6,'Master data'!$C$2:$C$296,M$3)</f>
        <v>0</v>
      </c>
      <c r="N6" s="298">
        <f t="shared" si="0"/>
        <v>3206472</v>
      </c>
    </row>
    <row r="7" spans="1:14" x14ac:dyDescent="0.35">
      <c r="A7" s="294" t="s">
        <v>1223</v>
      </c>
      <c r="B7" s="289">
        <f>SUMIFS('Master data'!$M$2:$M$296,'Master data'!$D$2:$D$296,$A7,'Master data'!$C$2:$C$296,B$3)</f>
        <v>0</v>
      </c>
      <c r="C7" s="289">
        <f>SUMIFS('Master data'!$M$2:$M$296,'Master data'!$D$2:$D$296,$A7,'Master data'!$C$2:$C$296,C$3)</f>
        <v>1283040</v>
      </c>
      <c r="D7" s="289">
        <f>SUMIFS('Master data'!$M$2:$M$296,'Master data'!$D$2:$D$296,$A7,'Master data'!$C$2:$C$296,D$3)</f>
        <v>0</v>
      </c>
      <c r="E7" s="289">
        <f>SUMIFS('Master data'!$M$2:$M$296,'Master data'!$D$2:$D$296,$A7,'Master data'!$C$2:$C$296,E$3)</f>
        <v>0</v>
      </c>
      <c r="F7" s="289">
        <f>SUMIFS('Master data'!$M$2:$M$296,'Master data'!$D$2:$D$296,$A7,'Master data'!$C$2:$C$296,F$3)</f>
        <v>8036326</v>
      </c>
      <c r="G7" s="289">
        <f>SUMIFS('Master data'!$M$2:$M$296,'Master data'!$D$2:$D$296,$A7,'Master data'!$C$2:$C$296,G$3)</f>
        <v>0</v>
      </c>
      <c r="H7" s="289">
        <f>SUMIFS('Master data'!$M$2:$M$296,'Master data'!$D$2:$D$296,$A7,'Master data'!$C$2:$C$296,H$3)</f>
        <v>0</v>
      </c>
      <c r="I7" s="289">
        <f>SUMIFS('Master data'!$M$2:$M$296,'Master data'!$D$2:$D$296,$A7,'Master data'!$C$2:$C$296,I$3)</f>
        <v>0</v>
      </c>
      <c r="J7" s="289">
        <f>SUMIFS('Master data'!$M$2:$M$296,'Master data'!$D$2:$D$296,$A7,'Master data'!$C$2:$C$296,J$3)</f>
        <v>5224190</v>
      </c>
      <c r="K7" s="289">
        <f>SUMIFS('Master data'!$M$2:$M$296,'Master data'!$D$2:$D$296,$A7,'Master data'!$C$2:$C$296,K$3)</f>
        <v>0</v>
      </c>
      <c r="L7" s="289">
        <f>SUMIFS('Master data'!$M$2:$M$296,'Master data'!$D$2:$D$296,$A7,'Master data'!$C$2:$C$296,L$3)</f>
        <v>0</v>
      </c>
      <c r="M7" s="289">
        <f>SUMIFS('Master data'!$M$2:$M$296,'Master data'!$D$2:$D$296,$A7,'Master data'!$C$2:$C$296,M$3)</f>
        <v>0</v>
      </c>
      <c r="N7" s="299">
        <f t="shared" si="0"/>
        <v>14543556</v>
      </c>
    </row>
    <row r="8" spans="1:14" x14ac:dyDescent="0.35">
      <c r="A8" s="293" t="s">
        <v>1163</v>
      </c>
      <c r="B8" s="288">
        <f>SUMIFS('Master data'!$M$2:$M$296,'Master data'!$D$2:$D$296,$A8,'Master data'!$C$2:$C$296,B$3)</f>
        <v>0</v>
      </c>
      <c r="C8" s="288">
        <f>SUMIFS('Master data'!$M$2:$M$296,'Master data'!$D$2:$D$296,$A8,'Master data'!$C$2:$C$296,C$3)</f>
        <v>1996896</v>
      </c>
      <c r="D8" s="288">
        <f>SUMIFS('Master data'!$M$2:$M$296,'Master data'!$D$2:$D$296,$A8,'Master data'!$C$2:$C$296,D$3)</f>
        <v>0</v>
      </c>
      <c r="E8" s="288">
        <f>SUMIFS('Master data'!$M$2:$M$296,'Master data'!$D$2:$D$296,$A8,'Master data'!$C$2:$C$296,E$3)</f>
        <v>0</v>
      </c>
      <c r="F8" s="288">
        <f>SUMIFS('Master data'!$M$2:$M$296,'Master data'!$D$2:$D$296,$A8,'Master data'!$C$2:$C$296,F$3)</f>
        <v>0</v>
      </c>
      <c r="G8" s="288">
        <f>SUMIFS('Master data'!$M$2:$M$296,'Master data'!$D$2:$D$296,$A8,'Master data'!$C$2:$C$296,G$3)</f>
        <v>0</v>
      </c>
      <c r="H8" s="288">
        <f>SUMIFS('Master data'!$M$2:$M$296,'Master data'!$D$2:$D$296,$A8,'Master data'!$C$2:$C$296,H$3)</f>
        <v>0</v>
      </c>
      <c r="I8" s="288">
        <f>SUMIFS('Master data'!$M$2:$M$296,'Master data'!$D$2:$D$296,$A8,'Master data'!$C$2:$C$296,I$3)</f>
        <v>0</v>
      </c>
      <c r="J8" s="288">
        <f>SUMIFS('Master data'!$M$2:$M$296,'Master data'!$D$2:$D$296,$A8,'Master data'!$C$2:$C$296,J$3)</f>
        <v>0</v>
      </c>
      <c r="K8" s="288">
        <f>SUMIFS('Master data'!$M$2:$M$296,'Master data'!$D$2:$D$296,$A8,'Master data'!$C$2:$C$296,K$3)</f>
        <v>0</v>
      </c>
      <c r="L8" s="288">
        <f>SUMIFS('Master data'!$M$2:$M$296,'Master data'!$D$2:$D$296,$A8,'Master data'!$C$2:$C$296,L$3)</f>
        <v>0</v>
      </c>
      <c r="M8" s="288">
        <f>SUMIFS('Master data'!$M$2:$M$296,'Master data'!$D$2:$D$296,$A8,'Master data'!$C$2:$C$296,M$3)</f>
        <v>0</v>
      </c>
      <c r="N8" s="298">
        <f t="shared" si="0"/>
        <v>1996896</v>
      </c>
    </row>
    <row r="9" spans="1:14" x14ac:dyDescent="0.35">
      <c r="A9" s="294" t="s">
        <v>1238</v>
      </c>
      <c r="B9" s="289">
        <f>SUMIFS('Master data'!$M$2:$M$296,'Master data'!$D$2:$D$296,$A9,'Master data'!$C$2:$C$296,B$3)</f>
        <v>0</v>
      </c>
      <c r="C9" s="289">
        <f>SUMIFS('Master data'!$M$2:$M$296,'Master data'!$D$2:$D$296,$A9,'Master data'!$C$2:$C$296,C$3)</f>
        <v>0</v>
      </c>
      <c r="D9" s="289">
        <f>SUMIFS('Master data'!$M$2:$M$296,'Master data'!$D$2:$D$296,$A9,'Master data'!$C$2:$C$296,D$3)</f>
        <v>0</v>
      </c>
      <c r="E9" s="289">
        <f>SUMIFS('Master data'!$M$2:$M$296,'Master data'!$D$2:$D$296,$A9,'Master data'!$C$2:$C$296,E$3)</f>
        <v>0</v>
      </c>
      <c r="F9" s="289">
        <f>SUMIFS('Master data'!$M$2:$M$296,'Master data'!$D$2:$D$296,$A9,'Master data'!$C$2:$C$296,F$3)</f>
        <v>0</v>
      </c>
      <c r="G9" s="289">
        <f>SUMIFS('Master data'!$M$2:$M$296,'Master data'!$D$2:$D$296,$A9,'Master data'!$C$2:$C$296,G$3)</f>
        <v>0</v>
      </c>
      <c r="H9" s="289">
        <f>SUMIFS('Master data'!$M$2:$M$296,'Master data'!$D$2:$D$296,$A9,'Master data'!$C$2:$C$296,H$3)</f>
        <v>0</v>
      </c>
      <c r="I9" s="289">
        <f>SUMIFS('Master data'!$M$2:$M$296,'Master data'!$D$2:$D$296,$A9,'Master data'!$C$2:$C$296,I$3)</f>
        <v>0</v>
      </c>
      <c r="J9" s="289">
        <f>SUMIFS('Master data'!$M$2:$M$296,'Master data'!$D$2:$D$296,$A9,'Master data'!$C$2:$C$296,J$3)</f>
        <v>0</v>
      </c>
      <c r="K9" s="289">
        <f>SUMIFS('Master data'!$M$2:$M$296,'Master data'!$D$2:$D$296,$A9,'Master data'!$C$2:$C$296,K$3)</f>
        <v>0</v>
      </c>
      <c r="L9" s="289">
        <f>SUMIFS('Master data'!$M$2:$M$296,'Master data'!$D$2:$D$296,$A9,'Master data'!$C$2:$C$296,L$3)</f>
        <v>6053400</v>
      </c>
      <c r="M9" s="289">
        <f>SUMIFS('Master data'!$M$2:$M$296,'Master data'!$D$2:$D$296,$A9,'Master data'!$C$2:$C$296,M$3)</f>
        <v>0</v>
      </c>
      <c r="N9" s="299">
        <f t="shared" si="0"/>
        <v>6053400</v>
      </c>
    </row>
    <row r="10" spans="1:14" x14ac:dyDescent="0.35">
      <c r="A10" s="293" t="s">
        <v>1230</v>
      </c>
      <c r="B10" s="288">
        <f>SUMIFS('Master data'!$M$2:$M$296,'Master data'!$D$2:$D$296,$A10,'Master data'!$C$2:$C$296,B$3)</f>
        <v>0</v>
      </c>
      <c r="C10" s="288">
        <f>SUMIFS('Master data'!$M$2:$M$296,'Master data'!$D$2:$D$296,$A10,'Master data'!$C$2:$C$296,C$3)</f>
        <v>0</v>
      </c>
      <c r="D10" s="288">
        <f>SUMIFS('Master data'!$M$2:$M$296,'Master data'!$D$2:$D$296,$A10,'Master data'!$C$2:$C$296,D$3)</f>
        <v>0</v>
      </c>
      <c r="E10" s="288">
        <f>SUMIFS('Master data'!$M$2:$M$296,'Master data'!$D$2:$D$296,$A10,'Master data'!$C$2:$C$296,E$3)</f>
        <v>1998444</v>
      </c>
      <c r="F10" s="288">
        <f>SUMIFS('Master data'!$M$2:$M$296,'Master data'!$D$2:$D$296,$A10,'Master data'!$C$2:$C$296,F$3)</f>
        <v>0</v>
      </c>
      <c r="G10" s="288">
        <f>SUMIFS('Master data'!$M$2:$M$296,'Master data'!$D$2:$D$296,$A10,'Master data'!$C$2:$C$296,G$3)</f>
        <v>0</v>
      </c>
      <c r="H10" s="288">
        <f>SUMIFS('Master data'!$M$2:$M$296,'Master data'!$D$2:$D$296,$A10,'Master data'!$C$2:$C$296,H$3)</f>
        <v>0</v>
      </c>
      <c r="I10" s="288">
        <f>SUMIFS('Master data'!$M$2:$M$296,'Master data'!$D$2:$D$296,$A10,'Master data'!$C$2:$C$296,I$3)</f>
        <v>0</v>
      </c>
      <c r="J10" s="288">
        <f>SUMIFS('Master data'!$M$2:$M$296,'Master data'!$D$2:$D$296,$A10,'Master data'!$C$2:$C$296,J$3)</f>
        <v>0</v>
      </c>
      <c r="K10" s="288">
        <f>SUMIFS('Master data'!$M$2:$M$296,'Master data'!$D$2:$D$296,$A10,'Master data'!$C$2:$C$296,K$3)</f>
        <v>0</v>
      </c>
      <c r="L10" s="288">
        <f>SUMIFS('Master data'!$M$2:$M$296,'Master data'!$D$2:$D$296,$A10,'Master data'!$C$2:$C$296,L$3)</f>
        <v>0</v>
      </c>
      <c r="M10" s="288">
        <f>SUMIFS('Master data'!$M$2:$M$296,'Master data'!$D$2:$D$296,$A10,'Master data'!$C$2:$C$296,M$3)</f>
        <v>0</v>
      </c>
      <c r="N10" s="298">
        <f t="shared" si="0"/>
        <v>1998444</v>
      </c>
    </row>
    <row r="11" spans="1:14" x14ac:dyDescent="0.35">
      <c r="A11" s="294" t="s">
        <v>1213</v>
      </c>
      <c r="B11" s="289">
        <f>SUMIFS('Master data'!$M$2:$M$296,'Master data'!$D$2:$D$296,$A11,'Master data'!$C$2:$C$296,B$3)</f>
        <v>0</v>
      </c>
      <c r="C11" s="289">
        <f>SUMIFS('Master data'!$M$2:$M$296,'Master data'!$D$2:$D$296,$A11,'Master data'!$C$2:$C$296,C$3)</f>
        <v>0</v>
      </c>
      <c r="D11" s="289">
        <f>SUMIFS('Master data'!$M$2:$M$296,'Master data'!$D$2:$D$296,$A11,'Master data'!$C$2:$C$296,D$3)</f>
        <v>0</v>
      </c>
      <c r="E11" s="289">
        <f>SUMIFS('Master data'!$M$2:$M$296,'Master data'!$D$2:$D$296,$A11,'Master data'!$C$2:$C$296,E$3)</f>
        <v>0</v>
      </c>
      <c r="F11" s="289">
        <f>SUMIFS('Master data'!$M$2:$M$296,'Master data'!$D$2:$D$296,$A11,'Master data'!$C$2:$C$296,F$3)</f>
        <v>0</v>
      </c>
      <c r="G11" s="289">
        <f>SUMIFS('Master data'!$M$2:$M$296,'Master data'!$D$2:$D$296,$A11,'Master data'!$C$2:$C$296,G$3)</f>
        <v>0</v>
      </c>
      <c r="H11" s="289">
        <f>SUMIFS('Master data'!$M$2:$M$296,'Master data'!$D$2:$D$296,$A11,'Master data'!$C$2:$C$296,H$3)</f>
        <v>0</v>
      </c>
      <c r="I11" s="289">
        <f>SUMIFS('Master data'!$M$2:$M$296,'Master data'!$D$2:$D$296,$A11,'Master data'!$C$2:$C$296,I$3)</f>
        <v>4601856</v>
      </c>
      <c r="J11" s="289">
        <f>SUMIFS('Master data'!$M$2:$M$296,'Master data'!$D$2:$D$296,$A11,'Master data'!$C$2:$C$296,J$3)</f>
        <v>0</v>
      </c>
      <c r="K11" s="289">
        <f>SUMIFS('Master data'!$M$2:$M$296,'Master data'!$D$2:$D$296,$A11,'Master data'!$C$2:$C$296,K$3)</f>
        <v>0</v>
      </c>
      <c r="L11" s="289">
        <f>SUMIFS('Master data'!$M$2:$M$296,'Master data'!$D$2:$D$296,$A11,'Master data'!$C$2:$C$296,L$3)</f>
        <v>0</v>
      </c>
      <c r="M11" s="289">
        <f>SUMIFS('Master data'!$M$2:$M$296,'Master data'!$D$2:$D$296,$A11,'Master data'!$C$2:$C$296,M$3)</f>
        <v>0</v>
      </c>
      <c r="N11" s="299">
        <f t="shared" si="0"/>
        <v>4601856</v>
      </c>
    </row>
    <row r="12" spans="1:14" x14ac:dyDescent="0.35">
      <c r="A12" s="293" t="s">
        <v>1137</v>
      </c>
      <c r="B12" s="288">
        <f>SUMIFS('Master data'!$M$2:$M$296,'Master data'!$D$2:$D$296,$A12,'Master data'!$C$2:$C$296,B$3)</f>
        <v>0</v>
      </c>
      <c r="C12" s="288">
        <f>SUMIFS('Master data'!$M$2:$M$296,'Master data'!$D$2:$D$296,$A12,'Master data'!$C$2:$C$296,C$3)</f>
        <v>0</v>
      </c>
      <c r="D12" s="288">
        <f>SUMIFS('Master data'!$M$2:$M$296,'Master data'!$D$2:$D$296,$A12,'Master data'!$C$2:$C$296,D$3)</f>
        <v>0</v>
      </c>
      <c r="E12" s="288">
        <f>SUMIFS('Master data'!$M$2:$M$296,'Master data'!$D$2:$D$296,$A12,'Master data'!$C$2:$C$296,E$3)</f>
        <v>0</v>
      </c>
      <c r="F12" s="288">
        <f>SUMIFS('Master data'!$M$2:$M$296,'Master data'!$D$2:$D$296,$A12,'Master data'!$C$2:$C$296,F$3)</f>
        <v>0</v>
      </c>
      <c r="G12" s="288">
        <f>SUMIFS('Master data'!$M$2:$M$296,'Master data'!$D$2:$D$296,$A12,'Master data'!$C$2:$C$296,G$3)</f>
        <v>0</v>
      </c>
      <c r="H12" s="288">
        <f>SUMIFS('Master data'!$M$2:$M$296,'Master data'!$D$2:$D$296,$A12,'Master data'!$C$2:$C$296,H$3)</f>
        <v>0</v>
      </c>
      <c r="I12" s="288">
        <f>SUMIFS('Master data'!$M$2:$M$296,'Master data'!$D$2:$D$296,$A12,'Master data'!$C$2:$C$296,I$3)</f>
        <v>0</v>
      </c>
      <c r="J12" s="288">
        <f>SUMIFS('Master data'!$M$2:$M$296,'Master data'!$D$2:$D$296,$A12,'Master data'!$C$2:$C$296,J$3)</f>
        <v>0</v>
      </c>
      <c r="K12" s="288">
        <f>SUMIFS('Master data'!$M$2:$M$296,'Master data'!$D$2:$D$296,$A12,'Master data'!$C$2:$C$296,K$3)</f>
        <v>0</v>
      </c>
      <c r="L12" s="288">
        <f>SUMIFS('Master data'!$M$2:$M$296,'Master data'!$D$2:$D$296,$A12,'Master data'!$C$2:$C$296,L$3)</f>
        <v>1356885</v>
      </c>
      <c r="M12" s="288">
        <f>SUMIFS('Master data'!$M$2:$M$296,'Master data'!$D$2:$D$296,$A12,'Master data'!$C$2:$C$296,M$3)</f>
        <v>0</v>
      </c>
      <c r="N12" s="298">
        <f t="shared" si="0"/>
        <v>1356885</v>
      </c>
    </row>
    <row r="13" spans="1:14" x14ac:dyDescent="0.35">
      <c r="A13" s="294" t="s">
        <v>1148</v>
      </c>
      <c r="B13" s="289">
        <f>SUMIFS('Master data'!$M$2:$M$296,'Master data'!$D$2:$D$296,$A13,'Master data'!$C$2:$C$296,B$3)</f>
        <v>6192618</v>
      </c>
      <c r="C13" s="289">
        <f>SUMIFS('Master data'!$M$2:$M$296,'Master data'!$D$2:$D$296,$A13,'Master data'!$C$2:$C$296,C$3)</f>
        <v>0</v>
      </c>
      <c r="D13" s="289">
        <f>SUMIFS('Master data'!$M$2:$M$296,'Master data'!$D$2:$D$296,$A13,'Master data'!$C$2:$C$296,D$3)</f>
        <v>0</v>
      </c>
      <c r="E13" s="289">
        <f>SUMIFS('Master data'!$M$2:$M$296,'Master data'!$D$2:$D$296,$A13,'Master data'!$C$2:$C$296,E$3)</f>
        <v>0</v>
      </c>
      <c r="F13" s="289">
        <f>SUMIFS('Master data'!$M$2:$M$296,'Master data'!$D$2:$D$296,$A13,'Master data'!$C$2:$C$296,F$3)</f>
        <v>1240575</v>
      </c>
      <c r="G13" s="289">
        <f>SUMIFS('Master data'!$M$2:$M$296,'Master data'!$D$2:$D$296,$A13,'Master data'!$C$2:$C$296,G$3)</f>
        <v>0</v>
      </c>
      <c r="H13" s="289">
        <f>SUMIFS('Master data'!$M$2:$M$296,'Master data'!$D$2:$D$296,$A13,'Master data'!$C$2:$C$296,H$3)</f>
        <v>0</v>
      </c>
      <c r="I13" s="289">
        <f>SUMIFS('Master data'!$M$2:$M$296,'Master data'!$D$2:$D$296,$A13,'Master data'!$C$2:$C$296,I$3)</f>
        <v>0</v>
      </c>
      <c r="J13" s="289">
        <f>SUMIFS('Master data'!$M$2:$M$296,'Master data'!$D$2:$D$296,$A13,'Master data'!$C$2:$C$296,J$3)</f>
        <v>0</v>
      </c>
      <c r="K13" s="289">
        <f>SUMIFS('Master data'!$M$2:$M$296,'Master data'!$D$2:$D$296,$A13,'Master data'!$C$2:$C$296,K$3)</f>
        <v>0</v>
      </c>
      <c r="L13" s="289">
        <f>SUMIFS('Master data'!$M$2:$M$296,'Master data'!$D$2:$D$296,$A13,'Master data'!$C$2:$C$296,L$3)</f>
        <v>0</v>
      </c>
      <c r="M13" s="289">
        <f>SUMIFS('Master data'!$M$2:$M$296,'Master data'!$D$2:$D$296,$A13,'Master data'!$C$2:$C$296,M$3)</f>
        <v>0</v>
      </c>
      <c r="N13" s="299">
        <f t="shared" si="0"/>
        <v>7433193</v>
      </c>
    </row>
    <row r="14" spans="1:14" x14ac:dyDescent="0.35">
      <c r="A14" s="293" t="s">
        <v>1015</v>
      </c>
      <c r="B14" s="288">
        <f>SUMIFS('Master data'!$M$2:$M$296,'Master data'!$D$2:$D$296,$A14,'Master data'!$C$2:$C$296,B$3)</f>
        <v>0</v>
      </c>
      <c r="C14" s="288">
        <f>SUMIFS('Master data'!$M$2:$M$296,'Master data'!$D$2:$D$296,$A14,'Master data'!$C$2:$C$296,C$3)</f>
        <v>3360636</v>
      </c>
      <c r="D14" s="288">
        <f>SUMIFS('Master data'!$M$2:$M$296,'Master data'!$D$2:$D$296,$A14,'Master data'!$C$2:$C$296,D$3)</f>
        <v>0</v>
      </c>
      <c r="E14" s="288">
        <f>SUMIFS('Master data'!$M$2:$M$296,'Master data'!$D$2:$D$296,$A14,'Master data'!$C$2:$C$296,E$3)</f>
        <v>0</v>
      </c>
      <c r="F14" s="288">
        <f>SUMIFS('Master data'!$M$2:$M$296,'Master data'!$D$2:$D$296,$A14,'Master data'!$C$2:$C$296,F$3)</f>
        <v>0</v>
      </c>
      <c r="G14" s="288">
        <f>SUMIFS('Master data'!$M$2:$M$296,'Master data'!$D$2:$D$296,$A14,'Master data'!$C$2:$C$296,G$3)</f>
        <v>0</v>
      </c>
      <c r="H14" s="288">
        <f>SUMIFS('Master data'!$M$2:$M$296,'Master data'!$D$2:$D$296,$A14,'Master data'!$C$2:$C$296,H$3)</f>
        <v>0</v>
      </c>
      <c r="I14" s="288">
        <f>SUMIFS('Master data'!$M$2:$M$296,'Master data'!$D$2:$D$296,$A14,'Master data'!$C$2:$C$296,I$3)</f>
        <v>0</v>
      </c>
      <c r="J14" s="288">
        <f>SUMIFS('Master data'!$M$2:$M$296,'Master data'!$D$2:$D$296,$A14,'Master data'!$C$2:$C$296,J$3)</f>
        <v>0</v>
      </c>
      <c r="K14" s="288">
        <f>SUMIFS('Master data'!$M$2:$M$296,'Master data'!$D$2:$D$296,$A14,'Master data'!$C$2:$C$296,K$3)</f>
        <v>0</v>
      </c>
      <c r="L14" s="288">
        <f>SUMIFS('Master data'!$M$2:$M$296,'Master data'!$D$2:$D$296,$A14,'Master data'!$C$2:$C$296,L$3)</f>
        <v>0</v>
      </c>
      <c r="M14" s="288">
        <f>SUMIFS('Master data'!$M$2:$M$296,'Master data'!$D$2:$D$296,$A14,'Master data'!$C$2:$C$296,M$3)</f>
        <v>0</v>
      </c>
      <c r="N14" s="298">
        <f t="shared" si="0"/>
        <v>3360636</v>
      </c>
    </row>
    <row r="15" spans="1:14" x14ac:dyDescent="0.35">
      <c r="A15" s="294" t="s">
        <v>1136</v>
      </c>
      <c r="B15" s="289">
        <f>SUMIFS('Master data'!$M$2:$M$296,'Master data'!$D$2:$D$296,$A15,'Master data'!$C$2:$C$296,B$3)</f>
        <v>0</v>
      </c>
      <c r="C15" s="289">
        <f>SUMIFS('Master data'!$M$2:$M$296,'Master data'!$D$2:$D$296,$A15,'Master data'!$C$2:$C$296,C$3)</f>
        <v>0</v>
      </c>
      <c r="D15" s="289">
        <f>SUMIFS('Master data'!$M$2:$M$296,'Master data'!$D$2:$D$296,$A15,'Master data'!$C$2:$C$296,D$3)</f>
        <v>0</v>
      </c>
      <c r="E15" s="289">
        <f>SUMIFS('Master data'!$M$2:$M$296,'Master data'!$D$2:$D$296,$A15,'Master data'!$C$2:$C$296,E$3)</f>
        <v>0</v>
      </c>
      <c r="F15" s="289">
        <f>SUMIFS('Master data'!$M$2:$M$296,'Master data'!$D$2:$D$296,$A15,'Master data'!$C$2:$C$296,F$3)</f>
        <v>13416410</v>
      </c>
      <c r="G15" s="289">
        <f>SUMIFS('Master data'!$M$2:$M$296,'Master data'!$D$2:$D$296,$A15,'Master data'!$C$2:$C$296,G$3)</f>
        <v>0</v>
      </c>
      <c r="H15" s="289">
        <f>SUMIFS('Master data'!$M$2:$M$296,'Master data'!$D$2:$D$296,$A15,'Master data'!$C$2:$C$296,H$3)</f>
        <v>0</v>
      </c>
      <c r="I15" s="289">
        <f>SUMIFS('Master data'!$M$2:$M$296,'Master data'!$D$2:$D$296,$A15,'Master data'!$C$2:$C$296,I$3)</f>
        <v>0</v>
      </c>
      <c r="J15" s="289">
        <f>SUMIFS('Master data'!$M$2:$M$296,'Master data'!$D$2:$D$296,$A15,'Master data'!$C$2:$C$296,J$3)</f>
        <v>0</v>
      </c>
      <c r="K15" s="289">
        <f>SUMIFS('Master data'!$M$2:$M$296,'Master data'!$D$2:$D$296,$A15,'Master data'!$C$2:$C$296,K$3)</f>
        <v>0</v>
      </c>
      <c r="L15" s="289">
        <f>SUMIFS('Master data'!$M$2:$M$296,'Master data'!$D$2:$D$296,$A15,'Master data'!$C$2:$C$296,L$3)</f>
        <v>0</v>
      </c>
      <c r="M15" s="289">
        <f>SUMIFS('Master data'!$M$2:$M$296,'Master data'!$D$2:$D$296,$A15,'Master data'!$C$2:$C$296,M$3)</f>
        <v>0</v>
      </c>
      <c r="N15" s="299">
        <f t="shared" si="0"/>
        <v>13416410</v>
      </c>
    </row>
    <row r="16" spans="1:14" x14ac:dyDescent="0.35">
      <c r="A16" s="293" t="s">
        <v>1107</v>
      </c>
      <c r="B16" s="288">
        <f>SUMIFS('Master data'!$M$2:$M$296,'Master data'!$D$2:$D$296,$A16,'Master data'!$C$2:$C$296,B$3)</f>
        <v>4431556</v>
      </c>
      <c r="C16" s="288">
        <f>SUMIFS('Master data'!$M$2:$M$296,'Master data'!$D$2:$D$296,$A16,'Master data'!$C$2:$C$296,C$3)</f>
        <v>0</v>
      </c>
      <c r="D16" s="288">
        <f>SUMIFS('Master data'!$M$2:$M$296,'Master data'!$D$2:$D$296,$A16,'Master data'!$C$2:$C$296,D$3)</f>
        <v>0</v>
      </c>
      <c r="E16" s="288">
        <f>SUMIFS('Master data'!$M$2:$M$296,'Master data'!$D$2:$D$296,$A16,'Master data'!$C$2:$C$296,E$3)</f>
        <v>0</v>
      </c>
      <c r="F16" s="288">
        <f>SUMIFS('Master data'!$M$2:$M$296,'Master data'!$D$2:$D$296,$A16,'Master data'!$C$2:$C$296,F$3)</f>
        <v>0</v>
      </c>
      <c r="G16" s="288">
        <f>SUMIFS('Master data'!$M$2:$M$296,'Master data'!$D$2:$D$296,$A16,'Master data'!$C$2:$C$296,G$3)</f>
        <v>0</v>
      </c>
      <c r="H16" s="288">
        <f>SUMIFS('Master data'!$M$2:$M$296,'Master data'!$D$2:$D$296,$A16,'Master data'!$C$2:$C$296,H$3)</f>
        <v>0</v>
      </c>
      <c r="I16" s="288">
        <f>SUMIFS('Master data'!$M$2:$M$296,'Master data'!$D$2:$D$296,$A16,'Master data'!$C$2:$C$296,I$3)</f>
        <v>0</v>
      </c>
      <c r="J16" s="288">
        <f>SUMIFS('Master data'!$M$2:$M$296,'Master data'!$D$2:$D$296,$A16,'Master data'!$C$2:$C$296,J$3)</f>
        <v>0</v>
      </c>
      <c r="K16" s="288">
        <f>SUMIFS('Master data'!$M$2:$M$296,'Master data'!$D$2:$D$296,$A16,'Master data'!$C$2:$C$296,K$3)</f>
        <v>0</v>
      </c>
      <c r="L16" s="288">
        <f>SUMIFS('Master data'!$M$2:$M$296,'Master data'!$D$2:$D$296,$A16,'Master data'!$C$2:$C$296,L$3)</f>
        <v>0</v>
      </c>
      <c r="M16" s="288">
        <f>SUMIFS('Master data'!$M$2:$M$296,'Master data'!$D$2:$D$296,$A16,'Master data'!$C$2:$C$296,M$3)</f>
        <v>0</v>
      </c>
      <c r="N16" s="298">
        <f t="shared" si="0"/>
        <v>4431556</v>
      </c>
    </row>
    <row r="17" spans="1:14" x14ac:dyDescent="0.35">
      <c r="A17" s="294" t="s">
        <v>1131</v>
      </c>
      <c r="B17" s="289">
        <f>SUMIFS('Master data'!$M$2:$M$296,'Master data'!$D$2:$D$296,$A17,'Master data'!$C$2:$C$296,B$3)</f>
        <v>0</v>
      </c>
      <c r="C17" s="289">
        <f>SUMIFS('Master data'!$M$2:$M$296,'Master data'!$D$2:$D$296,$A17,'Master data'!$C$2:$C$296,C$3)</f>
        <v>0</v>
      </c>
      <c r="D17" s="289">
        <f>SUMIFS('Master data'!$M$2:$M$296,'Master data'!$D$2:$D$296,$A17,'Master data'!$C$2:$C$296,D$3)</f>
        <v>0</v>
      </c>
      <c r="E17" s="289">
        <f>SUMIFS('Master data'!$M$2:$M$296,'Master data'!$D$2:$D$296,$A17,'Master data'!$C$2:$C$296,E$3)</f>
        <v>0</v>
      </c>
      <c r="F17" s="289">
        <f>SUMIFS('Master data'!$M$2:$M$296,'Master data'!$D$2:$D$296,$A17,'Master data'!$C$2:$C$296,F$3)</f>
        <v>0</v>
      </c>
      <c r="G17" s="289">
        <f>SUMIFS('Master data'!$M$2:$M$296,'Master data'!$D$2:$D$296,$A17,'Master data'!$C$2:$C$296,G$3)</f>
        <v>0</v>
      </c>
      <c r="H17" s="289">
        <f>SUMIFS('Master data'!$M$2:$M$296,'Master data'!$D$2:$D$296,$A17,'Master data'!$C$2:$C$296,H$3)</f>
        <v>0</v>
      </c>
      <c r="I17" s="289">
        <f>SUMIFS('Master data'!$M$2:$M$296,'Master data'!$D$2:$D$296,$A17,'Master data'!$C$2:$C$296,I$3)</f>
        <v>0</v>
      </c>
      <c r="J17" s="289">
        <f>SUMIFS('Master data'!$M$2:$M$296,'Master data'!$D$2:$D$296,$A17,'Master data'!$C$2:$C$296,J$3)</f>
        <v>0</v>
      </c>
      <c r="K17" s="289">
        <f>SUMIFS('Master data'!$M$2:$M$296,'Master data'!$D$2:$D$296,$A17,'Master data'!$C$2:$C$296,K$3)</f>
        <v>5832320</v>
      </c>
      <c r="L17" s="289">
        <f>SUMIFS('Master data'!$M$2:$M$296,'Master data'!$D$2:$D$296,$A17,'Master data'!$C$2:$C$296,L$3)</f>
        <v>0</v>
      </c>
      <c r="M17" s="289">
        <f>SUMIFS('Master data'!$M$2:$M$296,'Master data'!$D$2:$D$296,$A17,'Master data'!$C$2:$C$296,M$3)</f>
        <v>0</v>
      </c>
      <c r="N17" s="299">
        <f t="shared" si="0"/>
        <v>5832320</v>
      </c>
    </row>
    <row r="18" spans="1:14" x14ac:dyDescent="0.35">
      <c r="A18" s="293" t="s">
        <v>1161</v>
      </c>
      <c r="B18" s="288">
        <f>SUMIFS('Master data'!$M$2:$M$296,'Master data'!$D$2:$D$296,$A18,'Master data'!$C$2:$C$296,B$3)</f>
        <v>19159389</v>
      </c>
      <c r="C18" s="288">
        <f>SUMIFS('Master data'!$M$2:$M$296,'Master data'!$D$2:$D$296,$A18,'Master data'!$C$2:$C$296,C$3)</f>
        <v>3035136</v>
      </c>
      <c r="D18" s="288">
        <f>SUMIFS('Master data'!$M$2:$M$296,'Master data'!$D$2:$D$296,$A18,'Master data'!$C$2:$C$296,D$3)</f>
        <v>0</v>
      </c>
      <c r="E18" s="288">
        <f>SUMIFS('Master data'!$M$2:$M$296,'Master data'!$D$2:$D$296,$A18,'Master data'!$C$2:$C$296,E$3)</f>
        <v>6147545</v>
      </c>
      <c r="F18" s="288">
        <f>SUMIFS('Master data'!$M$2:$M$296,'Master data'!$D$2:$D$296,$A18,'Master data'!$C$2:$C$296,F$3)</f>
        <v>13208887</v>
      </c>
      <c r="G18" s="288">
        <f>SUMIFS('Master data'!$M$2:$M$296,'Master data'!$D$2:$D$296,$A18,'Master data'!$C$2:$C$296,G$3)</f>
        <v>11496854</v>
      </c>
      <c r="H18" s="288">
        <f>SUMIFS('Master data'!$M$2:$M$296,'Master data'!$D$2:$D$296,$A18,'Master data'!$C$2:$C$296,H$3)</f>
        <v>16539348</v>
      </c>
      <c r="I18" s="288">
        <f>SUMIFS('Master data'!$M$2:$M$296,'Master data'!$D$2:$D$296,$A18,'Master data'!$C$2:$C$296,I$3)</f>
        <v>11448105</v>
      </c>
      <c r="J18" s="288">
        <f>SUMIFS('Master data'!$M$2:$M$296,'Master data'!$D$2:$D$296,$A18,'Master data'!$C$2:$C$296,J$3)</f>
        <v>2385175</v>
      </c>
      <c r="K18" s="288">
        <f>SUMIFS('Master data'!$M$2:$M$296,'Master data'!$D$2:$D$296,$A18,'Master data'!$C$2:$C$296,K$3)</f>
        <v>0</v>
      </c>
      <c r="L18" s="288">
        <f>SUMIFS('Master data'!$M$2:$M$296,'Master data'!$D$2:$D$296,$A18,'Master data'!$C$2:$C$296,L$3)</f>
        <v>10742439</v>
      </c>
      <c r="M18" s="288">
        <f>SUMIFS('Master data'!$M$2:$M$296,'Master data'!$D$2:$D$296,$A18,'Master data'!$C$2:$C$296,M$3)</f>
        <v>5618504</v>
      </c>
      <c r="N18" s="298">
        <f t="shared" si="0"/>
        <v>99781382</v>
      </c>
    </row>
    <row r="19" spans="1:14" x14ac:dyDescent="0.35">
      <c r="A19" s="294" t="s">
        <v>1074</v>
      </c>
      <c r="B19" s="289">
        <f>SUMIFS('Master data'!$M$2:$M$296,'Master data'!$D$2:$D$296,$A19,'Master data'!$C$2:$C$296,B$3)</f>
        <v>0</v>
      </c>
      <c r="C19" s="289">
        <f>SUMIFS('Master data'!$M$2:$M$296,'Master data'!$D$2:$D$296,$A19,'Master data'!$C$2:$C$296,C$3)</f>
        <v>0</v>
      </c>
      <c r="D19" s="289">
        <f>SUMIFS('Master data'!$M$2:$M$296,'Master data'!$D$2:$D$296,$A19,'Master data'!$C$2:$C$296,D$3)</f>
        <v>0</v>
      </c>
      <c r="E19" s="289">
        <f>SUMIFS('Master data'!$M$2:$M$296,'Master data'!$D$2:$D$296,$A19,'Master data'!$C$2:$C$296,E$3)</f>
        <v>0</v>
      </c>
      <c r="F19" s="289">
        <f>SUMIFS('Master data'!$M$2:$M$296,'Master data'!$D$2:$D$296,$A19,'Master data'!$C$2:$C$296,F$3)</f>
        <v>0</v>
      </c>
      <c r="G19" s="289">
        <f>SUMIFS('Master data'!$M$2:$M$296,'Master data'!$D$2:$D$296,$A19,'Master data'!$C$2:$C$296,G$3)</f>
        <v>0</v>
      </c>
      <c r="H19" s="289">
        <f>SUMIFS('Master data'!$M$2:$M$296,'Master data'!$D$2:$D$296,$A19,'Master data'!$C$2:$C$296,H$3)</f>
        <v>0</v>
      </c>
      <c r="I19" s="289">
        <f>SUMIFS('Master data'!$M$2:$M$296,'Master data'!$D$2:$D$296,$A19,'Master data'!$C$2:$C$296,I$3)</f>
        <v>0</v>
      </c>
      <c r="J19" s="289">
        <f>SUMIFS('Master data'!$M$2:$M$296,'Master data'!$D$2:$D$296,$A19,'Master data'!$C$2:$C$296,J$3)</f>
        <v>0</v>
      </c>
      <c r="K19" s="289">
        <f>SUMIFS('Master data'!$M$2:$M$296,'Master data'!$D$2:$D$296,$A19,'Master data'!$C$2:$C$296,K$3)</f>
        <v>0</v>
      </c>
      <c r="L19" s="289">
        <f>SUMIFS('Master data'!$M$2:$M$296,'Master data'!$D$2:$D$296,$A19,'Master data'!$C$2:$C$296,L$3)</f>
        <v>3469540</v>
      </c>
      <c r="M19" s="289">
        <f>SUMIFS('Master data'!$M$2:$M$296,'Master data'!$D$2:$D$296,$A19,'Master data'!$C$2:$C$296,M$3)</f>
        <v>0</v>
      </c>
      <c r="N19" s="299">
        <f t="shared" si="0"/>
        <v>3469540</v>
      </c>
    </row>
    <row r="20" spans="1:14" x14ac:dyDescent="0.35">
      <c r="A20" s="293" t="s">
        <v>1176</v>
      </c>
      <c r="B20" s="288">
        <f>SUMIFS('Master data'!$M$2:$M$296,'Master data'!$D$2:$D$296,$A20,'Master data'!$C$2:$C$296,B$3)</f>
        <v>0</v>
      </c>
      <c r="C20" s="288">
        <f>SUMIFS('Master data'!$M$2:$M$296,'Master data'!$D$2:$D$296,$A20,'Master data'!$C$2:$C$296,C$3)</f>
        <v>0</v>
      </c>
      <c r="D20" s="288">
        <f>SUMIFS('Master data'!$M$2:$M$296,'Master data'!$D$2:$D$296,$A20,'Master data'!$C$2:$C$296,D$3)</f>
        <v>0</v>
      </c>
      <c r="E20" s="288">
        <f>SUMIFS('Master data'!$M$2:$M$296,'Master data'!$D$2:$D$296,$A20,'Master data'!$C$2:$C$296,E$3)</f>
        <v>0</v>
      </c>
      <c r="F20" s="288">
        <f>SUMIFS('Master data'!$M$2:$M$296,'Master data'!$D$2:$D$296,$A20,'Master data'!$C$2:$C$296,F$3)</f>
        <v>0</v>
      </c>
      <c r="G20" s="288">
        <f>SUMIFS('Master data'!$M$2:$M$296,'Master data'!$D$2:$D$296,$A20,'Master data'!$C$2:$C$296,G$3)</f>
        <v>0</v>
      </c>
      <c r="H20" s="288">
        <f>SUMIFS('Master data'!$M$2:$M$296,'Master data'!$D$2:$D$296,$A20,'Master data'!$C$2:$C$296,H$3)</f>
        <v>0</v>
      </c>
      <c r="I20" s="288">
        <f>SUMIFS('Master data'!$M$2:$M$296,'Master data'!$D$2:$D$296,$A20,'Master data'!$C$2:$C$296,I$3)</f>
        <v>5275072</v>
      </c>
      <c r="J20" s="288">
        <f>SUMIFS('Master data'!$M$2:$M$296,'Master data'!$D$2:$D$296,$A20,'Master data'!$C$2:$C$296,J$3)</f>
        <v>0</v>
      </c>
      <c r="K20" s="288">
        <f>SUMIFS('Master data'!$M$2:$M$296,'Master data'!$D$2:$D$296,$A20,'Master data'!$C$2:$C$296,K$3)</f>
        <v>0</v>
      </c>
      <c r="L20" s="288">
        <f>SUMIFS('Master data'!$M$2:$M$296,'Master data'!$D$2:$D$296,$A20,'Master data'!$C$2:$C$296,L$3)</f>
        <v>0</v>
      </c>
      <c r="M20" s="288">
        <f>SUMIFS('Master data'!$M$2:$M$296,'Master data'!$D$2:$D$296,$A20,'Master data'!$C$2:$C$296,M$3)</f>
        <v>0</v>
      </c>
      <c r="N20" s="298">
        <f t="shared" si="0"/>
        <v>5275072</v>
      </c>
    </row>
    <row r="21" spans="1:14" x14ac:dyDescent="0.35">
      <c r="A21" s="294" t="s">
        <v>1153</v>
      </c>
      <c r="B21" s="289">
        <f>SUMIFS('Master data'!$M$2:$M$296,'Master data'!$D$2:$D$296,$A21,'Master data'!$C$2:$C$296,B$3)</f>
        <v>0</v>
      </c>
      <c r="C21" s="289">
        <f>SUMIFS('Master data'!$M$2:$M$296,'Master data'!$D$2:$D$296,$A21,'Master data'!$C$2:$C$296,C$3)</f>
        <v>0</v>
      </c>
      <c r="D21" s="289">
        <f>SUMIFS('Master data'!$M$2:$M$296,'Master data'!$D$2:$D$296,$A21,'Master data'!$C$2:$C$296,D$3)</f>
        <v>0</v>
      </c>
      <c r="E21" s="289">
        <f>SUMIFS('Master data'!$M$2:$M$296,'Master data'!$D$2:$D$296,$A21,'Master data'!$C$2:$C$296,E$3)</f>
        <v>0</v>
      </c>
      <c r="F21" s="289">
        <f>SUMIFS('Master data'!$M$2:$M$296,'Master data'!$D$2:$D$296,$A21,'Master data'!$C$2:$C$296,F$3)</f>
        <v>0</v>
      </c>
      <c r="G21" s="289">
        <f>SUMIFS('Master data'!$M$2:$M$296,'Master data'!$D$2:$D$296,$A21,'Master data'!$C$2:$C$296,G$3)</f>
        <v>0</v>
      </c>
      <c r="H21" s="289">
        <f>SUMIFS('Master data'!$M$2:$M$296,'Master data'!$D$2:$D$296,$A21,'Master data'!$C$2:$C$296,H$3)</f>
        <v>0</v>
      </c>
      <c r="I21" s="289">
        <f>SUMIFS('Master data'!$M$2:$M$296,'Master data'!$D$2:$D$296,$A21,'Master data'!$C$2:$C$296,I$3)</f>
        <v>0</v>
      </c>
      <c r="J21" s="289">
        <f>SUMIFS('Master data'!$M$2:$M$296,'Master data'!$D$2:$D$296,$A21,'Master data'!$C$2:$C$296,J$3)</f>
        <v>0</v>
      </c>
      <c r="K21" s="289">
        <f>SUMIFS('Master data'!$M$2:$M$296,'Master data'!$D$2:$D$296,$A21,'Master data'!$C$2:$C$296,K$3)</f>
        <v>0</v>
      </c>
      <c r="L21" s="289">
        <f>SUMIFS('Master data'!$M$2:$M$296,'Master data'!$D$2:$D$296,$A21,'Master data'!$C$2:$C$296,L$3)</f>
        <v>0</v>
      </c>
      <c r="M21" s="289">
        <f>SUMIFS('Master data'!$M$2:$M$296,'Master data'!$D$2:$D$296,$A21,'Master data'!$C$2:$C$296,M$3)</f>
        <v>1902560</v>
      </c>
      <c r="N21" s="299">
        <f t="shared" si="0"/>
        <v>1902560</v>
      </c>
    </row>
    <row r="22" spans="1:14" x14ac:dyDescent="0.35">
      <c r="A22" s="293" t="s">
        <v>1205</v>
      </c>
      <c r="B22" s="288">
        <f>SUMIFS('Master data'!$M$2:$M$296,'Master data'!$D$2:$D$296,$A22,'Master data'!$C$2:$C$296,B$3)</f>
        <v>0</v>
      </c>
      <c r="C22" s="288">
        <f>SUMIFS('Master data'!$M$2:$M$296,'Master data'!$D$2:$D$296,$A22,'Master data'!$C$2:$C$296,C$3)</f>
        <v>0</v>
      </c>
      <c r="D22" s="288">
        <f>SUMIFS('Master data'!$M$2:$M$296,'Master data'!$D$2:$D$296,$A22,'Master data'!$C$2:$C$296,D$3)</f>
        <v>0</v>
      </c>
      <c r="E22" s="288">
        <f>SUMIFS('Master data'!$M$2:$M$296,'Master data'!$D$2:$D$296,$A22,'Master data'!$C$2:$C$296,E$3)</f>
        <v>0</v>
      </c>
      <c r="F22" s="288">
        <f>SUMIFS('Master data'!$M$2:$M$296,'Master data'!$D$2:$D$296,$A22,'Master data'!$C$2:$C$296,F$3)</f>
        <v>3552240</v>
      </c>
      <c r="G22" s="288">
        <f>SUMIFS('Master data'!$M$2:$M$296,'Master data'!$D$2:$D$296,$A22,'Master data'!$C$2:$C$296,G$3)</f>
        <v>0</v>
      </c>
      <c r="H22" s="288">
        <f>SUMIFS('Master data'!$M$2:$M$296,'Master data'!$D$2:$D$296,$A22,'Master data'!$C$2:$C$296,H$3)</f>
        <v>0</v>
      </c>
      <c r="I22" s="288">
        <f>SUMIFS('Master data'!$M$2:$M$296,'Master data'!$D$2:$D$296,$A22,'Master data'!$C$2:$C$296,I$3)</f>
        <v>0</v>
      </c>
      <c r="J22" s="288">
        <f>SUMIFS('Master data'!$M$2:$M$296,'Master data'!$D$2:$D$296,$A22,'Master data'!$C$2:$C$296,J$3)</f>
        <v>0</v>
      </c>
      <c r="K22" s="288">
        <f>SUMIFS('Master data'!$M$2:$M$296,'Master data'!$D$2:$D$296,$A22,'Master data'!$C$2:$C$296,K$3)</f>
        <v>0</v>
      </c>
      <c r="L22" s="288">
        <f>SUMIFS('Master data'!$M$2:$M$296,'Master data'!$D$2:$D$296,$A22,'Master data'!$C$2:$C$296,L$3)</f>
        <v>0</v>
      </c>
      <c r="M22" s="288">
        <f>SUMIFS('Master data'!$M$2:$M$296,'Master data'!$D$2:$D$296,$A22,'Master data'!$C$2:$C$296,M$3)</f>
        <v>0</v>
      </c>
      <c r="N22" s="298">
        <f t="shared" si="0"/>
        <v>3552240</v>
      </c>
    </row>
    <row r="23" spans="1:14" x14ac:dyDescent="0.35">
      <c r="A23" s="294" t="s">
        <v>1049</v>
      </c>
      <c r="B23" s="289">
        <f>SUMIFS('Master data'!$M$2:$M$296,'Master data'!$D$2:$D$296,$A23,'Master data'!$C$2:$C$296,B$3)</f>
        <v>0</v>
      </c>
      <c r="C23" s="289">
        <f>SUMIFS('Master data'!$M$2:$M$296,'Master data'!$D$2:$D$296,$A23,'Master data'!$C$2:$C$296,C$3)</f>
        <v>3443532</v>
      </c>
      <c r="D23" s="289">
        <f>SUMIFS('Master data'!$M$2:$M$296,'Master data'!$D$2:$D$296,$A23,'Master data'!$C$2:$C$296,D$3)</f>
        <v>0</v>
      </c>
      <c r="E23" s="289">
        <f>SUMIFS('Master data'!$M$2:$M$296,'Master data'!$D$2:$D$296,$A23,'Master data'!$C$2:$C$296,E$3)</f>
        <v>0</v>
      </c>
      <c r="F23" s="289">
        <f>SUMIFS('Master data'!$M$2:$M$296,'Master data'!$D$2:$D$296,$A23,'Master data'!$C$2:$C$296,F$3)</f>
        <v>0</v>
      </c>
      <c r="G23" s="289">
        <f>SUMIFS('Master data'!$M$2:$M$296,'Master data'!$D$2:$D$296,$A23,'Master data'!$C$2:$C$296,G$3)</f>
        <v>0</v>
      </c>
      <c r="H23" s="289">
        <f>SUMIFS('Master data'!$M$2:$M$296,'Master data'!$D$2:$D$296,$A23,'Master data'!$C$2:$C$296,H$3)</f>
        <v>0</v>
      </c>
      <c r="I23" s="289">
        <f>SUMIFS('Master data'!$M$2:$M$296,'Master data'!$D$2:$D$296,$A23,'Master data'!$C$2:$C$296,I$3)</f>
        <v>0</v>
      </c>
      <c r="J23" s="289">
        <f>SUMIFS('Master data'!$M$2:$M$296,'Master data'!$D$2:$D$296,$A23,'Master data'!$C$2:$C$296,J$3)</f>
        <v>0</v>
      </c>
      <c r="K23" s="289">
        <f>SUMIFS('Master data'!$M$2:$M$296,'Master data'!$D$2:$D$296,$A23,'Master data'!$C$2:$C$296,K$3)</f>
        <v>0</v>
      </c>
      <c r="L23" s="289">
        <f>SUMIFS('Master data'!$M$2:$M$296,'Master data'!$D$2:$D$296,$A23,'Master data'!$C$2:$C$296,L$3)</f>
        <v>0</v>
      </c>
      <c r="M23" s="289">
        <f>SUMIFS('Master data'!$M$2:$M$296,'Master data'!$D$2:$D$296,$A23,'Master data'!$C$2:$C$296,M$3)</f>
        <v>0</v>
      </c>
      <c r="N23" s="299">
        <f t="shared" si="0"/>
        <v>3443532</v>
      </c>
    </row>
    <row r="24" spans="1:14" x14ac:dyDescent="0.35">
      <c r="A24" s="293" t="s">
        <v>1157</v>
      </c>
      <c r="B24" s="288">
        <f>SUMIFS('Master data'!$M$2:$M$296,'Master data'!$D$2:$D$296,$A24,'Master data'!$C$2:$C$296,B$3)</f>
        <v>0</v>
      </c>
      <c r="C24" s="288">
        <f>SUMIFS('Master data'!$M$2:$M$296,'Master data'!$D$2:$D$296,$A24,'Master data'!$C$2:$C$296,C$3)</f>
        <v>0</v>
      </c>
      <c r="D24" s="288">
        <f>SUMIFS('Master data'!$M$2:$M$296,'Master data'!$D$2:$D$296,$A24,'Master data'!$C$2:$C$296,D$3)</f>
        <v>0</v>
      </c>
      <c r="E24" s="288">
        <f>SUMIFS('Master data'!$M$2:$M$296,'Master data'!$D$2:$D$296,$A24,'Master data'!$C$2:$C$296,E$3)</f>
        <v>0</v>
      </c>
      <c r="F24" s="288">
        <f>SUMIFS('Master data'!$M$2:$M$296,'Master data'!$D$2:$D$296,$A24,'Master data'!$C$2:$C$296,F$3)</f>
        <v>0</v>
      </c>
      <c r="G24" s="288">
        <f>SUMIFS('Master data'!$M$2:$M$296,'Master data'!$D$2:$D$296,$A24,'Master data'!$C$2:$C$296,G$3)</f>
        <v>0</v>
      </c>
      <c r="H24" s="288">
        <f>SUMIFS('Master data'!$M$2:$M$296,'Master data'!$D$2:$D$296,$A24,'Master data'!$C$2:$C$296,H$3)</f>
        <v>0</v>
      </c>
      <c r="I24" s="288">
        <f>SUMIFS('Master data'!$M$2:$M$296,'Master data'!$D$2:$D$296,$A24,'Master data'!$C$2:$C$296,I$3)</f>
        <v>5225856</v>
      </c>
      <c r="J24" s="288">
        <f>SUMIFS('Master data'!$M$2:$M$296,'Master data'!$D$2:$D$296,$A24,'Master data'!$C$2:$C$296,J$3)</f>
        <v>0</v>
      </c>
      <c r="K24" s="288">
        <f>SUMIFS('Master data'!$M$2:$M$296,'Master data'!$D$2:$D$296,$A24,'Master data'!$C$2:$C$296,K$3)</f>
        <v>0</v>
      </c>
      <c r="L24" s="288">
        <f>SUMIFS('Master data'!$M$2:$M$296,'Master data'!$D$2:$D$296,$A24,'Master data'!$C$2:$C$296,L$3)</f>
        <v>0</v>
      </c>
      <c r="M24" s="288">
        <f>SUMIFS('Master data'!$M$2:$M$296,'Master data'!$D$2:$D$296,$A24,'Master data'!$C$2:$C$296,M$3)</f>
        <v>0</v>
      </c>
      <c r="N24" s="298">
        <f t="shared" si="0"/>
        <v>5225856</v>
      </c>
    </row>
    <row r="25" spans="1:14" x14ac:dyDescent="0.35">
      <c r="A25" s="294" t="s">
        <v>1106</v>
      </c>
      <c r="B25" s="289">
        <f>SUMIFS('Master data'!$M$2:$M$296,'Master data'!$D$2:$D$296,$A25,'Master data'!$C$2:$C$296,B$3)</f>
        <v>0</v>
      </c>
      <c r="C25" s="289">
        <f>SUMIFS('Master data'!$M$2:$M$296,'Master data'!$D$2:$D$296,$A25,'Master data'!$C$2:$C$296,C$3)</f>
        <v>0</v>
      </c>
      <c r="D25" s="289">
        <f>SUMIFS('Master data'!$M$2:$M$296,'Master data'!$D$2:$D$296,$A25,'Master data'!$C$2:$C$296,D$3)</f>
        <v>0</v>
      </c>
      <c r="E25" s="289">
        <f>SUMIFS('Master data'!$M$2:$M$296,'Master data'!$D$2:$D$296,$A25,'Master data'!$C$2:$C$296,E$3)</f>
        <v>0</v>
      </c>
      <c r="F25" s="289">
        <f>SUMIFS('Master data'!$M$2:$M$296,'Master data'!$D$2:$D$296,$A25,'Master data'!$C$2:$C$296,F$3)</f>
        <v>13716304</v>
      </c>
      <c r="G25" s="289">
        <f>SUMIFS('Master data'!$M$2:$M$296,'Master data'!$D$2:$D$296,$A25,'Master data'!$C$2:$C$296,G$3)</f>
        <v>0</v>
      </c>
      <c r="H25" s="289">
        <f>SUMIFS('Master data'!$M$2:$M$296,'Master data'!$D$2:$D$296,$A25,'Master data'!$C$2:$C$296,H$3)</f>
        <v>0</v>
      </c>
      <c r="I25" s="289">
        <f>SUMIFS('Master data'!$M$2:$M$296,'Master data'!$D$2:$D$296,$A25,'Master data'!$C$2:$C$296,I$3)</f>
        <v>0</v>
      </c>
      <c r="J25" s="289">
        <f>SUMIFS('Master data'!$M$2:$M$296,'Master data'!$D$2:$D$296,$A25,'Master data'!$C$2:$C$296,J$3)</f>
        <v>0</v>
      </c>
      <c r="K25" s="289">
        <f>SUMIFS('Master data'!$M$2:$M$296,'Master data'!$D$2:$D$296,$A25,'Master data'!$C$2:$C$296,K$3)</f>
        <v>0</v>
      </c>
      <c r="L25" s="289">
        <f>SUMIFS('Master data'!$M$2:$M$296,'Master data'!$D$2:$D$296,$A25,'Master data'!$C$2:$C$296,L$3)</f>
        <v>0</v>
      </c>
      <c r="M25" s="289">
        <f>SUMIFS('Master data'!$M$2:$M$296,'Master data'!$D$2:$D$296,$A25,'Master data'!$C$2:$C$296,M$3)</f>
        <v>0</v>
      </c>
      <c r="N25" s="299">
        <f t="shared" si="0"/>
        <v>13716304</v>
      </c>
    </row>
    <row r="26" spans="1:14" x14ac:dyDescent="0.35">
      <c r="A26" s="293" t="s">
        <v>1199</v>
      </c>
      <c r="B26" s="288">
        <f>SUMIFS('Master data'!$M$2:$M$296,'Master data'!$D$2:$D$296,$A26,'Master data'!$C$2:$C$296,B$3)</f>
        <v>0</v>
      </c>
      <c r="C26" s="288">
        <f>SUMIFS('Master data'!$M$2:$M$296,'Master data'!$D$2:$D$296,$A26,'Master data'!$C$2:$C$296,C$3)</f>
        <v>0</v>
      </c>
      <c r="D26" s="288">
        <f>SUMIFS('Master data'!$M$2:$M$296,'Master data'!$D$2:$D$296,$A26,'Master data'!$C$2:$C$296,D$3)</f>
        <v>0</v>
      </c>
      <c r="E26" s="288">
        <f>SUMIFS('Master data'!$M$2:$M$296,'Master data'!$D$2:$D$296,$A26,'Master data'!$C$2:$C$296,E$3)</f>
        <v>0</v>
      </c>
      <c r="F26" s="288">
        <f>SUMIFS('Master data'!$M$2:$M$296,'Master data'!$D$2:$D$296,$A26,'Master data'!$C$2:$C$296,F$3)</f>
        <v>0</v>
      </c>
      <c r="G26" s="288">
        <f>SUMIFS('Master data'!$M$2:$M$296,'Master data'!$D$2:$D$296,$A26,'Master data'!$C$2:$C$296,G$3)</f>
        <v>0</v>
      </c>
      <c r="H26" s="288">
        <f>SUMIFS('Master data'!$M$2:$M$296,'Master data'!$D$2:$D$296,$A26,'Master data'!$C$2:$C$296,H$3)</f>
        <v>0</v>
      </c>
      <c r="I26" s="288">
        <f>SUMIFS('Master data'!$M$2:$M$296,'Master data'!$D$2:$D$296,$A26,'Master data'!$C$2:$C$296,I$3)</f>
        <v>1797276</v>
      </c>
      <c r="J26" s="288">
        <f>SUMIFS('Master data'!$M$2:$M$296,'Master data'!$D$2:$D$296,$A26,'Master data'!$C$2:$C$296,J$3)</f>
        <v>0</v>
      </c>
      <c r="K26" s="288">
        <f>SUMIFS('Master data'!$M$2:$M$296,'Master data'!$D$2:$D$296,$A26,'Master data'!$C$2:$C$296,K$3)</f>
        <v>0</v>
      </c>
      <c r="L26" s="288">
        <f>SUMIFS('Master data'!$M$2:$M$296,'Master data'!$D$2:$D$296,$A26,'Master data'!$C$2:$C$296,L$3)</f>
        <v>0</v>
      </c>
      <c r="M26" s="288">
        <f>SUMIFS('Master data'!$M$2:$M$296,'Master data'!$D$2:$D$296,$A26,'Master data'!$C$2:$C$296,M$3)</f>
        <v>0</v>
      </c>
      <c r="N26" s="298">
        <f t="shared" si="0"/>
        <v>1797276</v>
      </c>
    </row>
    <row r="27" spans="1:14" x14ac:dyDescent="0.35">
      <c r="A27" s="294" t="s">
        <v>1125</v>
      </c>
      <c r="B27" s="289">
        <f>SUMIFS('Master data'!$M$2:$M$296,'Master data'!$D$2:$D$296,$A27,'Master data'!$C$2:$C$296,B$3)</f>
        <v>0</v>
      </c>
      <c r="C27" s="289">
        <f>SUMIFS('Master data'!$M$2:$M$296,'Master data'!$D$2:$D$296,$A27,'Master data'!$C$2:$C$296,C$3)</f>
        <v>0</v>
      </c>
      <c r="D27" s="289">
        <f>SUMIFS('Master data'!$M$2:$M$296,'Master data'!$D$2:$D$296,$A27,'Master data'!$C$2:$C$296,D$3)</f>
        <v>0</v>
      </c>
      <c r="E27" s="289">
        <f>SUMIFS('Master data'!$M$2:$M$296,'Master data'!$D$2:$D$296,$A27,'Master data'!$C$2:$C$296,E$3)</f>
        <v>0</v>
      </c>
      <c r="F27" s="289">
        <f>SUMIFS('Master data'!$M$2:$M$296,'Master data'!$D$2:$D$296,$A27,'Master data'!$C$2:$C$296,F$3)</f>
        <v>0</v>
      </c>
      <c r="G27" s="289">
        <f>SUMIFS('Master data'!$M$2:$M$296,'Master data'!$D$2:$D$296,$A27,'Master data'!$C$2:$C$296,G$3)</f>
        <v>0</v>
      </c>
      <c r="H27" s="289">
        <f>SUMIFS('Master data'!$M$2:$M$296,'Master data'!$D$2:$D$296,$A27,'Master data'!$C$2:$C$296,H$3)</f>
        <v>0</v>
      </c>
      <c r="I27" s="289">
        <f>SUMIFS('Master data'!$M$2:$M$296,'Master data'!$D$2:$D$296,$A27,'Master data'!$C$2:$C$296,I$3)</f>
        <v>0</v>
      </c>
      <c r="J27" s="289">
        <f>SUMIFS('Master data'!$M$2:$M$296,'Master data'!$D$2:$D$296,$A27,'Master data'!$C$2:$C$296,J$3)</f>
        <v>0</v>
      </c>
      <c r="K27" s="289">
        <f>SUMIFS('Master data'!$M$2:$M$296,'Master data'!$D$2:$D$296,$A27,'Master data'!$C$2:$C$296,K$3)</f>
        <v>0</v>
      </c>
      <c r="L27" s="289">
        <f>SUMIFS('Master data'!$M$2:$M$296,'Master data'!$D$2:$D$296,$A27,'Master data'!$C$2:$C$296,L$3)</f>
        <v>0</v>
      </c>
      <c r="M27" s="289">
        <f>SUMIFS('Master data'!$M$2:$M$296,'Master data'!$D$2:$D$296,$A27,'Master data'!$C$2:$C$296,M$3)</f>
        <v>1134440</v>
      </c>
      <c r="N27" s="299">
        <f t="shared" si="0"/>
        <v>1134440</v>
      </c>
    </row>
    <row r="28" spans="1:14" x14ac:dyDescent="0.35">
      <c r="A28" s="293" t="s">
        <v>1156</v>
      </c>
      <c r="B28" s="288">
        <f>SUMIFS('Master data'!$M$2:$M$296,'Master data'!$D$2:$D$296,$A28,'Master data'!$C$2:$C$296,B$3)</f>
        <v>0</v>
      </c>
      <c r="C28" s="288">
        <f>SUMIFS('Master data'!$M$2:$M$296,'Master data'!$D$2:$D$296,$A28,'Master data'!$C$2:$C$296,C$3)</f>
        <v>0</v>
      </c>
      <c r="D28" s="288">
        <f>SUMIFS('Master data'!$M$2:$M$296,'Master data'!$D$2:$D$296,$A28,'Master data'!$C$2:$C$296,D$3)</f>
        <v>0</v>
      </c>
      <c r="E28" s="288">
        <f>SUMIFS('Master data'!$M$2:$M$296,'Master data'!$D$2:$D$296,$A28,'Master data'!$C$2:$C$296,E$3)</f>
        <v>4635288</v>
      </c>
      <c r="F28" s="288">
        <f>SUMIFS('Master data'!$M$2:$M$296,'Master data'!$D$2:$D$296,$A28,'Master data'!$C$2:$C$296,F$3)</f>
        <v>0</v>
      </c>
      <c r="G28" s="288">
        <f>SUMIFS('Master data'!$M$2:$M$296,'Master data'!$D$2:$D$296,$A28,'Master data'!$C$2:$C$296,G$3)</f>
        <v>0</v>
      </c>
      <c r="H28" s="288">
        <f>SUMIFS('Master data'!$M$2:$M$296,'Master data'!$D$2:$D$296,$A28,'Master data'!$C$2:$C$296,H$3)</f>
        <v>0</v>
      </c>
      <c r="I28" s="288">
        <f>SUMIFS('Master data'!$M$2:$M$296,'Master data'!$D$2:$D$296,$A28,'Master data'!$C$2:$C$296,I$3)</f>
        <v>0</v>
      </c>
      <c r="J28" s="288">
        <f>SUMIFS('Master data'!$M$2:$M$296,'Master data'!$D$2:$D$296,$A28,'Master data'!$C$2:$C$296,J$3)</f>
        <v>0</v>
      </c>
      <c r="K28" s="288">
        <f>SUMIFS('Master data'!$M$2:$M$296,'Master data'!$D$2:$D$296,$A28,'Master data'!$C$2:$C$296,K$3)</f>
        <v>0</v>
      </c>
      <c r="L28" s="288">
        <f>SUMIFS('Master data'!$M$2:$M$296,'Master data'!$D$2:$D$296,$A28,'Master data'!$C$2:$C$296,L$3)</f>
        <v>0</v>
      </c>
      <c r="M28" s="288">
        <f>SUMIFS('Master data'!$M$2:$M$296,'Master data'!$D$2:$D$296,$A28,'Master data'!$C$2:$C$296,M$3)</f>
        <v>0</v>
      </c>
      <c r="N28" s="298">
        <f t="shared" si="0"/>
        <v>4635288</v>
      </c>
    </row>
    <row r="29" spans="1:14" x14ac:dyDescent="0.35">
      <c r="A29" s="294" t="s">
        <v>1080</v>
      </c>
      <c r="B29" s="289">
        <f>SUMIFS('Master data'!$M$2:$M$296,'Master data'!$D$2:$D$296,$A29,'Master data'!$C$2:$C$296,B$3)</f>
        <v>15032265</v>
      </c>
      <c r="C29" s="289">
        <f>SUMIFS('Master data'!$M$2:$M$296,'Master data'!$D$2:$D$296,$A29,'Master data'!$C$2:$C$296,C$3)</f>
        <v>11536096</v>
      </c>
      <c r="D29" s="289">
        <f>SUMIFS('Master data'!$M$2:$M$296,'Master data'!$D$2:$D$296,$A29,'Master data'!$C$2:$C$296,D$3)</f>
        <v>0</v>
      </c>
      <c r="E29" s="289">
        <f>SUMIFS('Master data'!$M$2:$M$296,'Master data'!$D$2:$D$296,$A29,'Master data'!$C$2:$C$296,E$3)</f>
        <v>24171699</v>
      </c>
      <c r="F29" s="289">
        <f>SUMIFS('Master data'!$M$2:$M$296,'Master data'!$D$2:$D$296,$A29,'Master data'!$C$2:$C$296,F$3)</f>
        <v>0</v>
      </c>
      <c r="G29" s="289">
        <f>SUMIFS('Master data'!$M$2:$M$296,'Master data'!$D$2:$D$296,$A29,'Master data'!$C$2:$C$296,G$3)</f>
        <v>17642676</v>
      </c>
      <c r="H29" s="289">
        <f>SUMIFS('Master data'!$M$2:$M$296,'Master data'!$D$2:$D$296,$A29,'Master data'!$C$2:$C$296,H$3)</f>
        <v>18771986</v>
      </c>
      <c r="I29" s="289">
        <f>SUMIFS('Master data'!$M$2:$M$296,'Master data'!$D$2:$D$296,$A29,'Master data'!$C$2:$C$296,I$3)</f>
        <v>18251892</v>
      </c>
      <c r="J29" s="289">
        <f>SUMIFS('Master data'!$M$2:$M$296,'Master data'!$D$2:$D$296,$A29,'Master data'!$C$2:$C$296,J$3)</f>
        <v>10762649</v>
      </c>
      <c r="K29" s="289">
        <f>SUMIFS('Master data'!$M$2:$M$296,'Master data'!$D$2:$D$296,$A29,'Master data'!$C$2:$C$296,K$3)</f>
        <v>4605916</v>
      </c>
      <c r="L29" s="289">
        <f>SUMIFS('Master data'!$M$2:$M$296,'Master data'!$D$2:$D$296,$A29,'Master data'!$C$2:$C$296,L$3)</f>
        <v>25097581</v>
      </c>
      <c r="M29" s="289">
        <f>SUMIFS('Master data'!$M$2:$M$296,'Master data'!$D$2:$D$296,$A29,'Master data'!$C$2:$C$296,M$3)</f>
        <v>10357596</v>
      </c>
      <c r="N29" s="299">
        <f t="shared" si="0"/>
        <v>156230356</v>
      </c>
    </row>
    <row r="30" spans="1:14" x14ac:dyDescent="0.35">
      <c r="A30" s="293" t="s">
        <v>1140</v>
      </c>
      <c r="B30" s="288">
        <f>SUMIFS('Master data'!$M$2:$M$296,'Master data'!$D$2:$D$296,$A30,'Master data'!$C$2:$C$296,B$3)</f>
        <v>0</v>
      </c>
      <c r="C30" s="288">
        <f>SUMIFS('Master data'!$M$2:$M$296,'Master data'!$D$2:$D$296,$A30,'Master data'!$C$2:$C$296,C$3)</f>
        <v>0</v>
      </c>
      <c r="D30" s="288">
        <f>SUMIFS('Master data'!$M$2:$M$296,'Master data'!$D$2:$D$296,$A30,'Master data'!$C$2:$C$296,D$3)</f>
        <v>0</v>
      </c>
      <c r="E30" s="288">
        <f>SUMIFS('Master data'!$M$2:$M$296,'Master data'!$D$2:$D$296,$A30,'Master data'!$C$2:$C$296,E$3)</f>
        <v>0</v>
      </c>
      <c r="F30" s="288">
        <f>SUMIFS('Master data'!$M$2:$M$296,'Master data'!$D$2:$D$296,$A30,'Master data'!$C$2:$C$296,F$3)</f>
        <v>0</v>
      </c>
      <c r="G30" s="288">
        <f>SUMIFS('Master data'!$M$2:$M$296,'Master data'!$D$2:$D$296,$A30,'Master data'!$C$2:$C$296,G$3)</f>
        <v>0</v>
      </c>
      <c r="H30" s="288">
        <f>SUMIFS('Master data'!$M$2:$M$296,'Master data'!$D$2:$D$296,$A30,'Master data'!$C$2:$C$296,H$3)</f>
        <v>0</v>
      </c>
      <c r="I30" s="288">
        <f>SUMIFS('Master data'!$M$2:$M$296,'Master data'!$D$2:$D$296,$A30,'Master data'!$C$2:$C$296,I$3)</f>
        <v>0</v>
      </c>
      <c r="J30" s="288">
        <f>SUMIFS('Master data'!$M$2:$M$296,'Master data'!$D$2:$D$296,$A30,'Master data'!$C$2:$C$296,J$3)</f>
        <v>1528735</v>
      </c>
      <c r="K30" s="288">
        <f>SUMIFS('Master data'!$M$2:$M$296,'Master data'!$D$2:$D$296,$A30,'Master data'!$C$2:$C$296,K$3)</f>
        <v>0</v>
      </c>
      <c r="L30" s="288">
        <f>SUMIFS('Master data'!$M$2:$M$296,'Master data'!$D$2:$D$296,$A30,'Master data'!$C$2:$C$296,L$3)</f>
        <v>0</v>
      </c>
      <c r="M30" s="288">
        <f>SUMIFS('Master data'!$M$2:$M$296,'Master data'!$D$2:$D$296,$A30,'Master data'!$C$2:$C$296,M$3)</f>
        <v>0</v>
      </c>
      <c r="N30" s="298">
        <f t="shared" si="0"/>
        <v>1528735</v>
      </c>
    </row>
    <row r="31" spans="1:14" x14ac:dyDescent="0.35">
      <c r="A31" s="294" t="s">
        <v>1154</v>
      </c>
      <c r="B31" s="289">
        <f>SUMIFS('Master data'!$M$2:$M$296,'Master data'!$D$2:$D$296,$A31,'Master data'!$C$2:$C$296,B$3)</f>
        <v>4872609</v>
      </c>
      <c r="C31" s="289">
        <f>SUMIFS('Master data'!$M$2:$M$296,'Master data'!$D$2:$D$296,$A31,'Master data'!$C$2:$C$296,C$3)</f>
        <v>0</v>
      </c>
      <c r="D31" s="289">
        <f>SUMIFS('Master data'!$M$2:$M$296,'Master data'!$D$2:$D$296,$A31,'Master data'!$C$2:$C$296,D$3)</f>
        <v>0</v>
      </c>
      <c r="E31" s="289">
        <f>SUMIFS('Master data'!$M$2:$M$296,'Master data'!$D$2:$D$296,$A31,'Master data'!$C$2:$C$296,E$3)</f>
        <v>0</v>
      </c>
      <c r="F31" s="289">
        <f>SUMIFS('Master data'!$M$2:$M$296,'Master data'!$D$2:$D$296,$A31,'Master data'!$C$2:$C$296,F$3)</f>
        <v>0</v>
      </c>
      <c r="G31" s="289">
        <f>SUMIFS('Master data'!$M$2:$M$296,'Master data'!$D$2:$D$296,$A31,'Master data'!$C$2:$C$296,G$3)</f>
        <v>0</v>
      </c>
      <c r="H31" s="289">
        <f>SUMIFS('Master data'!$M$2:$M$296,'Master data'!$D$2:$D$296,$A31,'Master data'!$C$2:$C$296,H$3)</f>
        <v>0</v>
      </c>
      <c r="I31" s="289">
        <f>SUMIFS('Master data'!$M$2:$M$296,'Master data'!$D$2:$D$296,$A31,'Master data'!$C$2:$C$296,I$3)</f>
        <v>0</v>
      </c>
      <c r="J31" s="289">
        <f>SUMIFS('Master data'!$M$2:$M$296,'Master data'!$D$2:$D$296,$A31,'Master data'!$C$2:$C$296,J$3)</f>
        <v>0</v>
      </c>
      <c r="K31" s="289">
        <f>SUMIFS('Master data'!$M$2:$M$296,'Master data'!$D$2:$D$296,$A31,'Master data'!$C$2:$C$296,K$3)</f>
        <v>0</v>
      </c>
      <c r="L31" s="289">
        <f>SUMIFS('Master data'!$M$2:$M$296,'Master data'!$D$2:$D$296,$A31,'Master data'!$C$2:$C$296,L$3)</f>
        <v>0</v>
      </c>
      <c r="M31" s="289">
        <f>SUMIFS('Master data'!$M$2:$M$296,'Master data'!$D$2:$D$296,$A31,'Master data'!$C$2:$C$296,M$3)</f>
        <v>0</v>
      </c>
      <c r="N31" s="299">
        <f t="shared" si="0"/>
        <v>4872609</v>
      </c>
    </row>
    <row r="32" spans="1:14" x14ac:dyDescent="0.35">
      <c r="A32" s="293" t="s">
        <v>1111</v>
      </c>
      <c r="B32" s="288">
        <f>SUMIFS('Master data'!$M$2:$M$296,'Master data'!$D$2:$D$296,$A32,'Master data'!$C$2:$C$296,B$3)</f>
        <v>0</v>
      </c>
      <c r="C32" s="288">
        <f>SUMIFS('Master data'!$M$2:$M$296,'Master data'!$D$2:$D$296,$A32,'Master data'!$C$2:$C$296,C$3)</f>
        <v>0</v>
      </c>
      <c r="D32" s="288">
        <f>SUMIFS('Master data'!$M$2:$M$296,'Master data'!$D$2:$D$296,$A32,'Master data'!$C$2:$C$296,D$3)</f>
        <v>0</v>
      </c>
      <c r="E32" s="288">
        <f>SUMIFS('Master data'!$M$2:$M$296,'Master data'!$D$2:$D$296,$A32,'Master data'!$C$2:$C$296,E$3)</f>
        <v>0</v>
      </c>
      <c r="F32" s="288">
        <f>SUMIFS('Master data'!$M$2:$M$296,'Master data'!$D$2:$D$296,$A32,'Master data'!$C$2:$C$296,F$3)</f>
        <v>0</v>
      </c>
      <c r="G32" s="288">
        <f>SUMIFS('Master data'!$M$2:$M$296,'Master data'!$D$2:$D$296,$A32,'Master data'!$C$2:$C$296,G$3)</f>
        <v>0</v>
      </c>
      <c r="H32" s="288">
        <f>SUMIFS('Master data'!$M$2:$M$296,'Master data'!$D$2:$D$296,$A32,'Master data'!$C$2:$C$296,H$3)</f>
        <v>0</v>
      </c>
      <c r="I32" s="288">
        <f>SUMIFS('Master data'!$M$2:$M$296,'Master data'!$D$2:$D$296,$A32,'Master data'!$C$2:$C$296,I$3)</f>
        <v>6600182</v>
      </c>
      <c r="J32" s="288">
        <f>SUMIFS('Master data'!$M$2:$M$296,'Master data'!$D$2:$D$296,$A32,'Master data'!$C$2:$C$296,J$3)</f>
        <v>0</v>
      </c>
      <c r="K32" s="288">
        <f>SUMIFS('Master data'!$M$2:$M$296,'Master data'!$D$2:$D$296,$A32,'Master data'!$C$2:$C$296,K$3)</f>
        <v>0</v>
      </c>
      <c r="L32" s="288">
        <f>SUMIFS('Master data'!$M$2:$M$296,'Master data'!$D$2:$D$296,$A32,'Master data'!$C$2:$C$296,L$3)</f>
        <v>0</v>
      </c>
      <c r="M32" s="288">
        <f>SUMIFS('Master data'!$M$2:$M$296,'Master data'!$D$2:$D$296,$A32,'Master data'!$C$2:$C$296,M$3)</f>
        <v>0</v>
      </c>
      <c r="N32" s="298">
        <f t="shared" si="0"/>
        <v>6600182</v>
      </c>
    </row>
    <row r="33" spans="1:14" x14ac:dyDescent="0.35">
      <c r="A33" s="294" t="s">
        <v>1169</v>
      </c>
      <c r="B33" s="289">
        <f>SUMIFS('Master data'!$M$2:$M$296,'Master data'!$D$2:$D$296,$A33,'Master data'!$C$2:$C$296,B$3)</f>
        <v>0</v>
      </c>
      <c r="C33" s="289">
        <f>SUMIFS('Master data'!$M$2:$M$296,'Master data'!$D$2:$D$296,$A33,'Master data'!$C$2:$C$296,C$3)</f>
        <v>0</v>
      </c>
      <c r="D33" s="289">
        <f>SUMIFS('Master data'!$M$2:$M$296,'Master data'!$D$2:$D$296,$A33,'Master data'!$C$2:$C$296,D$3)</f>
        <v>0</v>
      </c>
      <c r="E33" s="289">
        <f>SUMIFS('Master data'!$M$2:$M$296,'Master data'!$D$2:$D$296,$A33,'Master data'!$C$2:$C$296,E$3)</f>
        <v>0</v>
      </c>
      <c r="F33" s="289">
        <f>SUMIFS('Master data'!$M$2:$M$296,'Master data'!$D$2:$D$296,$A33,'Master data'!$C$2:$C$296,F$3)</f>
        <v>0</v>
      </c>
      <c r="G33" s="289">
        <f>SUMIFS('Master data'!$M$2:$M$296,'Master data'!$D$2:$D$296,$A33,'Master data'!$C$2:$C$296,G$3)</f>
        <v>0</v>
      </c>
      <c r="H33" s="289">
        <f>SUMIFS('Master data'!$M$2:$M$296,'Master data'!$D$2:$D$296,$A33,'Master data'!$C$2:$C$296,H$3)</f>
        <v>0</v>
      </c>
      <c r="I33" s="289">
        <f>SUMIFS('Master data'!$M$2:$M$296,'Master data'!$D$2:$D$296,$A33,'Master data'!$C$2:$C$296,I$3)</f>
        <v>0</v>
      </c>
      <c r="J33" s="289">
        <f>SUMIFS('Master data'!$M$2:$M$296,'Master data'!$D$2:$D$296,$A33,'Master data'!$C$2:$C$296,J$3)</f>
        <v>0</v>
      </c>
      <c r="K33" s="289">
        <f>SUMIFS('Master data'!$M$2:$M$296,'Master data'!$D$2:$D$296,$A33,'Master data'!$C$2:$C$296,K$3)</f>
        <v>0</v>
      </c>
      <c r="L33" s="289">
        <f>SUMIFS('Master data'!$M$2:$M$296,'Master data'!$D$2:$D$296,$A33,'Master data'!$C$2:$C$296,L$3)</f>
        <v>0</v>
      </c>
      <c r="M33" s="289">
        <f>SUMIFS('Master data'!$M$2:$M$296,'Master data'!$D$2:$D$296,$A33,'Master data'!$C$2:$C$296,M$3)</f>
        <v>8314173</v>
      </c>
      <c r="N33" s="299">
        <f t="shared" si="0"/>
        <v>8314173</v>
      </c>
    </row>
    <row r="34" spans="1:14" x14ac:dyDescent="0.35">
      <c r="A34" s="293" t="s">
        <v>1124</v>
      </c>
      <c r="B34" s="288">
        <f>SUMIFS('Master data'!$M$2:$M$296,'Master data'!$D$2:$D$296,$A34,'Master data'!$C$2:$C$296,B$3)</f>
        <v>0</v>
      </c>
      <c r="C34" s="288">
        <f>SUMIFS('Master data'!$M$2:$M$296,'Master data'!$D$2:$D$296,$A34,'Master data'!$C$2:$C$296,C$3)</f>
        <v>0</v>
      </c>
      <c r="D34" s="288">
        <f>SUMIFS('Master data'!$M$2:$M$296,'Master data'!$D$2:$D$296,$A34,'Master data'!$C$2:$C$296,D$3)</f>
        <v>0</v>
      </c>
      <c r="E34" s="288">
        <f>SUMIFS('Master data'!$M$2:$M$296,'Master data'!$D$2:$D$296,$A34,'Master data'!$C$2:$C$296,E$3)</f>
        <v>0</v>
      </c>
      <c r="F34" s="288">
        <f>SUMIFS('Master data'!$M$2:$M$296,'Master data'!$D$2:$D$296,$A34,'Master data'!$C$2:$C$296,F$3)</f>
        <v>0</v>
      </c>
      <c r="G34" s="288">
        <f>SUMIFS('Master data'!$M$2:$M$296,'Master data'!$D$2:$D$296,$A34,'Master data'!$C$2:$C$296,G$3)</f>
        <v>0</v>
      </c>
      <c r="H34" s="288">
        <f>SUMIFS('Master data'!$M$2:$M$296,'Master data'!$D$2:$D$296,$A34,'Master data'!$C$2:$C$296,H$3)</f>
        <v>0</v>
      </c>
      <c r="I34" s="288">
        <f>SUMIFS('Master data'!$M$2:$M$296,'Master data'!$D$2:$D$296,$A34,'Master data'!$C$2:$C$296,I$3)</f>
        <v>2857995</v>
      </c>
      <c r="J34" s="288">
        <f>SUMIFS('Master data'!$M$2:$M$296,'Master data'!$D$2:$D$296,$A34,'Master data'!$C$2:$C$296,J$3)</f>
        <v>0</v>
      </c>
      <c r="K34" s="288">
        <f>SUMIFS('Master data'!$M$2:$M$296,'Master data'!$D$2:$D$296,$A34,'Master data'!$C$2:$C$296,K$3)</f>
        <v>0</v>
      </c>
      <c r="L34" s="288">
        <f>SUMIFS('Master data'!$M$2:$M$296,'Master data'!$D$2:$D$296,$A34,'Master data'!$C$2:$C$296,L$3)</f>
        <v>0</v>
      </c>
      <c r="M34" s="288">
        <f>SUMIFS('Master data'!$M$2:$M$296,'Master data'!$D$2:$D$296,$A34,'Master data'!$C$2:$C$296,M$3)</f>
        <v>0</v>
      </c>
      <c r="N34" s="298">
        <f t="shared" si="0"/>
        <v>2857995</v>
      </c>
    </row>
    <row r="35" spans="1:14" x14ac:dyDescent="0.35">
      <c r="A35" s="294" t="s">
        <v>1096</v>
      </c>
      <c r="B35" s="289">
        <f>SUMIFS('Master data'!$M$2:$M$296,'Master data'!$D$2:$D$296,$A35,'Master data'!$C$2:$C$296,B$3)</f>
        <v>0</v>
      </c>
      <c r="C35" s="289">
        <f>SUMIFS('Master data'!$M$2:$M$296,'Master data'!$D$2:$D$296,$A35,'Master data'!$C$2:$C$296,C$3)</f>
        <v>0</v>
      </c>
      <c r="D35" s="289">
        <f>SUMIFS('Master data'!$M$2:$M$296,'Master data'!$D$2:$D$296,$A35,'Master data'!$C$2:$C$296,D$3)</f>
        <v>0</v>
      </c>
      <c r="E35" s="289">
        <f>SUMIFS('Master data'!$M$2:$M$296,'Master data'!$D$2:$D$296,$A35,'Master data'!$C$2:$C$296,E$3)</f>
        <v>0</v>
      </c>
      <c r="F35" s="289">
        <f>SUMIFS('Master data'!$M$2:$M$296,'Master data'!$D$2:$D$296,$A35,'Master data'!$C$2:$C$296,F$3)</f>
        <v>0</v>
      </c>
      <c r="G35" s="289">
        <f>SUMIFS('Master data'!$M$2:$M$296,'Master data'!$D$2:$D$296,$A35,'Master data'!$C$2:$C$296,G$3)</f>
        <v>0</v>
      </c>
      <c r="H35" s="289">
        <f>SUMIFS('Master data'!$M$2:$M$296,'Master data'!$D$2:$D$296,$A35,'Master data'!$C$2:$C$296,H$3)</f>
        <v>0</v>
      </c>
      <c r="I35" s="289">
        <f>SUMIFS('Master data'!$M$2:$M$296,'Master data'!$D$2:$D$296,$A35,'Master data'!$C$2:$C$296,I$3)</f>
        <v>3735570</v>
      </c>
      <c r="J35" s="289">
        <f>SUMIFS('Master data'!$M$2:$M$296,'Master data'!$D$2:$D$296,$A35,'Master data'!$C$2:$C$296,J$3)</f>
        <v>0</v>
      </c>
      <c r="K35" s="289">
        <f>SUMIFS('Master data'!$M$2:$M$296,'Master data'!$D$2:$D$296,$A35,'Master data'!$C$2:$C$296,K$3)</f>
        <v>0</v>
      </c>
      <c r="L35" s="289">
        <f>SUMIFS('Master data'!$M$2:$M$296,'Master data'!$D$2:$D$296,$A35,'Master data'!$C$2:$C$296,L$3)</f>
        <v>0</v>
      </c>
      <c r="M35" s="289">
        <f>SUMIFS('Master data'!$M$2:$M$296,'Master data'!$D$2:$D$296,$A35,'Master data'!$C$2:$C$296,M$3)</f>
        <v>0</v>
      </c>
      <c r="N35" s="299">
        <f t="shared" si="0"/>
        <v>3735570</v>
      </c>
    </row>
    <row r="36" spans="1:14" x14ac:dyDescent="0.35">
      <c r="A36" s="293" t="s">
        <v>1021</v>
      </c>
      <c r="B36" s="288">
        <f>SUMIFS('Master data'!$M$2:$M$296,'Master data'!$D$2:$D$296,$A36,'Master data'!$C$2:$C$296,B$3)</f>
        <v>19568818</v>
      </c>
      <c r="C36" s="288">
        <f>SUMIFS('Master data'!$M$2:$M$296,'Master data'!$D$2:$D$296,$A36,'Master data'!$C$2:$C$296,C$3)</f>
        <v>16662614</v>
      </c>
      <c r="D36" s="288">
        <f>SUMIFS('Master data'!$M$2:$M$296,'Master data'!$D$2:$D$296,$A36,'Master data'!$C$2:$C$296,D$3)</f>
        <v>0</v>
      </c>
      <c r="E36" s="288">
        <f>SUMIFS('Master data'!$M$2:$M$296,'Master data'!$D$2:$D$296,$A36,'Master data'!$C$2:$C$296,E$3)</f>
        <v>9499806</v>
      </c>
      <c r="F36" s="288">
        <f>SUMIFS('Master data'!$M$2:$M$296,'Master data'!$D$2:$D$296,$A36,'Master data'!$C$2:$C$296,F$3)</f>
        <v>17420760</v>
      </c>
      <c r="G36" s="288">
        <f>SUMIFS('Master data'!$M$2:$M$296,'Master data'!$D$2:$D$296,$A36,'Master data'!$C$2:$C$296,G$3)</f>
        <v>7433712</v>
      </c>
      <c r="H36" s="288">
        <f>SUMIFS('Master data'!$M$2:$M$296,'Master data'!$D$2:$D$296,$A36,'Master data'!$C$2:$C$296,H$3)</f>
        <v>0</v>
      </c>
      <c r="I36" s="288">
        <f>SUMIFS('Master data'!$M$2:$M$296,'Master data'!$D$2:$D$296,$A36,'Master data'!$C$2:$C$296,I$3)</f>
        <v>0</v>
      </c>
      <c r="J36" s="288">
        <f>SUMIFS('Master data'!$M$2:$M$296,'Master data'!$D$2:$D$296,$A36,'Master data'!$C$2:$C$296,J$3)</f>
        <v>0</v>
      </c>
      <c r="K36" s="288">
        <f>SUMIFS('Master data'!$M$2:$M$296,'Master data'!$D$2:$D$296,$A36,'Master data'!$C$2:$C$296,K$3)</f>
        <v>4491136</v>
      </c>
      <c r="L36" s="288">
        <f>SUMIFS('Master data'!$M$2:$M$296,'Master data'!$D$2:$D$296,$A36,'Master data'!$C$2:$C$296,L$3)</f>
        <v>5512404</v>
      </c>
      <c r="M36" s="288">
        <f>SUMIFS('Master data'!$M$2:$M$296,'Master data'!$D$2:$D$296,$A36,'Master data'!$C$2:$C$296,M$3)</f>
        <v>9439416</v>
      </c>
      <c r="N36" s="298">
        <f t="shared" si="0"/>
        <v>90028666</v>
      </c>
    </row>
    <row r="37" spans="1:14" x14ac:dyDescent="0.35">
      <c r="A37" s="294" t="s">
        <v>1198</v>
      </c>
      <c r="B37" s="289">
        <f>SUMIFS('Master data'!$M$2:$M$296,'Master data'!$D$2:$D$296,$A37,'Master data'!$C$2:$C$296,B$3)</f>
        <v>0</v>
      </c>
      <c r="C37" s="289">
        <f>SUMIFS('Master data'!$M$2:$M$296,'Master data'!$D$2:$D$296,$A37,'Master data'!$C$2:$C$296,C$3)</f>
        <v>0</v>
      </c>
      <c r="D37" s="289">
        <f>SUMIFS('Master data'!$M$2:$M$296,'Master data'!$D$2:$D$296,$A37,'Master data'!$C$2:$C$296,D$3)</f>
        <v>0</v>
      </c>
      <c r="E37" s="289">
        <f>SUMIFS('Master data'!$M$2:$M$296,'Master data'!$D$2:$D$296,$A37,'Master data'!$C$2:$C$296,E$3)</f>
        <v>0</v>
      </c>
      <c r="F37" s="289">
        <f>SUMIFS('Master data'!$M$2:$M$296,'Master data'!$D$2:$D$296,$A37,'Master data'!$C$2:$C$296,F$3)</f>
        <v>0</v>
      </c>
      <c r="G37" s="289">
        <f>SUMIFS('Master data'!$M$2:$M$296,'Master data'!$D$2:$D$296,$A37,'Master data'!$C$2:$C$296,G$3)</f>
        <v>0</v>
      </c>
      <c r="H37" s="289">
        <f>SUMIFS('Master data'!$M$2:$M$296,'Master data'!$D$2:$D$296,$A37,'Master data'!$C$2:$C$296,H$3)</f>
        <v>0</v>
      </c>
      <c r="I37" s="289">
        <f>SUMIFS('Master data'!$M$2:$M$296,'Master data'!$D$2:$D$296,$A37,'Master data'!$C$2:$C$296,I$3)</f>
        <v>0</v>
      </c>
      <c r="J37" s="289">
        <f>SUMIFS('Master data'!$M$2:$M$296,'Master data'!$D$2:$D$296,$A37,'Master data'!$C$2:$C$296,J$3)</f>
        <v>0</v>
      </c>
      <c r="K37" s="289">
        <f>SUMIFS('Master data'!$M$2:$M$296,'Master data'!$D$2:$D$296,$A37,'Master data'!$C$2:$C$296,K$3)</f>
        <v>0</v>
      </c>
      <c r="L37" s="289">
        <f>SUMIFS('Master data'!$M$2:$M$296,'Master data'!$D$2:$D$296,$A37,'Master data'!$C$2:$C$296,L$3)</f>
        <v>3670800</v>
      </c>
      <c r="M37" s="289">
        <f>SUMIFS('Master data'!$M$2:$M$296,'Master data'!$D$2:$D$296,$A37,'Master data'!$C$2:$C$296,M$3)</f>
        <v>0</v>
      </c>
      <c r="N37" s="299">
        <f t="shared" si="0"/>
        <v>3670800</v>
      </c>
    </row>
    <row r="38" spans="1:14" x14ac:dyDescent="0.35">
      <c r="A38" s="293" t="s">
        <v>1236</v>
      </c>
      <c r="B38" s="288">
        <f>SUMIFS('Master data'!$M$2:$M$296,'Master data'!$D$2:$D$296,$A38,'Master data'!$C$2:$C$296,B$3)</f>
        <v>0</v>
      </c>
      <c r="C38" s="288">
        <f>SUMIFS('Master data'!$M$2:$M$296,'Master data'!$D$2:$D$296,$A38,'Master data'!$C$2:$C$296,C$3)</f>
        <v>0</v>
      </c>
      <c r="D38" s="288">
        <f>SUMIFS('Master data'!$M$2:$M$296,'Master data'!$D$2:$D$296,$A38,'Master data'!$C$2:$C$296,D$3)</f>
        <v>0</v>
      </c>
      <c r="E38" s="288">
        <f>SUMIFS('Master data'!$M$2:$M$296,'Master data'!$D$2:$D$296,$A38,'Master data'!$C$2:$C$296,E$3)</f>
        <v>0</v>
      </c>
      <c r="F38" s="288">
        <f>SUMIFS('Master data'!$M$2:$M$296,'Master data'!$D$2:$D$296,$A38,'Master data'!$C$2:$C$296,F$3)</f>
        <v>0</v>
      </c>
      <c r="G38" s="288">
        <f>SUMIFS('Master data'!$M$2:$M$296,'Master data'!$D$2:$D$296,$A38,'Master data'!$C$2:$C$296,G$3)</f>
        <v>0</v>
      </c>
      <c r="H38" s="288">
        <f>SUMIFS('Master data'!$M$2:$M$296,'Master data'!$D$2:$D$296,$A38,'Master data'!$C$2:$C$296,H$3)</f>
        <v>2695488</v>
      </c>
      <c r="I38" s="288">
        <f>SUMIFS('Master data'!$M$2:$M$296,'Master data'!$D$2:$D$296,$A38,'Master data'!$C$2:$C$296,I$3)</f>
        <v>0</v>
      </c>
      <c r="J38" s="288">
        <f>SUMIFS('Master data'!$M$2:$M$296,'Master data'!$D$2:$D$296,$A38,'Master data'!$C$2:$C$296,J$3)</f>
        <v>0</v>
      </c>
      <c r="K38" s="288">
        <f>SUMIFS('Master data'!$M$2:$M$296,'Master data'!$D$2:$D$296,$A38,'Master data'!$C$2:$C$296,K$3)</f>
        <v>0</v>
      </c>
      <c r="L38" s="288">
        <f>SUMIFS('Master data'!$M$2:$M$296,'Master data'!$D$2:$D$296,$A38,'Master data'!$C$2:$C$296,L$3)</f>
        <v>0</v>
      </c>
      <c r="M38" s="288">
        <f>SUMIFS('Master data'!$M$2:$M$296,'Master data'!$D$2:$D$296,$A38,'Master data'!$C$2:$C$296,M$3)</f>
        <v>0</v>
      </c>
      <c r="N38" s="298">
        <f t="shared" si="0"/>
        <v>2695488</v>
      </c>
    </row>
    <row r="39" spans="1:14" x14ac:dyDescent="0.35">
      <c r="A39" s="294" t="s">
        <v>1218</v>
      </c>
      <c r="B39" s="289">
        <f>SUMIFS('Master data'!$M$2:$M$296,'Master data'!$D$2:$D$296,$A39,'Master data'!$C$2:$C$296,B$3)</f>
        <v>0</v>
      </c>
      <c r="C39" s="289">
        <f>SUMIFS('Master data'!$M$2:$M$296,'Master data'!$D$2:$D$296,$A39,'Master data'!$C$2:$C$296,C$3)</f>
        <v>0</v>
      </c>
      <c r="D39" s="289">
        <f>SUMIFS('Master data'!$M$2:$M$296,'Master data'!$D$2:$D$296,$A39,'Master data'!$C$2:$C$296,D$3)</f>
        <v>0</v>
      </c>
      <c r="E39" s="289">
        <f>SUMIFS('Master data'!$M$2:$M$296,'Master data'!$D$2:$D$296,$A39,'Master data'!$C$2:$C$296,E$3)</f>
        <v>0</v>
      </c>
      <c r="F39" s="289">
        <f>SUMIFS('Master data'!$M$2:$M$296,'Master data'!$D$2:$D$296,$A39,'Master data'!$C$2:$C$296,F$3)</f>
        <v>0</v>
      </c>
      <c r="G39" s="289">
        <f>SUMIFS('Master data'!$M$2:$M$296,'Master data'!$D$2:$D$296,$A39,'Master data'!$C$2:$C$296,G$3)</f>
        <v>0</v>
      </c>
      <c r="H39" s="289">
        <f>SUMIFS('Master data'!$M$2:$M$296,'Master data'!$D$2:$D$296,$A39,'Master data'!$C$2:$C$296,H$3)</f>
        <v>0</v>
      </c>
      <c r="I39" s="289">
        <f>SUMIFS('Master data'!$M$2:$M$296,'Master data'!$D$2:$D$296,$A39,'Master data'!$C$2:$C$296,I$3)</f>
        <v>0</v>
      </c>
      <c r="J39" s="289">
        <f>SUMIFS('Master data'!$M$2:$M$296,'Master data'!$D$2:$D$296,$A39,'Master data'!$C$2:$C$296,J$3)</f>
        <v>0</v>
      </c>
      <c r="K39" s="289">
        <f>SUMIFS('Master data'!$M$2:$M$296,'Master data'!$D$2:$D$296,$A39,'Master data'!$C$2:$C$296,K$3)</f>
        <v>0</v>
      </c>
      <c r="L39" s="289">
        <f>SUMIFS('Master data'!$M$2:$M$296,'Master data'!$D$2:$D$296,$A39,'Master data'!$C$2:$C$296,L$3)</f>
        <v>0</v>
      </c>
      <c r="M39" s="289">
        <f>SUMIFS('Master data'!$M$2:$M$296,'Master data'!$D$2:$D$296,$A39,'Master data'!$C$2:$C$296,M$3)</f>
        <v>4713390</v>
      </c>
      <c r="N39" s="299">
        <f t="shared" si="0"/>
        <v>4713390</v>
      </c>
    </row>
    <row r="40" spans="1:14" x14ac:dyDescent="0.35">
      <c r="A40" s="293" t="s">
        <v>1208</v>
      </c>
      <c r="B40" s="288">
        <f>SUMIFS('Master data'!$M$2:$M$296,'Master data'!$D$2:$D$296,$A40,'Master data'!$C$2:$C$296,B$3)</f>
        <v>0</v>
      </c>
      <c r="C40" s="288">
        <f>SUMIFS('Master data'!$M$2:$M$296,'Master data'!$D$2:$D$296,$A40,'Master data'!$C$2:$C$296,C$3)</f>
        <v>0</v>
      </c>
      <c r="D40" s="288">
        <f>SUMIFS('Master data'!$M$2:$M$296,'Master data'!$D$2:$D$296,$A40,'Master data'!$C$2:$C$296,D$3)</f>
        <v>0</v>
      </c>
      <c r="E40" s="288">
        <f>SUMIFS('Master data'!$M$2:$M$296,'Master data'!$D$2:$D$296,$A40,'Master data'!$C$2:$C$296,E$3)</f>
        <v>0</v>
      </c>
      <c r="F40" s="288">
        <f>SUMIFS('Master data'!$M$2:$M$296,'Master data'!$D$2:$D$296,$A40,'Master data'!$C$2:$C$296,F$3)</f>
        <v>0</v>
      </c>
      <c r="G40" s="288">
        <f>SUMIFS('Master data'!$M$2:$M$296,'Master data'!$D$2:$D$296,$A40,'Master data'!$C$2:$C$296,G$3)</f>
        <v>0</v>
      </c>
      <c r="H40" s="288">
        <f>SUMIFS('Master data'!$M$2:$M$296,'Master data'!$D$2:$D$296,$A40,'Master data'!$C$2:$C$296,H$3)</f>
        <v>0</v>
      </c>
      <c r="I40" s="288">
        <f>SUMIFS('Master data'!$M$2:$M$296,'Master data'!$D$2:$D$296,$A40,'Master data'!$C$2:$C$296,I$3)</f>
        <v>0</v>
      </c>
      <c r="J40" s="288">
        <f>SUMIFS('Master data'!$M$2:$M$296,'Master data'!$D$2:$D$296,$A40,'Master data'!$C$2:$C$296,J$3)</f>
        <v>0</v>
      </c>
      <c r="K40" s="288">
        <f>SUMIFS('Master data'!$M$2:$M$296,'Master data'!$D$2:$D$296,$A40,'Master data'!$C$2:$C$296,K$3)</f>
        <v>2927020</v>
      </c>
      <c r="L40" s="288">
        <f>SUMIFS('Master data'!$M$2:$M$296,'Master data'!$D$2:$D$296,$A40,'Master data'!$C$2:$C$296,L$3)</f>
        <v>0</v>
      </c>
      <c r="M40" s="288">
        <f>SUMIFS('Master data'!$M$2:$M$296,'Master data'!$D$2:$D$296,$A40,'Master data'!$C$2:$C$296,M$3)</f>
        <v>0</v>
      </c>
      <c r="N40" s="298">
        <f t="shared" si="0"/>
        <v>2927020</v>
      </c>
    </row>
    <row r="41" spans="1:14" x14ac:dyDescent="0.35">
      <c r="A41" s="294" t="s">
        <v>1211</v>
      </c>
      <c r="B41" s="289">
        <f>SUMIFS('Master data'!$M$2:$M$296,'Master data'!$D$2:$D$296,$A41,'Master data'!$C$2:$C$296,B$3)</f>
        <v>0</v>
      </c>
      <c r="C41" s="289">
        <f>SUMIFS('Master data'!$M$2:$M$296,'Master data'!$D$2:$D$296,$A41,'Master data'!$C$2:$C$296,C$3)</f>
        <v>0</v>
      </c>
      <c r="D41" s="289">
        <f>SUMIFS('Master data'!$M$2:$M$296,'Master data'!$D$2:$D$296,$A41,'Master data'!$C$2:$C$296,D$3)</f>
        <v>0</v>
      </c>
      <c r="E41" s="289">
        <f>SUMIFS('Master data'!$M$2:$M$296,'Master data'!$D$2:$D$296,$A41,'Master data'!$C$2:$C$296,E$3)</f>
        <v>7271810</v>
      </c>
      <c r="F41" s="289">
        <f>SUMIFS('Master data'!$M$2:$M$296,'Master data'!$D$2:$D$296,$A41,'Master data'!$C$2:$C$296,F$3)</f>
        <v>0</v>
      </c>
      <c r="G41" s="289">
        <f>SUMIFS('Master data'!$M$2:$M$296,'Master data'!$D$2:$D$296,$A41,'Master data'!$C$2:$C$296,G$3)</f>
        <v>0</v>
      </c>
      <c r="H41" s="289">
        <f>SUMIFS('Master data'!$M$2:$M$296,'Master data'!$D$2:$D$296,$A41,'Master data'!$C$2:$C$296,H$3)</f>
        <v>0</v>
      </c>
      <c r="I41" s="289">
        <f>SUMIFS('Master data'!$M$2:$M$296,'Master data'!$D$2:$D$296,$A41,'Master data'!$C$2:$C$296,I$3)</f>
        <v>0</v>
      </c>
      <c r="J41" s="289">
        <f>SUMIFS('Master data'!$M$2:$M$296,'Master data'!$D$2:$D$296,$A41,'Master data'!$C$2:$C$296,J$3)</f>
        <v>0</v>
      </c>
      <c r="K41" s="289">
        <f>SUMIFS('Master data'!$M$2:$M$296,'Master data'!$D$2:$D$296,$A41,'Master data'!$C$2:$C$296,K$3)</f>
        <v>0</v>
      </c>
      <c r="L41" s="289">
        <f>SUMIFS('Master data'!$M$2:$M$296,'Master data'!$D$2:$D$296,$A41,'Master data'!$C$2:$C$296,L$3)</f>
        <v>0</v>
      </c>
      <c r="M41" s="289">
        <f>SUMIFS('Master data'!$M$2:$M$296,'Master data'!$D$2:$D$296,$A41,'Master data'!$C$2:$C$296,M$3)</f>
        <v>0</v>
      </c>
      <c r="N41" s="299">
        <f t="shared" si="0"/>
        <v>7271810</v>
      </c>
    </row>
    <row r="42" spans="1:14" x14ac:dyDescent="0.35">
      <c r="A42" s="293" t="s">
        <v>1229</v>
      </c>
      <c r="B42" s="288">
        <f>SUMIFS('Master data'!$M$2:$M$296,'Master data'!$D$2:$D$296,$A42,'Master data'!$C$2:$C$296,B$3)</f>
        <v>0</v>
      </c>
      <c r="C42" s="288">
        <f>SUMIFS('Master data'!$M$2:$M$296,'Master data'!$D$2:$D$296,$A42,'Master data'!$C$2:$C$296,C$3)</f>
        <v>0</v>
      </c>
      <c r="D42" s="288">
        <f>SUMIFS('Master data'!$M$2:$M$296,'Master data'!$D$2:$D$296,$A42,'Master data'!$C$2:$C$296,D$3)</f>
        <v>0</v>
      </c>
      <c r="E42" s="288">
        <f>SUMIFS('Master data'!$M$2:$M$296,'Master data'!$D$2:$D$296,$A42,'Master data'!$C$2:$C$296,E$3)</f>
        <v>0</v>
      </c>
      <c r="F42" s="288">
        <f>SUMIFS('Master data'!$M$2:$M$296,'Master data'!$D$2:$D$296,$A42,'Master data'!$C$2:$C$296,F$3)</f>
        <v>0</v>
      </c>
      <c r="G42" s="288">
        <f>SUMIFS('Master data'!$M$2:$M$296,'Master data'!$D$2:$D$296,$A42,'Master data'!$C$2:$C$296,G$3)</f>
        <v>0</v>
      </c>
      <c r="H42" s="288">
        <f>SUMIFS('Master data'!$M$2:$M$296,'Master data'!$D$2:$D$296,$A42,'Master data'!$C$2:$C$296,H$3)</f>
        <v>0</v>
      </c>
      <c r="I42" s="288">
        <f>SUMIFS('Master data'!$M$2:$M$296,'Master data'!$D$2:$D$296,$A42,'Master data'!$C$2:$C$296,I$3)</f>
        <v>5093820</v>
      </c>
      <c r="J42" s="288">
        <f>SUMIFS('Master data'!$M$2:$M$296,'Master data'!$D$2:$D$296,$A42,'Master data'!$C$2:$C$296,J$3)</f>
        <v>0</v>
      </c>
      <c r="K42" s="288">
        <f>SUMIFS('Master data'!$M$2:$M$296,'Master data'!$D$2:$D$296,$A42,'Master data'!$C$2:$C$296,K$3)</f>
        <v>0</v>
      </c>
      <c r="L42" s="288">
        <f>SUMIFS('Master data'!$M$2:$M$296,'Master data'!$D$2:$D$296,$A42,'Master data'!$C$2:$C$296,L$3)</f>
        <v>0</v>
      </c>
      <c r="M42" s="288">
        <f>SUMIFS('Master data'!$M$2:$M$296,'Master data'!$D$2:$D$296,$A42,'Master data'!$C$2:$C$296,M$3)</f>
        <v>0</v>
      </c>
      <c r="N42" s="298">
        <f t="shared" si="0"/>
        <v>5093820</v>
      </c>
    </row>
    <row r="43" spans="1:14" x14ac:dyDescent="0.35">
      <c r="A43" s="294" t="s">
        <v>1151</v>
      </c>
      <c r="B43" s="289">
        <f>SUMIFS('Master data'!$M$2:$M$296,'Master data'!$D$2:$D$296,$A43,'Master data'!$C$2:$C$296,B$3)</f>
        <v>0</v>
      </c>
      <c r="C43" s="289">
        <f>SUMIFS('Master data'!$M$2:$M$296,'Master data'!$D$2:$D$296,$A43,'Master data'!$C$2:$C$296,C$3)</f>
        <v>0</v>
      </c>
      <c r="D43" s="289">
        <f>SUMIFS('Master data'!$M$2:$M$296,'Master data'!$D$2:$D$296,$A43,'Master data'!$C$2:$C$296,D$3)</f>
        <v>0</v>
      </c>
      <c r="E43" s="289">
        <f>SUMIFS('Master data'!$M$2:$M$296,'Master data'!$D$2:$D$296,$A43,'Master data'!$C$2:$C$296,E$3)</f>
        <v>0</v>
      </c>
      <c r="F43" s="289">
        <f>SUMIFS('Master data'!$M$2:$M$296,'Master data'!$D$2:$D$296,$A43,'Master data'!$C$2:$C$296,F$3)</f>
        <v>0</v>
      </c>
      <c r="G43" s="289">
        <f>SUMIFS('Master data'!$M$2:$M$296,'Master data'!$D$2:$D$296,$A43,'Master data'!$C$2:$C$296,G$3)</f>
        <v>0</v>
      </c>
      <c r="H43" s="289">
        <f>SUMIFS('Master data'!$M$2:$M$296,'Master data'!$D$2:$D$296,$A43,'Master data'!$C$2:$C$296,H$3)</f>
        <v>0</v>
      </c>
      <c r="I43" s="289">
        <f>SUMIFS('Master data'!$M$2:$M$296,'Master data'!$D$2:$D$296,$A43,'Master data'!$C$2:$C$296,I$3)</f>
        <v>0</v>
      </c>
      <c r="J43" s="289">
        <f>SUMIFS('Master data'!$M$2:$M$296,'Master data'!$D$2:$D$296,$A43,'Master data'!$C$2:$C$296,J$3)</f>
        <v>0</v>
      </c>
      <c r="K43" s="289">
        <f>SUMIFS('Master data'!$M$2:$M$296,'Master data'!$D$2:$D$296,$A43,'Master data'!$C$2:$C$296,K$3)</f>
        <v>0</v>
      </c>
      <c r="L43" s="289">
        <f>SUMIFS('Master data'!$M$2:$M$296,'Master data'!$D$2:$D$296,$A43,'Master data'!$C$2:$C$296,L$3)</f>
        <v>0</v>
      </c>
      <c r="M43" s="289">
        <f>SUMIFS('Master data'!$M$2:$M$296,'Master data'!$D$2:$D$296,$A43,'Master data'!$C$2:$C$296,M$3)</f>
        <v>2672000</v>
      </c>
      <c r="N43" s="299">
        <f t="shared" si="0"/>
        <v>2672000</v>
      </c>
    </row>
    <row r="44" spans="1:14" x14ac:dyDescent="0.35">
      <c r="A44" s="293" t="s">
        <v>1179</v>
      </c>
      <c r="B44" s="288">
        <f>SUMIFS('Master data'!$M$2:$M$296,'Master data'!$D$2:$D$296,$A44,'Master data'!$C$2:$C$296,B$3)</f>
        <v>0</v>
      </c>
      <c r="C44" s="288">
        <f>SUMIFS('Master data'!$M$2:$M$296,'Master data'!$D$2:$D$296,$A44,'Master data'!$C$2:$C$296,C$3)</f>
        <v>0</v>
      </c>
      <c r="D44" s="288">
        <f>SUMIFS('Master data'!$M$2:$M$296,'Master data'!$D$2:$D$296,$A44,'Master data'!$C$2:$C$296,D$3)</f>
        <v>0</v>
      </c>
      <c r="E44" s="288">
        <f>SUMIFS('Master data'!$M$2:$M$296,'Master data'!$D$2:$D$296,$A44,'Master data'!$C$2:$C$296,E$3)</f>
        <v>0</v>
      </c>
      <c r="F44" s="288">
        <f>SUMIFS('Master data'!$M$2:$M$296,'Master data'!$D$2:$D$296,$A44,'Master data'!$C$2:$C$296,F$3)</f>
        <v>0</v>
      </c>
      <c r="G44" s="288">
        <f>SUMIFS('Master data'!$M$2:$M$296,'Master data'!$D$2:$D$296,$A44,'Master data'!$C$2:$C$296,G$3)</f>
        <v>0</v>
      </c>
      <c r="H44" s="288">
        <f>SUMIFS('Master data'!$M$2:$M$296,'Master data'!$D$2:$D$296,$A44,'Master data'!$C$2:$C$296,H$3)</f>
        <v>0</v>
      </c>
      <c r="I44" s="288">
        <f>SUMIFS('Master data'!$M$2:$M$296,'Master data'!$D$2:$D$296,$A44,'Master data'!$C$2:$C$296,I$3)</f>
        <v>0</v>
      </c>
      <c r="J44" s="288">
        <f>SUMIFS('Master data'!$M$2:$M$296,'Master data'!$D$2:$D$296,$A44,'Master data'!$C$2:$C$296,J$3)</f>
        <v>5592580</v>
      </c>
      <c r="K44" s="288">
        <f>SUMIFS('Master data'!$M$2:$M$296,'Master data'!$D$2:$D$296,$A44,'Master data'!$C$2:$C$296,K$3)</f>
        <v>0</v>
      </c>
      <c r="L44" s="288">
        <f>SUMIFS('Master data'!$M$2:$M$296,'Master data'!$D$2:$D$296,$A44,'Master data'!$C$2:$C$296,L$3)</f>
        <v>0</v>
      </c>
      <c r="M44" s="288">
        <f>SUMIFS('Master data'!$M$2:$M$296,'Master data'!$D$2:$D$296,$A44,'Master data'!$C$2:$C$296,M$3)</f>
        <v>0</v>
      </c>
      <c r="N44" s="298">
        <f t="shared" si="0"/>
        <v>5592580</v>
      </c>
    </row>
    <row r="45" spans="1:14" x14ac:dyDescent="0.35">
      <c r="A45" s="294" t="s">
        <v>1139</v>
      </c>
      <c r="B45" s="289">
        <f>SUMIFS('Master data'!$M$2:$M$296,'Master data'!$D$2:$D$296,$A45,'Master data'!$C$2:$C$296,B$3)</f>
        <v>0</v>
      </c>
      <c r="C45" s="289">
        <f>SUMIFS('Master data'!$M$2:$M$296,'Master data'!$D$2:$D$296,$A45,'Master data'!$C$2:$C$296,C$3)</f>
        <v>0</v>
      </c>
      <c r="D45" s="289">
        <f>SUMIFS('Master data'!$M$2:$M$296,'Master data'!$D$2:$D$296,$A45,'Master data'!$C$2:$C$296,D$3)</f>
        <v>0</v>
      </c>
      <c r="E45" s="289">
        <f>SUMIFS('Master data'!$M$2:$M$296,'Master data'!$D$2:$D$296,$A45,'Master data'!$C$2:$C$296,E$3)</f>
        <v>18067062</v>
      </c>
      <c r="F45" s="289">
        <f>SUMIFS('Master data'!$M$2:$M$296,'Master data'!$D$2:$D$296,$A45,'Master data'!$C$2:$C$296,F$3)</f>
        <v>0</v>
      </c>
      <c r="G45" s="289">
        <f>SUMIFS('Master data'!$M$2:$M$296,'Master data'!$D$2:$D$296,$A45,'Master data'!$C$2:$C$296,G$3)</f>
        <v>0</v>
      </c>
      <c r="H45" s="289">
        <f>SUMIFS('Master data'!$M$2:$M$296,'Master data'!$D$2:$D$296,$A45,'Master data'!$C$2:$C$296,H$3)</f>
        <v>0</v>
      </c>
      <c r="I45" s="289">
        <f>SUMIFS('Master data'!$M$2:$M$296,'Master data'!$D$2:$D$296,$A45,'Master data'!$C$2:$C$296,I$3)</f>
        <v>0</v>
      </c>
      <c r="J45" s="289">
        <f>SUMIFS('Master data'!$M$2:$M$296,'Master data'!$D$2:$D$296,$A45,'Master data'!$C$2:$C$296,J$3)</f>
        <v>0</v>
      </c>
      <c r="K45" s="289">
        <f>SUMIFS('Master data'!$M$2:$M$296,'Master data'!$D$2:$D$296,$A45,'Master data'!$C$2:$C$296,K$3)</f>
        <v>0</v>
      </c>
      <c r="L45" s="289">
        <f>SUMIFS('Master data'!$M$2:$M$296,'Master data'!$D$2:$D$296,$A45,'Master data'!$C$2:$C$296,L$3)</f>
        <v>0</v>
      </c>
      <c r="M45" s="289">
        <f>SUMIFS('Master data'!$M$2:$M$296,'Master data'!$D$2:$D$296,$A45,'Master data'!$C$2:$C$296,M$3)</f>
        <v>0</v>
      </c>
      <c r="N45" s="299">
        <f t="shared" si="0"/>
        <v>18067062</v>
      </c>
    </row>
    <row r="46" spans="1:14" x14ac:dyDescent="0.35">
      <c r="A46" s="293" t="s">
        <v>1189</v>
      </c>
      <c r="B46" s="288">
        <f>SUMIFS('Master data'!$M$2:$M$296,'Master data'!$D$2:$D$296,$A46,'Master data'!$C$2:$C$296,B$3)</f>
        <v>4124160</v>
      </c>
      <c r="C46" s="288">
        <f>SUMIFS('Master data'!$M$2:$M$296,'Master data'!$D$2:$D$296,$A46,'Master data'!$C$2:$C$296,C$3)</f>
        <v>0</v>
      </c>
      <c r="D46" s="288">
        <f>SUMIFS('Master data'!$M$2:$M$296,'Master data'!$D$2:$D$296,$A46,'Master data'!$C$2:$C$296,D$3)</f>
        <v>0</v>
      </c>
      <c r="E46" s="288">
        <f>SUMIFS('Master data'!$M$2:$M$296,'Master data'!$D$2:$D$296,$A46,'Master data'!$C$2:$C$296,E$3)</f>
        <v>0</v>
      </c>
      <c r="F46" s="288">
        <f>SUMIFS('Master data'!$M$2:$M$296,'Master data'!$D$2:$D$296,$A46,'Master data'!$C$2:$C$296,F$3)</f>
        <v>0</v>
      </c>
      <c r="G46" s="288">
        <f>SUMIFS('Master data'!$M$2:$M$296,'Master data'!$D$2:$D$296,$A46,'Master data'!$C$2:$C$296,G$3)</f>
        <v>0</v>
      </c>
      <c r="H46" s="288">
        <f>SUMIFS('Master data'!$M$2:$M$296,'Master data'!$D$2:$D$296,$A46,'Master data'!$C$2:$C$296,H$3)</f>
        <v>0</v>
      </c>
      <c r="I46" s="288">
        <f>SUMIFS('Master data'!$M$2:$M$296,'Master data'!$D$2:$D$296,$A46,'Master data'!$C$2:$C$296,I$3)</f>
        <v>0</v>
      </c>
      <c r="J46" s="288">
        <f>SUMIFS('Master data'!$M$2:$M$296,'Master data'!$D$2:$D$296,$A46,'Master data'!$C$2:$C$296,J$3)</f>
        <v>0</v>
      </c>
      <c r="K46" s="288">
        <f>SUMIFS('Master data'!$M$2:$M$296,'Master data'!$D$2:$D$296,$A46,'Master data'!$C$2:$C$296,K$3)</f>
        <v>0</v>
      </c>
      <c r="L46" s="288">
        <f>SUMIFS('Master data'!$M$2:$M$296,'Master data'!$D$2:$D$296,$A46,'Master data'!$C$2:$C$296,L$3)</f>
        <v>0</v>
      </c>
      <c r="M46" s="288">
        <f>SUMIFS('Master data'!$M$2:$M$296,'Master data'!$D$2:$D$296,$A46,'Master data'!$C$2:$C$296,M$3)</f>
        <v>0</v>
      </c>
      <c r="N46" s="298">
        <f t="shared" si="0"/>
        <v>4124160</v>
      </c>
    </row>
    <row r="47" spans="1:14" x14ac:dyDescent="0.35">
      <c r="A47" s="294" t="s">
        <v>1182</v>
      </c>
      <c r="B47" s="289">
        <f>SUMIFS('Master data'!$M$2:$M$296,'Master data'!$D$2:$D$296,$A47,'Master data'!$C$2:$C$296,B$3)</f>
        <v>0</v>
      </c>
      <c r="C47" s="289">
        <f>SUMIFS('Master data'!$M$2:$M$296,'Master data'!$D$2:$D$296,$A47,'Master data'!$C$2:$C$296,C$3)</f>
        <v>0</v>
      </c>
      <c r="D47" s="289">
        <f>SUMIFS('Master data'!$M$2:$M$296,'Master data'!$D$2:$D$296,$A47,'Master data'!$C$2:$C$296,D$3)</f>
        <v>0</v>
      </c>
      <c r="E47" s="289">
        <f>SUMIFS('Master data'!$M$2:$M$296,'Master data'!$D$2:$D$296,$A47,'Master data'!$C$2:$C$296,E$3)</f>
        <v>0</v>
      </c>
      <c r="F47" s="289">
        <f>SUMIFS('Master data'!$M$2:$M$296,'Master data'!$D$2:$D$296,$A47,'Master data'!$C$2:$C$296,F$3)</f>
        <v>0</v>
      </c>
      <c r="G47" s="289">
        <f>SUMIFS('Master data'!$M$2:$M$296,'Master data'!$D$2:$D$296,$A47,'Master data'!$C$2:$C$296,G$3)</f>
        <v>0</v>
      </c>
      <c r="H47" s="289">
        <f>SUMIFS('Master data'!$M$2:$M$296,'Master data'!$D$2:$D$296,$A47,'Master data'!$C$2:$C$296,H$3)</f>
        <v>7658672</v>
      </c>
      <c r="I47" s="289">
        <f>SUMIFS('Master data'!$M$2:$M$296,'Master data'!$D$2:$D$296,$A47,'Master data'!$C$2:$C$296,I$3)</f>
        <v>0</v>
      </c>
      <c r="J47" s="289">
        <f>SUMIFS('Master data'!$M$2:$M$296,'Master data'!$D$2:$D$296,$A47,'Master data'!$C$2:$C$296,J$3)</f>
        <v>0</v>
      </c>
      <c r="K47" s="289">
        <f>SUMIFS('Master data'!$M$2:$M$296,'Master data'!$D$2:$D$296,$A47,'Master data'!$C$2:$C$296,K$3)</f>
        <v>0</v>
      </c>
      <c r="L47" s="289">
        <f>SUMIFS('Master data'!$M$2:$M$296,'Master data'!$D$2:$D$296,$A47,'Master data'!$C$2:$C$296,L$3)</f>
        <v>0</v>
      </c>
      <c r="M47" s="289">
        <f>SUMIFS('Master data'!$M$2:$M$296,'Master data'!$D$2:$D$296,$A47,'Master data'!$C$2:$C$296,M$3)</f>
        <v>0</v>
      </c>
      <c r="N47" s="299">
        <f t="shared" si="0"/>
        <v>7658672</v>
      </c>
    </row>
    <row r="48" spans="1:14" x14ac:dyDescent="0.35">
      <c r="A48" s="293" t="s">
        <v>1145</v>
      </c>
      <c r="B48" s="288">
        <f>SUMIFS('Master data'!$M$2:$M$296,'Master data'!$D$2:$D$296,$A48,'Master data'!$C$2:$C$296,B$3)</f>
        <v>0</v>
      </c>
      <c r="C48" s="288">
        <f>SUMIFS('Master data'!$M$2:$M$296,'Master data'!$D$2:$D$296,$A48,'Master data'!$C$2:$C$296,C$3)</f>
        <v>0</v>
      </c>
      <c r="D48" s="288">
        <f>SUMIFS('Master data'!$M$2:$M$296,'Master data'!$D$2:$D$296,$A48,'Master data'!$C$2:$C$296,D$3)</f>
        <v>0</v>
      </c>
      <c r="E48" s="288">
        <f>SUMIFS('Master data'!$M$2:$M$296,'Master data'!$D$2:$D$296,$A48,'Master data'!$C$2:$C$296,E$3)</f>
        <v>0</v>
      </c>
      <c r="F48" s="288">
        <f>SUMIFS('Master data'!$M$2:$M$296,'Master data'!$D$2:$D$296,$A48,'Master data'!$C$2:$C$296,F$3)</f>
        <v>0</v>
      </c>
      <c r="G48" s="288">
        <f>SUMIFS('Master data'!$M$2:$M$296,'Master data'!$D$2:$D$296,$A48,'Master data'!$C$2:$C$296,G$3)</f>
        <v>0</v>
      </c>
      <c r="H48" s="288">
        <f>SUMIFS('Master data'!$M$2:$M$296,'Master data'!$D$2:$D$296,$A48,'Master data'!$C$2:$C$296,H$3)</f>
        <v>0</v>
      </c>
      <c r="I48" s="288">
        <f>SUMIFS('Master data'!$M$2:$M$296,'Master data'!$D$2:$D$296,$A48,'Master data'!$C$2:$C$296,I$3)</f>
        <v>0</v>
      </c>
      <c r="J48" s="288">
        <f>SUMIFS('Master data'!$M$2:$M$296,'Master data'!$D$2:$D$296,$A48,'Master data'!$C$2:$C$296,J$3)</f>
        <v>0</v>
      </c>
      <c r="K48" s="288">
        <f>SUMIFS('Master data'!$M$2:$M$296,'Master data'!$D$2:$D$296,$A48,'Master data'!$C$2:$C$296,K$3)</f>
        <v>0</v>
      </c>
      <c r="L48" s="288">
        <f>SUMIFS('Master data'!$M$2:$M$296,'Master data'!$D$2:$D$296,$A48,'Master data'!$C$2:$C$296,L$3)</f>
        <v>0</v>
      </c>
      <c r="M48" s="288">
        <f>SUMIFS('Master data'!$M$2:$M$296,'Master data'!$D$2:$D$296,$A48,'Master data'!$C$2:$C$296,M$3)</f>
        <v>4796908</v>
      </c>
      <c r="N48" s="298">
        <f t="shared" si="0"/>
        <v>4796908</v>
      </c>
    </row>
    <row r="49" spans="1:14" x14ac:dyDescent="0.35">
      <c r="A49" s="294" t="s">
        <v>1175</v>
      </c>
      <c r="B49" s="289">
        <f>SUMIFS('Master data'!$M$2:$M$296,'Master data'!$D$2:$D$296,$A49,'Master data'!$C$2:$C$296,B$3)</f>
        <v>0</v>
      </c>
      <c r="C49" s="289">
        <f>SUMIFS('Master data'!$M$2:$M$296,'Master data'!$D$2:$D$296,$A49,'Master data'!$C$2:$C$296,C$3)</f>
        <v>0</v>
      </c>
      <c r="D49" s="289">
        <f>SUMIFS('Master data'!$M$2:$M$296,'Master data'!$D$2:$D$296,$A49,'Master data'!$C$2:$C$296,D$3)</f>
        <v>0</v>
      </c>
      <c r="E49" s="289">
        <f>SUMIFS('Master data'!$M$2:$M$296,'Master data'!$D$2:$D$296,$A49,'Master data'!$C$2:$C$296,E$3)</f>
        <v>0</v>
      </c>
      <c r="F49" s="289">
        <f>SUMIFS('Master data'!$M$2:$M$296,'Master data'!$D$2:$D$296,$A49,'Master data'!$C$2:$C$296,F$3)</f>
        <v>0</v>
      </c>
      <c r="G49" s="289">
        <f>SUMIFS('Master data'!$M$2:$M$296,'Master data'!$D$2:$D$296,$A49,'Master data'!$C$2:$C$296,G$3)</f>
        <v>3667648</v>
      </c>
      <c r="H49" s="289">
        <f>SUMIFS('Master data'!$M$2:$M$296,'Master data'!$D$2:$D$296,$A49,'Master data'!$C$2:$C$296,H$3)</f>
        <v>0</v>
      </c>
      <c r="I49" s="289">
        <f>SUMIFS('Master data'!$M$2:$M$296,'Master data'!$D$2:$D$296,$A49,'Master data'!$C$2:$C$296,I$3)</f>
        <v>0</v>
      </c>
      <c r="J49" s="289">
        <f>SUMIFS('Master data'!$M$2:$M$296,'Master data'!$D$2:$D$296,$A49,'Master data'!$C$2:$C$296,J$3)</f>
        <v>0</v>
      </c>
      <c r="K49" s="289">
        <f>SUMIFS('Master data'!$M$2:$M$296,'Master data'!$D$2:$D$296,$A49,'Master data'!$C$2:$C$296,K$3)</f>
        <v>0</v>
      </c>
      <c r="L49" s="289">
        <f>SUMIFS('Master data'!$M$2:$M$296,'Master data'!$D$2:$D$296,$A49,'Master data'!$C$2:$C$296,L$3)</f>
        <v>0</v>
      </c>
      <c r="M49" s="289">
        <f>SUMIFS('Master data'!$M$2:$M$296,'Master data'!$D$2:$D$296,$A49,'Master data'!$C$2:$C$296,M$3)</f>
        <v>0</v>
      </c>
      <c r="N49" s="299">
        <f t="shared" si="0"/>
        <v>3667648</v>
      </c>
    </row>
    <row r="50" spans="1:14" x14ac:dyDescent="0.35">
      <c r="A50" s="293" t="s">
        <v>1117</v>
      </c>
      <c r="B50" s="288">
        <f>SUMIFS('Master data'!$M$2:$M$296,'Master data'!$D$2:$D$296,$A50,'Master data'!$C$2:$C$296,B$3)</f>
        <v>0</v>
      </c>
      <c r="C50" s="288">
        <f>SUMIFS('Master data'!$M$2:$M$296,'Master data'!$D$2:$D$296,$A50,'Master data'!$C$2:$C$296,C$3)</f>
        <v>0</v>
      </c>
      <c r="D50" s="288">
        <f>SUMIFS('Master data'!$M$2:$M$296,'Master data'!$D$2:$D$296,$A50,'Master data'!$C$2:$C$296,D$3)</f>
        <v>0</v>
      </c>
      <c r="E50" s="288">
        <f>SUMIFS('Master data'!$M$2:$M$296,'Master data'!$D$2:$D$296,$A50,'Master data'!$C$2:$C$296,E$3)</f>
        <v>0</v>
      </c>
      <c r="F50" s="288">
        <f>SUMIFS('Master data'!$M$2:$M$296,'Master data'!$D$2:$D$296,$A50,'Master data'!$C$2:$C$296,F$3)</f>
        <v>0</v>
      </c>
      <c r="G50" s="288">
        <f>SUMIFS('Master data'!$M$2:$M$296,'Master data'!$D$2:$D$296,$A50,'Master data'!$C$2:$C$296,G$3)</f>
        <v>0</v>
      </c>
      <c r="H50" s="288">
        <f>SUMIFS('Master data'!$M$2:$M$296,'Master data'!$D$2:$D$296,$A50,'Master data'!$C$2:$C$296,H$3)</f>
        <v>1091128</v>
      </c>
      <c r="I50" s="288">
        <f>SUMIFS('Master data'!$M$2:$M$296,'Master data'!$D$2:$D$296,$A50,'Master data'!$C$2:$C$296,I$3)</f>
        <v>0</v>
      </c>
      <c r="J50" s="288">
        <f>SUMIFS('Master data'!$M$2:$M$296,'Master data'!$D$2:$D$296,$A50,'Master data'!$C$2:$C$296,J$3)</f>
        <v>0</v>
      </c>
      <c r="K50" s="288">
        <f>SUMIFS('Master data'!$M$2:$M$296,'Master data'!$D$2:$D$296,$A50,'Master data'!$C$2:$C$296,K$3)</f>
        <v>0</v>
      </c>
      <c r="L50" s="288">
        <f>SUMIFS('Master data'!$M$2:$M$296,'Master data'!$D$2:$D$296,$A50,'Master data'!$C$2:$C$296,L$3)</f>
        <v>0</v>
      </c>
      <c r="M50" s="288">
        <f>SUMIFS('Master data'!$M$2:$M$296,'Master data'!$D$2:$D$296,$A50,'Master data'!$C$2:$C$296,M$3)</f>
        <v>0</v>
      </c>
      <c r="N50" s="298">
        <f t="shared" si="0"/>
        <v>1091128</v>
      </c>
    </row>
    <row r="51" spans="1:14" x14ac:dyDescent="0.35">
      <c r="A51" s="294" t="s">
        <v>1126</v>
      </c>
      <c r="B51" s="289">
        <f>SUMIFS('Master data'!$M$2:$M$296,'Master data'!$D$2:$D$296,$A51,'Master data'!$C$2:$C$296,B$3)</f>
        <v>0</v>
      </c>
      <c r="C51" s="289">
        <f>SUMIFS('Master data'!$M$2:$M$296,'Master data'!$D$2:$D$296,$A51,'Master data'!$C$2:$C$296,C$3)</f>
        <v>0</v>
      </c>
      <c r="D51" s="289">
        <f>SUMIFS('Master data'!$M$2:$M$296,'Master data'!$D$2:$D$296,$A51,'Master data'!$C$2:$C$296,D$3)</f>
        <v>0</v>
      </c>
      <c r="E51" s="289">
        <f>SUMIFS('Master data'!$M$2:$M$296,'Master data'!$D$2:$D$296,$A51,'Master data'!$C$2:$C$296,E$3)</f>
        <v>0</v>
      </c>
      <c r="F51" s="289">
        <f>SUMIFS('Master data'!$M$2:$M$296,'Master data'!$D$2:$D$296,$A51,'Master data'!$C$2:$C$296,F$3)</f>
        <v>0</v>
      </c>
      <c r="G51" s="289">
        <f>SUMIFS('Master data'!$M$2:$M$296,'Master data'!$D$2:$D$296,$A51,'Master data'!$C$2:$C$296,G$3)</f>
        <v>0</v>
      </c>
      <c r="H51" s="289">
        <f>SUMIFS('Master data'!$M$2:$M$296,'Master data'!$D$2:$D$296,$A51,'Master data'!$C$2:$C$296,H$3)</f>
        <v>4839324</v>
      </c>
      <c r="I51" s="289">
        <f>SUMIFS('Master data'!$M$2:$M$296,'Master data'!$D$2:$D$296,$A51,'Master data'!$C$2:$C$296,I$3)</f>
        <v>0</v>
      </c>
      <c r="J51" s="289">
        <f>SUMIFS('Master data'!$M$2:$M$296,'Master data'!$D$2:$D$296,$A51,'Master data'!$C$2:$C$296,J$3)</f>
        <v>0</v>
      </c>
      <c r="K51" s="289">
        <f>SUMIFS('Master data'!$M$2:$M$296,'Master data'!$D$2:$D$296,$A51,'Master data'!$C$2:$C$296,K$3)</f>
        <v>0</v>
      </c>
      <c r="L51" s="289">
        <f>SUMIFS('Master data'!$M$2:$M$296,'Master data'!$D$2:$D$296,$A51,'Master data'!$C$2:$C$296,L$3)</f>
        <v>0</v>
      </c>
      <c r="M51" s="289">
        <f>SUMIFS('Master data'!$M$2:$M$296,'Master data'!$D$2:$D$296,$A51,'Master data'!$C$2:$C$296,M$3)</f>
        <v>0</v>
      </c>
      <c r="N51" s="299">
        <f t="shared" si="0"/>
        <v>4839324</v>
      </c>
    </row>
    <row r="52" spans="1:14" x14ac:dyDescent="0.35">
      <c r="A52" s="293" t="s">
        <v>1159</v>
      </c>
      <c r="B52" s="288">
        <f>SUMIFS('Master data'!$M$2:$M$296,'Master data'!$D$2:$D$296,$A52,'Master data'!$C$2:$C$296,B$3)</f>
        <v>0</v>
      </c>
      <c r="C52" s="288">
        <f>SUMIFS('Master data'!$M$2:$M$296,'Master data'!$D$2:$D$296,$A52,'Master data'!$C$2:$C$296,C$3)</f>
        <v>4704803</v>
      </c>
      <c r="D52" s="288">
        <f>SUMIFS('Master data'!$M$2:$M$296,'Master data'!$D$2:$D$296,$A52,'Master data'!$C$2:$C$296,D$3)</f>
        <v>0</v>
      </c>
      <c r="E52" s="288">
        <f>SUMIFS('Master data'!$M$2:$M$296,'Master data'!$D$2:$D$296,$A52,'Master data'!$C$2:$C$296,E$3)</f>
        <v>0</v>
      </c>
      <c r="F52" s="288">
        <f>SUMIFS('Master data'!$M$2:$M$296,'Master data'!$D$2:$D$296,$A52,'Master data'!$C$2:$C$296,F$3)</f>
        <v>0</v>
      </c>
      <c r="G52" s="288">
        <f>SUMIFS('Master data'!$M$2:$M$296,'Master data'!$D$2:$D$296,$A52,'Master data'!$C$2:$C$296,G$3)</f>
        <v>0</v>
      </c>
      <c r="H52" s="288">
        <f>SUMIFS('Master data'!$M$2:$M$296,'Master data'!$D$2:$D$296,$A52,'Master data'!$C$2:$C$296,H$3)</f>
        <v>0</v>
      </c>
      <c r="I52" s="288">
        <f>SUMIFS('Master data'!$M$2:$M$296,'Master data'!$D$2:$D$296,$A52,'Master data'!$C$2:$C$296,I$3)</f>
        <v>0</v>
      </c>
      <c r="J52" s="288">
        <f>SUMIFS('Master data'!$M$2:$M$296,'Master data'!$D$2:$D$296,$A52,'Master data'!$C$2:$C$296,J$3)</f>
        <v>0</v>
      </c>
      <c r="K52" s="288">
        <f>SUMIFS('Master data'!$M$2:$M$296,'Master data'!$D$2:$D$296,$A52,'Master data'!$C$2:$C$296,K$3)</f>
        <v>0</v>
      </c>
      <c r="L52" s="288">
        <f>SUMIFS('Master data'!$M$2:$M$296,'Master data'!$D$2:$D$296,$A52,'Master data'!$C$2:$C$296,L$3)</f>
        <v>0</v>
      </c>
      <c r="M52" s="288">
        <f>SUMIFS('Master data'!$M$2:$M$296,'Master data'!$D$2:$D$296,$A52,'Master data'!$C$2:$C$296,M$3)</f>
        <v>0</v>
      </c>
      <c r="N52" s="298">
        <f t="shared" si="0"/>
        <v>4704803</v>
      </c>
    </row>
    <row r="53" spans="1:14" x14ac:dyDescent="0.35">
      <c r="A53" s="294" t="s">
        <v>1142</v>
      </c>
      <c r="B53" s="289">
        <f>SUMIFS('Master data'!$M$2:$M$296,'Master data'!$D$2:$D$296,$A53,'Master data'!$C$2:$C$296,B$3)</f>
        <v>0</v>
      </c>
      <c r="C53" s="289">
        <f>SUMIFS('Master data'!$M$2:$M$296,'Master data'!$D$2:$D$296,$A53,'Master data'!$C$2:$C$296,C$3)</f>
        <v>2671306</v>
      </c>
      <c r="D53" s="289">
        <f>SUMIFS('Master data'!$M$2:$M$296,'Master data'!$D$2:$D$296,$A53,'Master data'!$C$2:$C$296,D$3)</f>
        <v>0</v>
      </c>
      <c r="E53" s="289">
        <f>SUMIFS('Master data'!$M$2:$M$296,'Master data'!$D$2:$D$296,$A53,'Master data'!$C$2:$C$296,E$3)</f>
        <v>0</v>
      </c>
      <c r="F53" s="289">
        <f>SUMIFS('Master data'!$M$2:$M$296,'Master data'!$D$2:$D$296,$A53,'Master data'!$C$2:$C$296,F$3)</f>
        <v>0</v>
      </c>
      <c r="G53" s="289">
        <f>SUMIFS('Master data'!$M$2:$M$296,'Master data'!$D$2:$D$296,$A53,'Master data'!$C$2:$C$296,G$3)</f>
        <v>0</v>
      </c>
      <c r="H53" s="289">
        <f>SUMIFS('Master data'!$M$2:$M$296,'Master data'!$D$2:$D$296,$A53,'Master data'!$C$2:$C$296,H$3)</f>
        <v>0</v>
      </c>
      <c r="I53" s="289">
        <f>SUMIFS('Master data'!$M$2:$M$296,'Master data'!$D$2:$D$296,$A53,'Master data'!$C$2:$C$296,I$3)</f>
        <v>0</v>
      </c>
      <c r="J53" s="289">
        <f>SUMIFS('Master data'!$M$2:$M$296,'Master data'!$D$2:$D$296,$A53,'Master data'!$C$2:$C$296,J$3)</f>
        <v>0</v>
      </c>
      <c r="K53" s="289">
        <f>SUMIFS('Master data'!$M$2:$M$296,'Master data'!$D$2:$D$296,$A53,'Master data'!$C$2:$C$296,K$3)</f>
        <v>0</v>
      </c>
      <c r="L53" s="289">
        <f>SUMIFS('Master data'!$M$2:$M$296,'Master data'!$D$2:$D$296,$A53,'Master data'!$C$2:$C$296,L$3)</f>
        <v>0</v>
      </c>
      <c r="M53" s="289">
        <f>SUMIFS('Master data'!$M$2:$M$296,'Master data'!$D$2:$D$296,$A53,'Master data'!$C$2:$C$296,M$3)</f>
        <v>0</v>
      </c>
      <c r="N53" s="299">
        <f t="shared" si="0"/>
        <v>2671306</v>
      </c>
    </row>
    <row r="54" spans="1:14" x14ac:dyDescent="0.35">
      <c r="A54" s="293" t="s">
        <v>1191</v>
      </c>
      <c r="B54" s="288">
        <f>SUMIFS('Master data'!$M$2:$M$296,'Master data'!$D$2:$D$296,$A54,'Master data'!$C$2:$C$296,B$3)</f>
        <v>0</v>
      </c>
      <c r="C54" s="288">
        <f>SUMIFS('Master data'!$M$2:$M$296,'Master data'!$D$2:$D$296,$A54,'Master data'!$C$2:$C$296,C$3)</f>
        <v>6334720</v>
      </c>
      <c r="D54" s="288">
        <f>SUMIFS('Master data'!$M$2:$M$296,'Master data'!$D$2:$D$296,$A54,'Master data'!$C$2:$C$296,D$3)</f>
        <v>0</v>
      </c>
      <c r="E54" s="288">
        <f>SUMIFS('Master data'!$M$2:$M$296,'Master data'!$D$2:$D$296,$A54,'Master data'!$C$2:$C$296,E$3)</f>
        <v>0</v>
      </c>
      <c r="F54" s="288">
        <f>SUMIFS('Master data'!$M$2:$M$296,'Master data'!$D$2:$D$296,$A54,'Master data'!$C$2:$C$296,F$3)</f>
        <v>0</v>
      </c>
      <c r="G54" s="288">
        <f>SUMIFS('Master data'!$M$2:$M$296,'Master data'!$D$2:$D$296,$A54,'Master data'!$C$2:$C$296,G$3)</f>
        <v>0</v>
      </c>
      <c r="H54" s="288">
        <f>SUMIFS('Master data'!$M$2:$M$296,'Master data'!$D$2:$D$296,$A54,'Master data'!$C$2:$C$296,H$3)</f>
        <v>0</v>
      </c>
      <c r="I54" s="288">
        <f>SUMIFS('Master data'!$M$2:$M$296,'Master data'!$D$2:$D$296,$A54,'Master data'!$C$2:$C$296,I$3)</f>
        <v>0</v>
      </c>
      <c r="J54" s="288">
        <f>SUMIFS('Master data'!$M$2:$M$296,'Master data'!$D$2:$D$296,$A54,'Master data'!$C$2:$C$296,J$3)</f>
        <v>0</v>
      </c>
      <c r="K54" s="288">
        <f>SUMIFS('Master data'!$M$2:$M$296,'Master data'!$D$2:$D$296,$A54,'Master data'!$C$2:$C$296,K$3)</f>
        <v>0</v>
      </c>
      <c r="L54" s="288">
        <f>SUMIFS('Master data'!$M$2:$M$296,'Master data'!$D$2:$D$296,$A54,'Master data'!$C$2:$C$296,L$3)</f>
        <v>0</v>
      </c>
      <c r="M54" s="288">
        <f>SUMIFS('Master data'!$M$2:$M$296,'Master data'!$D$2:$D$296,$A54,'Master data'!$C$2:$C$296,M$3)</f>
        <v>0</v>
      </c>
      <c r="N54" s="298">
        <f t="shared" si="0"/>
        <v>6334720</v>
      </c>
    </row>
    <row r="55" spans="1:14" x14ac:dyDescent="0.35">
      <c r="A55" s="294" t="s">
        <v>1149</v>
      </c>
      <c r="B55" s="289">
        <f>SUMIFS('Master data'!$M$2:$M$296,'Master data'!$D$2:$D$296,$A55,'Master data'!$C$2:$C$296,B$3)</f>
        <v>0</v>
      </c>
      <c r="C55" s="289">
        <f>SUMIFS('Master data'!$M$2:$M$296,'Master data'!$D$2:$D$296,$A55,'Master data'!$C$2:$C$296,C$3)</f>
        <v>0</v>
      </c>
      <c r="D55" s="289">
        <f>SUMIFS('Master data'!$M$2:$M$296,'Master data'!$D$2:$D$296,$A55,'Master data'!$C$2:$C$296,D$3)</f>
        <v>0</v>
      </c>
      <c r="E55" s="289">
        <f>SUMIFS('Master data'!$M$2:$M$296,'Master data'!$D$2:$D$296,$A55,'Master data'!$C$2:$C$296,E$3)</f>
        <v>0</v>
      </c>
      <c r="F55" s="289">
        <f>SUMIFS('Master data'!$M$2:$M$296,'Master data'!$D$2:$D$296,$A55,'Master data'!$C$2:$C$296,F$3)</f>
        <v>0</v>
      </c>
      <c r="G55" s="289">
        <f>SUMIFS('Master data'!$M$2:$M$296,'Master data'!$D$2:$D$296,$A55,'Master data'!$C$2:$C$296,G$3)</f>
        <v>0</v>
      </c>
      <c r="H55" s="289">
        <f>SUMIFS('Master data'!$M$2:$M$296,'Master data'!$D$2:$D$296,$A55,'Master data'!$C$2:$C$296,H$3)</f>
        <v>0</v>
      </c>
      <c r="I55" s="289">
        <f>SUMIFS('Master data'!$M$2:$M$296,'Master data'!$D$2:$D$296,$A55,'Master data'!$C$2:$C$296,I$3)</f>
        <v>0</v>
      </c>
      <c r="J55" s="289">
        <f>SUMIFS('Master data'!$M$2:$M$296,'Master data'!$D$2:$D$296,$A55,'Master data'!$C$2:$C$296,J$3)</f>
        <v>0</v>
      </c>
      <c r="K55" s="289">
        <f>SUMIFS('Master data'!$M$2:$M$296,'Master data'!$D$2:$D$296,$A55,'Master data'!$C$2:$C$296,K$3)</f>
        <v>5255244</v>
      </c>
      <c r="L55" s="289">
        <f>SUMIFS('Master data'!$M$2:$M$296,'Master data'!$D$2:$D$296,$A55,'Master data'!$C$2:$C$296,L$3)</f>
        <v>0</v>
      </c>
      <c r="M55" s="289">
        <f>SUMIFS('Master data'!$M$2:$M$296,'Master data'!$D$2:$D$296,$A55,'Master data'!$C$2:$C$296,M$3)</f>
        <v>0</v>
      </c>
      <c r="N55" s="299">
        <f t="shared" si="0"/>
        <v>5255244</v>
      </c>
    </row>
    <row r="56" spans="1:14" x14ac:dyDescent="0.35">
      <c r="A56" s="293" t="s">
        <v>1240</v>
      </c>
      <c r="B56" s="288">
        <f>SUMIFS('Master data'!$M$2:$M$296,'Master data'!$D$2:$D$296,$A56,'Master data'!$C$2:$C$296,B$3)</f>
        <v>0</v>
      </c>
      <c r="C56" s="288">
        <f>SUMIFS('Master data'!$M$2:$M$296,'Master data'!$D$2:$D$296,$A56,'Master data'!$C$2:$C$296,C$3)</f>
        <v>0</v>
      </c>
      <c r="D56" s="288">
        <f>SUMIFS('Master data'!$M$2:$M$296,'Master data'!$D$2:$D$296,$A56,'Master data'!$C$2:$C$296,D$3)</f>
        <v>0</v>
      </c>
      <c r="E56" s="288">
        <f>SUMIFS('Master data'!$M$2:$M$296,'Master data'!$D$2:$D$296,$A56,'Master data'!$C$2:$C$296,E$3)</f>
        <v>0</v>
      </c>
      <c r="F56" s="288">
        <f>SUMIFS('Master data'!$M$2:$M$296,'Master data'!$D$2:$D$296,$A56,'Master data'!$C$2:$C$296,F$3)</f>
        <v>0</v>
      </c>
      <c r="G56" s="288">
        <f>SUMIFS('Master data'!$M$2:$M$296,'Master data'!$D$2:$D$296,$A56,'Master data'!$C$2:$C$296,G$3)</f>
        <v>3425638</v>
      </c>
      <c r="H56" s="288">
        <f>SUMIFS('Master data'!$M$2:$M$296,'Master data'!$D$2:$D$296,$A56,'Master data'!$C$2:$C$296,H$3)</f>
        <v>0</v>
      </c>
      <c r="I56" s="288">
        <f>SUMIFS('Master data'!$M$2:$M$296,'Master data'!$D$2:$D$296,$A56,'Master data'!$C$2:$C$296,I$3)</f>
        <v>0</v>
      </c>
      <c r="J56" s="288">
        <f>SUMIFS('Master data'!$M$2:$M$296,'Master data'!$D$2:$D$296,$A56,'Master data'!$C$2:$C$296,J$3)</f>
        <v>0</v>
      </c>
      <c r="K56" s="288">
        <f>SUMIFS('Master data'!$M$2:$M$296,'Master data'!$D$2:$D$296,$A56,'Master data'!$C$2:$C$296,K$3)</f>
        <v>0</v>
      </c>
      <c r="L56" s="288">
        <f>SUMIFS('Master data'!$M$2:$M$296,'Master data'!$D$2:$D$296,$A56,'Master data'!$C$2:$C$296,L$3)</f>
        <v>0</v>
      </c>
      <c r="M56" s="288">
        <f>SUMIFS('Master data'!$M$2:$M$296,'Master data'!$D$2:$D$296,$A56,'Master data'!$C$2:$C$296,M$3)</f>
        <v>0</v>
      </c>
      <c r="N56" s="298">
        <f t="shared" si="0"/>
        <v>3425638</v>
      </c>
    </row>
    <row r="57" spans="1:14" x14ac:dyDescent="0.35">
      <c r="A57" s="294" t="s">
        <v>1215</v>
      </c>
      <c r="B57" s="289">
        <f>SUMIFS('Master data'!$M$2:$M$296,'Master data'!$D$2:$D$296,$A57,'Master data'!$C$2:$C$296,B$3)</f>
        <v>0</v>
      </c>
      <c r="C57" s="289">
        <f>SUMIFS('Master data'!$M$2:$M$296,'Master data'!$D$2:$D$296,$A57,'Master data'!$C$2:$C$296,C$3)</f>
        <v>0</v>
      </c>
      <c r="D57" s="289">
        <f>SUMIFS('Master data'!$M$2:$M$296,'Master data'!$D$2:$D$296,$A57,'Master data'!$C$2:$C$296,D$3)</f>
        <v>0</v>
      </c>
      <c r="E57" s="289">
        <f>SUMIFS('Master data'!$M$2:$M$296,'Master data'!$D$2:$D$296,$A57,'Master data'!$C$2:$C$296,E$3)</f>
        <v>1862499</v>
      </c>
      <c r="F57" s="289">
        <f>SUMIFS('Master data'!$M$2:$M$296,'Master data'!$D$2:$D$296,$A57,'Master data'!$C$2:$C$296,F$3)</f>
        <v>0</v>
      </c>
      <c r="G57" s="289">
        <f>SUMIFS('Master data'!$M$2:$M$296,'Master data'!$D$2:$D$296,$A57,'Master data'!$C$2:$C$296,G$3)</f>
        <v>0</v>
      </c>
      <c r="H57" s="289">
        <f>SUMIFS('Master data'!$M$2:$M$296,'Master data'!$D$2:$D$296,$A57,'Master data'!$C$2:$C$296,H$3)</f>
        <v>0</v>
      </c>
      <c r="I57" s="289">
        <f>SUMIFS('Master data'!$M$2:$M$296,'Master data'!$D$2:$D$296,$A57,'Master data'!$C$2:$C$296,I$3)</f>
        <v>0</v>
      </c>
      <c r="J57" s="289">
        <f>SUMIFS('Master data'!$M$2:$M$296,'Master data'!$D$2:$D$296,$A57,'Master data'!$C$2:$C$296,J$3)</f>
        <v>0</v>
      </c>
      <c r="K57" s="289">
        <f>SUMIFS('Master data'!$M$2:$M$296,'Master data'!$D$2:$D$296,$A57,'Master data'!$C$2:$C$296,K$3)</f>
        <v>0</v>
      </c>
      <c r="L57" s="289">
        <f>SUMIFS('Master data'!$M$2:$M$296,'Master data'!$D$2:$D$296,$A57,'Master data'!$C$2:$C$296,L$3)</f>
        <v>0</v>
      </c>
      <c r="M57" s="289">
        <f>SUMIFS('Master data'!$M$2:$M$296,'Master data'!$D$2:$D$296,$A57,'Master data'!$C$2:$C$296,M$3)</f>
        <v>0</v>
      </c>
      <c r="N57" s="299">
        <f t="shared" si="0"/>
        <v>1862499</v>
      </c>
    </row>
    <row r="58" spans="1:14" x14ac:dyDescent="0.35">
      <c r="A58" s="293" t="s">
        <v>1128</v>
      </c>
      <c r="B58" s="288">
        <f>SUMIFS('Master data'!$M$2:$M$296,'Master data'!$D$2:$D$296,$A58,'Master data'!$C$2:$C$296,B$3)</f>
        <v>5215104</v>
      </c>
      <c r="C58" s="288">
        <f>SUMIFS('Master data'!$M$2:$M$296,'Master data'!$D$2:$D$296,$A58,'Master data'!$C$2:$C$296,C$3)</f>
        <v>0</v>
      </c>
      <c r="D58" s="288">
        <f>SUMIFS('Master data'!$M$2:$M$296,'Master data'!$D$2:$D$296,$A58,'Master data'!$C$2:$C$296,D$3)</f>
        <v>0</v>
      </c>
      <c r="E58" s="288">
        <f>SUMIFS('Master data'!$M$2:$M$296,'Master data'!$D$2:$D$296,$A58,'Master data'!$C$2:$C$296,E$3)</f>
        <v>0</v>
      </c>
      <c r="F58" s="288">
        <f>SUMIFS('Master data'!$M$2:$M$296,'Master data'!$D$2:$D$296,$A58,'Master data'!$C$2:$C$296,F$3)</f>
        <v>0</v>
      </c>
      <c r="G58" s="288">
        <f>SUMIFS('Master data'!$M$2:$M$296,'Master data'!$D$2:$D$296,$A58,'Master data'!$C$2:$C$296,G$3)</f>
        <v>0</v>
      </c>
      <c r="H58" s="288">
        <f>SUMIFS('Master data'!$M$2:$M$296,'Master data'!$D$2:$D$296,$A58,'Master data'!$C$2:$C$296,H$3)</f>
        <v>0</v>
      </c>
      <c r="I58" s="288">
        <f>SUMIFS('Master data'!$M$2:$M$296,'Master data'!$D$2:$D$296,$A58,'Master data'!$C$2:$C$296,I$3)</f>
        <v>0</v>
      </c>
      <c r="J58" s="288">
        <f>SUMIFS('Master data'!$M$2:$M$296,'Master data'!$D$2:$D$296,$A58,'Master data'!$C$2:$C$296,J$3)</f>
        <v>0</v>
      </c>
      <c r="K58" s="288">
        <f>SUMIFS('Master data'!$M$2:$M$296,'Master data'!$D$2:$D$296,$A58,'Master data'!$C$2:$C$296,K$3)</f>
        <v>0</v>
      </c>
      <c r="L58" s="288">
        <f>SUMIFS('Master data'!$M$2:$M$296,'Master data'!$D$2:$D$296,$A58,'Master data'!$C$2:$C$296,L$3)</f>
        <v>0</v>
      </c>
      <c r="M58" s="288">
        <f>SUMIFS('Master data'!$M$2:$M$296,'Master data'!$D$2:$D$296,$A58,'Master data'!$C$2:$C$296,M$3)</f>
        <v>0</v>
      </c>
      <c r="N58" s="298">
        <f t="shared" si="0"/>
        <v>5215104</v>
      </c>
    </row>
    <row r="59" spans="1:14" x14ac:dyDescent="0.35">
      <c r="A59" s="294" t="s">
        <v>1203</v>
      </c>
      <c r="B59" s="289">
        <f>SUMIFS('Master data'!$M$2:$M$296,'Master data'!$D$2:$D$296,$A59,'Master data'!$C$2:$C$296,B$3)</f>
        <v>0</v>
      </c>
      <c r="C59" s="289">
        <f>SUMIFS('Master data'!$M$2:$M$296,'Master data'!$D$2:$D$296,$A59,'Master data'!$C$2:$C$296,C$3)</f>
        <v>3252402</v>
      </c>
      <c r="D59" s="289">
        <f>SUMIFS('Master data'!$M$2:$M$296,'Master data'!$D$2:$D$296,$A59,'Master data'!$C$2:$C$296,D$3)</f>
        <v>0</v>
      </c>
      <c r="E59" s="289">
        <f>SUMIFS('Master data'!$M$2:$M$296,'Master data'!$D$2:$D$296,$A59,'Master data'!$C$2:$C$296,E$3)</f>
        <v>0</v>
      </c>
      <c r="F59" s="289">
        <f>SUMIFS('Master data'!$M$2:$M$296,'Master data'!$D$2:$D$296,$A59,'Master data'!$C$2:$C$296,F$3)</f>
        <v>0</v>
      </c>
      <c r="G59" s="289">
        <f>SUMIFS('Master data'!$M$2:$M$296,'Master data'!$D$2:$D$296,$A59,'Master data'!$C$2:$C$296,G$3)</f>
        <v>0</v>
      </c>
      <c r="H59" s="289">
        <f>SUMIFS('Master data'!$M$2:$M$296,'Master data'!$D$2:$D$296,$A59,'Master data'!$C$2:$C$296,H$3)</f>
        <v>0</v>
      </c>
      <c r="I59" s="289">
        <f>SUMIFS('Master data'!$M$2:$M$296,'Master data'!$D$2:$D$296,$A59,'Master data'!$C$2:$C$296,I$3)</f>
        <v>0</v>
      </c>
      <c r="J59" s="289">
        <f>SUMIFS('Master data'!$M$2:$M$296,'Master data'!$D$2:$D$296,$A59,'Master data'!$C$2:$C$296,J$3)</f>
        <v>0</v>
      </c>
      <c r="K59" s="289">
        <f>SUMIFS('Master data'!$M$2:$M$296,'Master data'!$D$2:$D$296,$A59,'Master data'!$C$2:$C$296,K$3)</f>
        <v>0</v>
      </c>
      <c r="L59" s="289">
        <f>SUMIFS('Master data'!$M$2:$M$296,'Master data'!$D$2:$D$296,$A59,'Master data'!$C$2:$C$296,L$3)</f>
        <v>0</v>
      </c>
      <c r="M59" s="289">
        <f>SUMIFS('Master data'!$M$2:$M$296,'Master data'!$D$2:$D$296,$A59,'Master data'!$C$2:$C$296,M$3)</f>
        <v>0</v>
      </c>
      <c r="N59" s="299">
        <f t="shared" si="0"/>
        <v>3252402</v>
      </c>
    </row>
    <row r="60" spans="1:14" x14ac:dyDescent="0.35">
      <c r="A60" s="293" t="s">
        <v>1226</v>
      </c>
      <c r="B60" s="288">
        <f>SUMIFS('Master data'!$M$2:$M$296,'Master data'!$D$2:$D$296,$A60,'Master data'!$C$2:$C$296,B$3)</f>
        <v>0</v>
      </c>
      <c r="C60" s="288">
        <f>SUMIFS('Master data'!$M$2:$M$296,'Master data'!$D$2:$D$296,$A60,'Master data'!$C$2:$C$296,C$3)</f>
        <v>0</v>
      </c>
      <c r="D60" s="288">
        <f>SUMIFS('Master data'!$M$2:$M$296,'Master data'!$D$2:$D$296,$A60,'Master data'!$C$2:$C$296,D$3)</f>
        <v>0</v>
      </c>
      <c r="E60" s="288">
        <f>SUMIFS('Master data'!$M$2:$M$296,'Master data'!$D$2:$D$296,$A60,'Master data'!$C$2:$C$296,E$3)</f>
        <v>0</v>
      </c>
      <c r="F60" s="288">
        <f>SUMIFS('Master data'!$M$2:$M$296,'Master data'!$D$2:$D$296,$A60,'Master data'!$C$2:$C$296,F$3)</f>
        <v>0</v>
      </c>
      <c r="G60" s="288">
        <f>SUMIFS('Master data'!$M$2:$M$296,'Master data'!$D$2:$D$296,$A60,'Master data'!$C$2:$C$296,G$3)</f>
        <v>0</v>
      </c>
      <c r="H60" s="288">
        <f>SUMIFS('Master data'!$M$2:$M$296,'Master data'!$D$2:$D$296,$A60,'Master data'!$C$2:$C$296,H$3)</f>
        <v>8545086</v>
      </c>
      <c r="I60" s="288">
        <f>SUMIFS('Master data'!$M$2:$M$296,'Master data'!$D$2:$D$296,$A60,'Master data'!$C$2:$C$296,I$3)</f>
        <v>0</v>
      </c>
      <c r="J60" s="288">
        <f>SUMIFS('Master data'!$M$2:$M$296,'Master data'!$D$2:$D$296,$A60,'Master data'!$C$2:$C$296,J$3)</f>
        <v>0</v>
      </c>
      <c r="K60" s="288">
        <f>SUMIFS('Master data'!$M$2:$M$296,'Master data'!$D$2:$D$296,$A60,'Master data'!$C$2:$C$296,K$3)</f>
        <v>0</v>
      </c>
      <c r="L60" s="288">
        <f>SUMIFS('Master data'!$M$2:$M$296,'Master data'!$D$2:$D$296,$A60,'Master data'!$C$2:$C$296,L$3)</f>
        <v>0</v>
      </c>
      <c r="M60" s="288">
        <f>SUMIFS('Master data'!$M$2:$M$296,'Master data'!$D$2:$D$296,$A60,'Master data'!$C$2:$C$296,M$3)</f>
        <v>0</v>
      </c>
      <c r="N60" s="298">
        <f t="shared" si="0"/>
        <v>8545086</v>
      </c>
    </row>
    <row r="61" spans="1:14" x14ac:dyDescent="0.35">
      <c r="A61" s="294" t="s">
        <v>1219</v>
      </c>
      <c r="B61" s="289">
        <f>SUMIFS('Master data'!$M$2:$M$296,'Master data'!$D$2:$D$296,$A61,'Master data'!$C$2:$C$296,B$3)</f>
        <v>0</v>
      </c>
      <c r="C61" s="289">
        <f>SUMIFS('Master data'!$M$2:$M$296,'Master data'!$D$2:$D$296,$A61,'Master data'!$C$2:$C$296,C$3)</f>
        <v>4058496</v>
      </c>
      <c r="D61" s="289">
        <f>SUMIFS('Master data'!$M$2:$M$296,'Master data'!$D$2:$D$296,$A61,'Master data'!$C$2:$C$296,D$3)</f>
        <v>0</v>
      </c>
      <c r="E61" s="289">
        <f>SUMIFS('Master data'!$M$2:$M$296,'Master data'!$D$2:$D$296,$A61,'Master data'!$C$2:$C$296,E$3)</f>
        <v>0</v>
      </c>
      <c r="F61" s="289">
        <f>SUMIFS('Master data'!$M$2:$M$296,'Master data'!$D$2:$D$296,$A61,'Master data'!$C$2:$C$296,F$3)</f>
        <v>0</v>
      </c>
      <c r="G61" s="289">
        <f>SUMIFS('Master data'!$M$2:$M$296,'Master data'!$D$2:$D$296,$A61,'Master data'!$C$2:$C$296,G$3)</f>
        <v>0</v>
      </c>
      <c r="H61" s="289">
        <f>SUMIFS('Master data'!$M$2:$M$296,'Master data'!$D$2:$D$296,$A61,'Master data'!$C$2:$C$296,H$3)</f>
        <v>0</v>
      </c>
      <c r="I61" s="289">
        <f>SUMIFS('Master data'!$M$2:$M$296,'Master data'!$D$2:$D$296,$A61,'Master data'!$C$2:$C$296,I$3)</f>
        <v>0</v>
      </c>
      <c r="J61" s="289">
        <f>SUMIFS('Master data'!$M$2:$M$296,'Master data'!$D$2:$D$296,$A61,'Master data'!$C$2:$C$296,J$3)</f>
        <v>0</v>
      </c>
      <c r="K61" s="289">
        <f>SUMIFS('Master data'!$M$2:$M$296,'Master data'!$D$2:$D$296,$A61,'Master data'!$C$2:$C$296,K$3)</f>
        <v>0</v>
      </c>
      <c r="L61" s="289">
        <f>SUMIFS('Master data'!$M$2:$M$296,'Master data'!$D$2:$D$296,$A61,'Master data'!$C$2:$C$296,L$3)</f>
        <v>0</v>
      </c>
      <c r="M61" s="289">
        <f>SUMIFS('Master data'!$M$2:$M$296,'Master data'!$D$2:$D$296,$A61,'Master data'!$C$2:$C$296,M$3)</f>
        <v>0</v>
      </c>
      <c r="N61" s="299">
        <f t="shared" si="0"/>
        <v>4058496</v>
      </c>
    </row>
    <row r="62" spans="1:14" x14ac:dyDescent="0.35">
      <c r="A62" s="293" t="s">
        <v>1234</v>
      </c>
      <c r="B62" s="288">
        <f>SUMIFS('Master data'!$M$2:$M$296,'Master data'!$D$2:$D$296,$A62,'Master data'!$C$2:$C$296,B$3)</f>
        <v>0</v>
      </c>
      <c r="C62" s="288">
        <f>SUMIFS('Master data'!$M$2:$M$296,'Master data'!$D$2:$D$296,$A62,'Master data'!$C$2:$C$296,C$3)</f>
        <v>0</v>
      </c>
      <c r="D62" s="288">
        <f>SUMIFS('Master data'!$M$2:$M$296,'Master data'!$D$2:$D$296,$A62,'Master data'!$C$2:$C$296,D$3)</f>
        <v>0</v>
      </c>
      <c r="E62" s="288">
        <f>SUMIFS('Master data'!$M$2:$M$296,'Master data'!$D$2:$D$296,$A62,'Master data'!$C$2:$C$296,E$3)</f>
        <v>0</v>
      </c>
      <c r="F62" s="288">
        <f>SUMIFS('Master data'!$M$2:$M$296,'Master data'!$D$2:$D$296,$A62,'Master data'!$C$2:$C$296,F$3)</f>
        <v>0</v>
      </c>
      <c r="G62" s="288">
        <f>SUMIFS('Master data'!$M$2:$M$296,'Master data'!$D$2:$D$296,$A62,'Master data'!$C$2:$C$296,G$3)</f>
        <v>0</v>
      </c>
      <c r="H62" s="288">
        <f>SUMIFS('Master data'!$M$2:$M$296,'Master data'!$D$2:$D$296,$A62,'Master data'!$C$2:$C$296,H$3)</f>
        <v>0</v>
      </c>
      <c r="I62" s="288">
        <f>SUMIFS('Master data'!$M$2:$M$296,'Master data'!$D$2:$D$296,$A62,'Master data'!$C$2:$C$296,I$3)</f>
        <v>0</v>
      </c>
      <c r="J62" s="288">
        <f>SUMIFS('Master data'!$M$2:$M$296,'Master data'!$D$2:$D$296,$A62,'Master data'!$C$2:$C$296,J$3)</f>
        <v>0</v>
      </c>
      <c r="K62" s="288">
        <f>SUMIFS('Master data'!$M$2:$M$296,'Master data'!$D$2:$D$296,$A62,'Master data'!$C$2:$C$296,K$3)</f>
        <v>6268499</v>
      </c>
      <c r="L62" s="288">
        <f>SUMIFS('Master data'!$M$2:$M$296,'Master data'!$D$2:$D$296,$A62,'Master data'!$C$2:$C$296,L$3)</f>
        <v>0</v>
      </c>
      <c r="M62" s="288">
        <f>SUMIFS('Master data'!$M$2:$M$296,'Master data'!$D$2:$D$296,$A62,'Master data'!$C$2:$C$296,M$3)</f>
        <v>0</v>
      </c>
      <c r="N62" s="298">
        <f t="shared" si="0"/>
        <v>6268499</v>
      </c>
    </row>
    <row r="63" spans="1:14" x14ac:dyDescent="0.35">
      <c r="A63" s="294" t="s">
        <v>1172</v>
      </c>
      <c r="B63" s="289">
        <f>SUMIFS('Master data'!$M$2:$M$296,'Master data'!$D$2:$D$296,$A63,'Master data'!$C$2:$C$296,B$3)</f>
        <v>0</v>
      </c>
      <c r="C63" s="289">
        <f>SUMIFS('Master data'!$M$2:$M$296,'Master data'!$D$2:$D$296,$A63,'Master data'!$C$2:$C$296,C$3)</f>
        <v>0</v>
      </c>
      <c r="D63" s="289">
        <f>SUMIFS('Master data'!$M$2:$M$296,'Master data'!$D$2:$D$296,$A63,'Master data'!$C$2:$C$296,D$3)</f>
        <v>0</v>
      </c>
      <c r="E63" s="289">
        <f>SUMIFS('Master data'!$M$2:$M$296,'Master data'!$D$2:$D$296,$A63,'Master data'!$C$2:$C$296,E$3)</f>
        <v>0</v>
      </c>
      <c r="F63" s="289">
        <f>SUMIFS('Master data'!$M$2:$M$296,'Master data'!$D$2:$D$296,$A63,'Master data'!$C$2:$C$296,F$3)</f>
        <v>0</v>
      </c>
      <c r="G63" s="289">
        <f>SUMIFS('Master data'!$M$2:$M$296,'Master data'!$D$2:$D$296,$A63,'Master data'!$C$2:$C$296,G$3)</f>
        <v>0</v>
      </c>
      <c r="H63" s="289">
        <f>SUMIFS('Master data'!$M$2:$M$296,'Master data'!$D$2:$D$296,$A63,'Master data'!$C$2:$C$296,H$3)</f>
        <v>2810830</v>
      </c>
      <c r="I63" s="289">
        <f>SUMIFS('Master data'!$M$2:$M$296,'Master data'!$D$2:$D$296,$A63,'Master data'!$C$2:$C$296,I$3)</f>
        <v>0</v>
      </c>
      <c r="J63" s="289">
        <f>SUMIFS('Master data'!$M$2:$M$296,'Master data'!$D$2:$D$296,$A63,'Master data'!$C$2:$C$296,J$3)</f>
        <v>0</v>
      </c>
      <c r="K63" s="289">
        <f>SUMIFS('Master data'!$M$2:$M$296,'Master data'!$D$2:$D$296,$A63,'Master data'!$C$2:$C$296,K$3)</f>
        <v>0</v>
      </c>
      <c r="L63" s="289">
        <f>SUMIFS('Master data'!$M$2:$M$296,'Master data'!$D$2:$D$296,$A63,'Master data'!$C$2:$C$296,L$3)</f>
        <v>0</v>
      </c>
      <c r="M63" s="289">
        <f>SUMIFS('Master data'!$M$2:$M$296,'Master data'!$D$2:$D$296,$A63,'Master data'!$C$2:$C$296,M$3)</f>
        <v>0</v>
      </c>
      <c r="N63" s="299">
        <f t="shared" si="0"/>
        <v>2810830</v>
      </c>
    </row>
    <row r="64" spans="1:14" x14ac:dyDescent="0.35">
      <c r="A64" s="293" t="s">
        <v>1132</v>
      </c>
      <c r="B64" s="288">
        <f>SUMIFS('Master data'!$M$2:$M$296,'Master data'!$D$2:$D$296,$A64,'Master data'!$C$2:$C$296,B$3)</f>
        <v>0</v>
      </c>
      <c r="C64" s="288">
        <f>SUMIFS('Master data'!$M$2:$M$296,'Master data'!$D$2:$D$296,$A64,'Master data'!$C$2:$C$296,C$3)</f>
        <v>0</v>
      </c>
      <c r="D64" s="288">
        <f>SUMIFS('Master data'!$M$2:$M$296,'Master data'!$D$2:$D$296,$A64,'Master data'!$C$2:$C$296,D$3)</f>
        <v>0</v>
      </c>
      <c r="E64" s="288">
        <f>SUMIFS('Master data'!$M$2:$M$296,'Master data'!$D$2:$D$296,$A64,'Master data'!$C$2:$C$296,E$3)</f>
        <v>0</v>
      </c>
      <c r="F64" s="288">
        <f>SUMIFS('Master data'!$M$2:$M$296,'Master data'!$D$2:$D$296,$A64,'Master data'!$C$2:$C$296,F$3)</f>
        <v>0</v>
      </c>
      <c r="G64" s="288">
        <f>SUMIFS('Master data'!$M$2:$M$296,'Master data'!$D$2:$D$296,$A64,'Master data'!$C$2:$C$296,G$3)</f>
        <v>0</v>
      </c>
      <c r="H64" s="288">
        <f>SUMIFS('Master data'!$M$2:$M$296,'Master data'!$D$2:$D$296,$A64,'Master data'!$C$2:$C$296,H$3)</f>
        <v>0</v>
      </c>
      <c r="I64" s="288">
        <f>SUMIFS('Master data'!$M$2:$M$296,'Master data'!$D$2:$D$296,$A64,'Master data'!$C$2:$C$296,I$3)</f>
        <v>0</v>
      </c>
      <c r="J64" s="288">
        <f>SUMIFS('Master data'!$M$2:$M$296,'Master data'!$D$2:$D$296,$A64,'Master data'!$C$2:$C$296,J$3)</f>
        <v>0</v>
      </c>
      <c r="K64" s="288">
        <f>SUMIFS('Master data'!$M$2:$M$296,'Master data'!$D$2:$D$296,$A64,'Master data'!$C$2:$C$296,K$3)</f>
        <v>0</v>
      </c>
      <c r="L64" s="288">
        <f>SUMIFS('Master data'!$M$2:$M$296,'Master data'!$D$2:$D$296,$A64,'Master data'!$C$2:$C$296,L$3)</f>
        <v>6943300</v>
      </c>
      <c r="M64" s="288">
        <f>SUMIFS('Master data'!$M$2:$M$296,'Master data'!$D$2:$D$296,$A64,'Master data'!$C$2:$C$296,M$3)</f>
        <v>0</v>
      </c>
      <c r="N64" s="298">
        <f t="shared" si="0"/>
        <v>6943300</v>
      </c>
    </row>
    <row r="65" spans="1:14" x14ac:dyDescent="0.35">
      <c r="A65" s="294" t="s">
        <v>1051</v>
      </c>
      <c r="B65" s="289">
        <f>SUMIFS('Master data'!$M$2:$M$296,'Master data'!$D$2:$D$296,$A65,'Master data'!$C$2:$C$296,B$3)</f>
        <v>0</v>
      </c>
      <c r="C65" s="289">
        <f>SUMIFS('Master data'!$M$2:$M$296,'Master data'!$D$2:$D$296,$A65,'Master data'!$C$2:$C$296,C$3)</f>
        <v>0</v>
      </c>
      <c r="D65" s="289">
        <f>SUMIFS('Master data'!$M$2:$M$296,'Master data'!$D$2:$D$296,$A65,'Master data'!$C$2:$C$296,D$3)</f>
        <v>0</v>
      </c>
      <c r="E65" s="289">
        <f>SUMIFS('Master data'!$M$2:$M$296,'Master data'!$D$2:$D$296,$A65,'Master data'!$C$2:$C$296,E$3)</f>
        <v>0</v>
      </c>
      <c r="F65" s="289">
        <f>SUMIFS('Master data'!$M$2:$M$296,'Master data'!$D$2:$D$296,$A65,'Master data'!$C$2:$C$296,F$3)</f>
        <v>0</v>
      </c>
      <c r="G65" s="289">
        <f>SUMIFS('Master data'!$M$2:$M$296,'Master data'!$D$2:$D$296,$A65,'Master data'!$C$2:$C$296,G$3)</f>
        <v>3577658</v>
      </c>
      <c r="H65" s="289">
        <f>SUMIFS('Master data'!$M$2:$M$296,'Master data'!$D$2:$D$296,$A65,'Master data'!$C$2:$C$296,H$3)</f>
        <v>0</v>
      </c>
      <c r="I65" s="289">
        <f>SUMIFS('Master data'!$M$2:$M$296,'Master data'!$D$2:$D$296,$A65,'Master data'!$C$2:$C$296,I$3)</f>
        <v>0</v>
      </c>
      <c r="J65" s="289">
        <f>SUMIFS('Master data'!$M$2:$M$296,'Master data'!$D$2:$D$296,$A65,'Master data'!$C$2:$C$296,J$3)</f>
        <v>0</v>
      </c>
      <c r="K65" s="289">
        <f>SUMIFS('Master data'!$M$2:$M$296,'Master data'!$D$2:$D$296,$A65,'Master data'!$C$2:$C$296,K$3)</f>
        <v>0</v>
      </c>
      <c r="L65" s="289">
        <f>SUMIFS('Master data'!$M$2:$M$296,'Master data'!$D$2:$D$296,$A65,'Master data'!$C$2:$C$296,L$3)</f>
        <v>0</v>
      </c>
      <c r="M65" s="289">
        <f>SUMIFS('Master data'!$M$2:$M$296,'Master data'!$D$2:$D$296,$A65,'Master data'!$C$2:$C$296,M$3)</f>
        <v>0</v>
      </c>
      <c r="N65" s="299">
        <f t="shared" si="0"/>
        <v>3577658</v>
      </c>
    </row>
    <row r="66" spans="1:14" x14ac:dyDescent="0.35">
      <c r="A66" s="293" t="s">
        <v>1196</v>
      </c>
      <c r="B66" s="288">
        <f>SUMIFS('Master data'!$M$2:$M$296,'Master data'!$D$2:$D$296,$A66,'Master data'!$C$2:$C$296,B$3)</f>
        <v>0</v>
      </c>
      <c r="C66" s="288">
        <f>SUMIFS('Master data'!$M$2:$M$296,'Master data'!$D$2:$D$296,$A66,'Master data'!$C$2:$C$296,C$3)</f>
        <v>0</v>
      </c>
      <c r="D66" s="288">
        <f>SUMIFS('Master data'!$M$2:$M$296,'Master data'!$D$2:$D$296,$A66,'Master data'!$C$2:$C$296,D$3)</f>
        <v>0</v>
      </c>
      <c r="E66" s="288">
        <f>SUMIFS('Master data'!$M$2:$M$296,'Master data'!$D$2:$D$296,$A66,'Master data'!$C$2:$C$296,E$3)</f>
        <v>0</v>
      </c>
      <c r="F66" s="288">
        <f>SUMIFS('Master data'!$M$2:$M$296,'Master data'!$D$2:$D$296,$A66,'Master data'!$C$2:$C$296,F$3)</f>
        <v>0</v>
      </c>
      <c r="G66" s="288">
        <f>SUMIFS('Master data'!$M$2:$M$296,'Master data'!$D$2:$D$296,$A66,'Master data'!$C$2:$C$296,G$3)</f>
        <v>4675605</v>
      </c>
      <c r="H66" s="288">
        <f>SUMIFS('Master data'!$M$2:$M$296,'Master data'!$D$2:$D$296,$A66,'Master data'!$C$2:$C$296,H$3)</f>
        <v>0</v>
      </c>
      <c r="I66" s="288">
        <f>SUMIFS('Master data'!$M$2:$M$296,'Master data'!$D$2:$D$296,$A66,'Master data'!$C$2:$C$296,I$3)</f>
        <v>0</v>
      </c>
      <c r="J66" s="288">
        <f>SUMIFS('Master data'!$M$2:$M$296,'Master data'!$D$2:$D$296,$A66,'Master data'!$C$2:$C$296,J$3)</f>
        <v>0</v>
      </c>
      <c r="K66" s="288">
        <f>SUMIFS('Master data'!$M$2:$M$296,'Master data'!$D$2:$D$296,$A66,'Master data'!$C$2:$C$296,K$3)</f>
        <v>0</v>
      </c>
      <c r="L66" s="288">
        <f>SUMIFS('Master data'!$M$2:$M$296,'Master data'!$D$2:$D$296,$A66,'Master data'!$C$2:$C$296,L$3)</f>
        <v>0</v>
      </c>
      <c r="M66" s="288">
        <f>SUMIFS('Master data'!$M$2:$M$296,'Master data'!$D$2:$D$296,$A66,'Master data'!$C$2:$C$296,M$3)</f>
        <v>0</v>
      </c>
      <c r="N66" s="298">
        <f t="shared" si="0"/>
        <v>4675605</v>
      </c>
    </row>
    <row r="67" spans="1:14" x14ac:dyDescent="0.35">
      <c r="A67" s="294" t="s">
        <v>1183</v>
      </c>
      <c r="B67" s="289">
        <f>SUMIFS('Master data'!$M$2:$M$296,'Master data'!$D$2:$D$296,$A67,'Master data'!$C$2:$C$296,B$3)</f>
        <v>0</v>
      </c>
      <c r="C67" s="289">
        <f>SUMIFS('Master data'!$M$2:$M$296,'Master data'!$D$2:$D$296,$A67,'Master data'!$C$2:$C$296,C$3)</f>
        <v>0</v>
      </c>
      <c r="D67" s="289">
        <f>SUMIFS('Master data'!$M$2:$M$296,'Master data'!$D$2:$D$296,$A67,'Master data'!$C$2:$C$296,D$3)</f>
        <v>0</v>
      </c>
      <c r="E67" s="289">
        <f>SUMIFS('Master data'!$M$2:$M$296,'Master data'!$D$2:$D$296,$A67,'Master data'!$C$2:$C$296,E$3)</f>
        <v>0</v>
      </c>
      <c r="F67" s="289">
        <f>SUMIFS('Master data'!$M$2:$M$296,'Master data'!$D$2:$D$296,$A67,'Master data'!$C$2:$C$296,F$3)</f>
        <v>0</v>
      </c>
      <c r="G67" s="289">
        <f>SUMIFS('Master data'!$M$2:$M$296,'Master data'!$D$2:$D$296,$A67,'Master data'!$C$2:$C$296,G$3)</f>
        <v>2875698</v>
      </c>
      <c r="H67" s="289">
        <f>SUMIFS('Master data'!$M$2:$M$296,'Master data'!$D$2:$D$296,$A67,'Master data'!$C$2:$C$296,H$3)</f>
        <v>0</v>
      </c>
      <c r="I67" s="289">
        <f>SUMIFS('Master data'!$M$2:$M$296,'Master data'!$D$2:$D$296,$A67,'Master data'!$C$2:$C$296,I$3)</f>
        <v>0</v>
      </c>
      <c r="J67" s="289">
        <f>SUMIFS('Master data'!$M$2:$M$296,'Master data'!$D$2:$D$296,$A67,'Master data'!$C$2:$C$296,J$3)</f>
        <v>0</v>
      </c>
      <c r="K67" s="289">
        <f>SUMIFS('Master data'!$M$2:$M$296,'Master data'!$D$2:$D$296,$A67,'Master data'!$C$2:$C$296,K$3)</f>
        <v>0</v>
      </c>
      <c r="L67" s="289">
        <f>SUMIFS('Master data'!$M$2:$M$296,'Master data'!$D$2:$D$296,$A67,'Master data'!$C$2:$C$296,L$3)</f>
        <v>0</v>
      </c>
      <c r="M67" s="289">
        <f>SUMIFS('Master data'!$M$2:$M$296,'Master data'!$D$2:$D$296,$A67,'Master data'!$C$2:$C$296,M$3)</f>
        <v>0</v>
      </c>
      <c r="N67" s="299">
        <f t="shared" si="0"/>
        <v>2875698</v>
      </c>
    </row>
    <row r="68" spans="1:14" x14ac:dyDescent="0.35">
      <c r="A68" s="293" t="s">
        <v>1168</v>
      </c>
      <c r="B68" s="288">
        <f>SUMIFS('Master data'!$M$2:$M$296,'Master data'!$D$2:$D$296,$A68,'Master data'!$C$2:$C$296,B$3)</f>
        <v>0</v>
      </c>
      <c r="C68" s="288">
        <f>SUMIFS('Master data'!$M$2:$M$296,'Master data'!$D$2:$D$296,$A68,'Master data'!$C$2:$C$296,C$3)</f>
        <v>0</v>
      </c>
      <c r="D68" s="288">
        <f>SUMIFS('Master data'!$M$2:$M$296,'Master data'!$D$2:$D$296,$A68,'Master data'!$C$2:$C$296,D$3)</f>
        <v>0</v>
      </c>
      <c r="E68" s="288">
        <f>SUMIFS('Master data'!$M$2:$M$296,'Master data'!$D$2:$D$296,$A68,'Master data'!$C$2:$C$296,E$3)</f>
        <v>0</v>
      </c>
      <c r="F68" s="288">
        <f>SUMIFS('Master data'!$M$2:$M$296,'Master data'!$D$2:$D$296,$A68,'Master data'!$C$2:$C$296,F$3)</f>
        <v>0</v>
      </c>
      <c r="G68" s="288">
        <f>SUMIFS('Master data'!$M$2:$M$296,'Master data'!$D$2:$D$296,$A68,'Master data'!$C$2:$C$296,G$3)</f>
        <v>0</v>
      </c>
      <c r="H68" s="288">
        <f>SUMIFS('Master data'!$M$2:$M$296,'Master data'!$D$2:$D$296,$A68,'Master data'!$C$2:$C$296,H$3)</f>
        <v>2895288</v>
      </c>
      <c r="I68" s="288">
        <f>SUMIFS('Master data'!$M$2:$M$296,'Master data'!$D$2:$D$296,$A68,'Master data'!$C$2:$C$296,I$3)</f>
        <v>0</v>
      </c>
      <c r="J68" s="288">
        <f>SUMIFS('Master data'!$M$2:$M$296,'Master data'!$D$2:$D$296,$A68,'Master data'!$C$2:$C$296,J$3)</f>
        <v>0</v>
      </c>
      <c r="K68" s="288">
        <f>SUMIFS('Master data'!$M$2:$M$296,'Master data'!$D$2:$D$296,$A68,'Master data'!$C$2:$C$296,K$3)</f>
        <v>0</v>
      </c>
      <c r="L68" s="288">
        <f>SUMIFS('Master data'!$M$2:$M$296,'Master data'!$D$2:$D$296,$A68,'Master data'!$C$2:$C$296,L$3)</f>
        <v>0</v>
      </c>
      <c r="M68" s="288">
        <f>SUMIFS('Master data'!$M$2:$M$296,'Master data'!$D$2:$D$296,$A68,'Master data'!$C$2:$C$296,M$3)</f>
        <v>0</v>
      </c>
      <c r="N68" s="298">
        <f t="shared" si="0"/>
        <v>2895288</v>
      </c>
    </row>
    <row r="69" spans="1:14" x14ac:dyDescent="0.35">
      <c r="A69" s="294" t="s">
        <v>1076</v>
      </c>
      <c r="B69" s="289">
        <f>SUMIFS('Master data'!$M$2:$M$296,'Master data'!$D$2:$D$296,$A69,'Master data'!$C$2:$C$296,B$3)</f>
        <v>0</v>
      </c>
      <c r="C69" s="289">
        <f>SUMIFS('Master data'!$M$2:$M$296,'Master data'!$D$2:$D$296,$A69,'Master data'!$C$2:$C$296,C$3)</f>
        <v>1809280</v>
      </c>
      <c r="D69" s="289">
        <f>SUMIFS('Master data'!$M$2:$M$296,'Master data'!$D$2:$D$296,$A69,'Master data'!$C$2:$C$296,D$3)</f>
        <v>0</v>
      </c>
      <c r="E69" s="289">
        <f>SUMIFS('Master data'!$M$2:$M$296,'Master data'!$D$2:$D$296,$A69,'Master data'!$C$2:$C$296,E$3)</f>
        <v>0</v>
      </c>
      <c r="F69" s="289">
        <f>SUMIFS('Master data'!$M$2:$M$296,'Master data'!$D$2:$D$296,$A69,'Master data'!$C$2:$C$296,F$3)</f>
        <v>0</v>
      </c>
      <c r="G69" s="289">
        <f>SUMIFS('Master data'!$M$2:$M$296,'Master data'!$D$2:$D$296,$A69,'Master data'!$C$2:$C$296,G$3)</f>
        <v>0</v>
      </c>
      <c r="H69" s="289">
        <f>SUMIFS('Master data'!$M$2:$M$296,'Master data'!$D$2:$D$296,$A69,'Master data'!$C$2:$C$296,H$3)</f>
        <v>0</v>
      </c>
      <c r="I69" s="289">
        <f>SUMIFS('Master data'!$M$2:$M$296,'Master data'!$D$2:$D$296,$A69,'Master data'!$C$2:$C$296,I$3)</f>
        <v>0</v>
      </c>
      <c r="J69" s="289">
        <f>SUMIFS('Master data'!$M$2:$M$296,'Master data'!$D$2:$D$296,$A69,'Master data'!$C$2:$C$296,J$3)</f>
        <v>0</v>
      </c>
      <c r="K69" s="289">
        <f>SUMIFS('Master data'!$M$2:$M$296,'Master data'!$D$2:$D$296,$A69,'Master data'!$C$2:$C$296,K$3)</f>
        <v>0</v>
      </c>
      <c r="L69" s="289">
        <f>SUMIFS('Master data'!$M$2:$M$296,'Master data'!$D$2:$D$296,$A69,'Master data'!$C$2:$C$296,L$3)</f>
        <v>0</v>
      </c>
      <c r="M69" s="289">
        <f>SUMIFS('Master data'!$M$2:$M$296,'Master data'!$D$2:$D$296,$A69,'Master data'!$C$2:$C$296,M$3)</f>
        <v>0</v>
      </c>
      <c r="N69" s="299">
        <f t="shared" ref="N69:N132" si="1">SUM(B69:M69)</f>
        <v>1809280</v>
      </c>
    </row>
    <row r="70" spans="1:14" x14ac:dyDescent="0.35">
      <c r="A70" s="293" t="s">
        <v>1123</v>
      </c>
      <c r="B70" s="288">
        <f>SUMIFS('Master data'!$M$2:$M$296,'Master data'!$D$2:$D$296,$A70,'Master data'!$C$2:$C$296,B$3)</f>
        <v>0</v>
      </c>
      <c r="C70" s="288">
        <f>SUMIFS('Master data'!$M$2:$M$296,'Master data'!$D$2:$D$296,$A70,'Master data'!$C$2:$C$296,C$3)</f>
        <v>0</v>
      </c>
      <c r="D70" s="288">
        <f>SUMIFS('Master data'!$M$2:$M$296,'Master data'!$D$2:$D$296,$A70,'Master data'!$C$2:$C$296,D$3)</f>
        <v>0</v>
      </c>
      <c r="E70" s="288">
        <f>SUMIFS('Master data'!$M$2:$M$296,'Master data'!$D$2:$D$296,$A70,'Master data'!$C$2:$C$296,E$3)</f>
        <v>0</v>
      </c>
      <c r="F70" s="288">
        <f>SUMIFS('Master data'!$M$2:$M$296,'Master data'!$D$2:$D$296,$A70,'Master data'!$C$2:$C$296,F$3)</f>
        <v>0</v>
      </c>
      <c r="G70" s="288">
        <f>SUMIFS('Master data'!$M$2:$M$296,'Master data'!$D$2:$D$296,$A70,'Master data'!$C$2:$C$296,G$3)</f>
        <v>3196629</v>
      </c>
      <c r="H70" s="288">
        <f>SUMIFS('Master data'!$M$2:$M$296,'Master data'!$D$2:$D$296,$A70,'Master data'!$C$2:$C$296,H$3)</f>
        <v>0</v>
      </c>
      <c r="I70" s="288">
        <f>SUMIFS('Master data'!$M$2:$M$296,'Master data'!$D$2:$D$296,$A70,'Master data'!$C$2:$C$296,I$3)</f>
        <v>0</v>
      </c>
      <c r="J70" s="288">
        <f>SUMIFS('Master data'!$M$2:$M$296,'Master data'!$D$2:$D$296,$A70,'Master data'!$C$2:$C$296,J$3)</f>
        <v>0</v>
      </c>
      <c r="K70" s="288">
        <f>SUMIFS('Master data'!$M$2:$M$296,'Master data'!$D$2:$D$296,$A70,'Master data'!$C$2:$C$296,K$3)</f>
        <v>0</v>
      </c>
      <c r="L70" s="288">
        <f>SUMIFS('Master data'!$M$2:$M$296,'Master data'!$D$2:$D$296,$A70,'Master data'!$C$2:$C$296,L$3)</f>
        <v>0</v>
      </c>
      <c r="M70" s="288">
        <f>SUMIFS('Master data'!$M$2:$M$296,'Master data'!$D$2:$D$296,$A70,'Master data'!$C$2:$C$296,M$3)</f>
        <v>0</v>
      </c>
      <c r="N70" s="298">
        <f t="shared" si="1"/>
        <v>3196629</v>
      </c>
    </row>
    <row r="71" spans="1:14" x14ac:dyDescent="0.35">
      <c r="A71" s="294" t="s">
        <v>1209</v>
      </c>
      <c r="B71" s="289">
        <f>SUMIFS('Master data'!$M$2:$M$296,'Master data'!$D$2:$D$296,$A71,'Master data'!$C$2:$C$296,B$3)</f>
        <v>0</v>
      </c>
      <c r="C71" s="289">
        <f>SUMIFS('Master data'!$M$2:$M$296,'Master data'!$D$2:$D$296,$A71,'Master data'!$C$2:$C$296,C$3)</f>
        <v>0</v>
      </c>
      <c r="D71" s="289">
        <f>SUMIFS('Master data'!$M$2:$M$296,'Master data'!$D$2:$D$296,$A71,'Master data'!$C$2:$C$296,D$3)</f>
        <v>0</v>
      </c>
      <c r="E71" s="289">
        <f>SUMIFS('Master data'!$M$2:$M$296,'Master data'!$D$2:$D$296,$A71,'Master data'!$C$2:$C$296,E$3)</f>
        <v>0</v>
      </c>
      <c r="F71" s="289">
        <f>SUMIFS('Master data'!$M$2:$M$296,'Master data'!$D$2:$D$296,$A71,'Master data'!$C$2:$C$296,F$3)</f>
        <v>0</v>
      </c>
      <c r="G71" s="289">
        <f>SUMIFS('Master data'!$M$2:$M$296,'Master data'!$D$2:$D$296,$A71,'Master data'!$C$2:$C$296,G$3)</f>
        <v>0</v>
      </c>
      <c r="H71" s="289">
        <f>SUMIFS('Master data'!$M$2:$M$296,'Master data'!$D$2:$D$296,$A71,'Master data'!$C$2:$C$296,H$3)</f>
        <v>0</v>
      </c>
      <c r="I71" s="289">
        <f>SUMIFS('Master data'!$M$2:$M$296,'Master data'!$D$2:$D$296,$A71,'Master data'!$C$2:$C$296,I$3)</f>
        <v>0</v>
      </c>
      <c r="J71" s="289">
        <f>SUMIFS('Master data'!$M$2:$M$296,'Master data'!$D$2:$D$296,$A71,'Master data'!$C$2:$C$296,J$3)</f>
        <v>1705632</v>
      </c>
      <c r="K71" s="289">
        <f>SUMIFS('Master data'!$M$2:$M$296,'Master data'!$D$2:$D$296,$A71,'Master data'!$C$2:$C$296,K$3)</f>
        <v>0</v>
      </c>
      <c r="L71" s="289">
        <f>SUMIFS('Master data'!$M$2:$M$296,'Master data'!$D$2:$D$296,$A71,'Master data'!$C$2:$C$296,L$3)</f>
        <v>0</v>
      </c>
      <c r="M71" s="289">
        <f>SUMIFS('Master data'!$M$2:$M$296,'Master data'!$D$2:$D$296,$A71,'Master data'!$C$2:$C$296,M$3)</f>
        <v>0</v>
      </c>
      <c r="N71" s="299">
        <f t="shared" si="1"/>
        <v>1705632</v>
      </c>
    </row>
    <row r="72" spans="1:14" x14ac:dyDescent="0.35">
      <c r="A72" s="293" t="s">
        <v>1224</v>
      </c>
      <c r="B72" s="288">
        <f>SUMIFS('Master data'!$M$2:$M$296,'Master data'!$D$2:$D$296,$A72,'Master data'!$C$2:$C$296,B$3)</f>
        <v>0</v>
      </c>
      <c r="C72" s="288">
        <f>SUMIFS('Master data'!$M$2:$M$296,'Master data'!$D$2:$D$296,$A72,'Master data'!$C$2:$C$296,C$3)</f>
        <v>0</v>
      </c>
      <c r="D72" s="288">
        <f>SUMIFS('Master data'!$M$2:$M$296,'Master data'!$D$2:$D$296,$A72,'Master data'!$C$2:$C$296,D$3)</f>
        <v>0</v>
      </c>
      <c r="E72" s="288">
        <f>SUMIFS('Master data'!$M$2:$M$296,'Master data'!$D$2:$D$296,$A72,'Master data'!$C$2:$C$296,E$3)</f>
        <v>0</v>
      </c>
      <c r="F72" s="288">
        <f>SUMIFS('Master data'!$M$2:$M$296,'Master data'!$D$2:$D$296,$A72,'Master data'!$C$2:$C$296,F$3)</f>
        <v>0</v>
      </c>
      <c r="G72" s="288">
        <f>SUMIFS('Master data'!$M$2:$M$296,'Master data'!$D$2:$D$296,$A72,'Master data'!$C$2:$C$296,G$3)</f>
        <v>0</v>
      </c>
      <c r="H72" s="288">
        <f>SUMIFS('Master data'!$M$2:$M$296,'Master data'!$D$2:$D$296,$A72,'Master data'!$C$2:$C$296,H$3)</f>
        <v>0</v>
      </c>
      <c r="I72" s="288">
        <f>SUMIFS('Master data'!$M$2:$M$296,'Master data'!$D$2:$D$296,$A72,'Master data'!$C$2:$C$296,I$3)</f>
        <v>0</v>
      </c>
      <c r="J72" s="288">
        <f>SUMIFS('Master data'!$M$2:$M$296,'Master data'!$D$2:$D$296,$A72,'Master data'!$C$2:$C$296,J$3)</f>
        <v>6159346</v>
      </c>
      <c r="K72" s="288">
        <f>SUMIFS('Master data'!$M$2:$M$296,'Master data'!$D$2:$D$296,$A72,'Master data'!$C$2:$C$296,K$3)</f>
        <v>0</v>
      </c>
      <c r="L72" s="288">
        <f>SUMIFS('Master data'!$M$2:$M$296,'Master data'!$D$2:$D$296,$A72,'Master data'!$C$2:$C$296,L$3)</f>
        <v>0</v>
      </c>
      <c r="M72" s="288">
        <f>SUMIFS('Master data'!$M$2:$M$296,'Master data'!$D$2:$D$296,$A72,'Master data'!$C$2:$C$296,M$3)</f>
        <v>0</v>
      </c>
      <c r="N72" s="298">
        <f t="shared" si="1"/>
        <v>6159346</v>
      </c>
    </row>
    <row r="73" spans="1:14" x14ac:dyDescent="0.35">
      <c r="A73" s="294" t="s">
        <v>1029</v>
      </c>
      <c r="B73" s="289">
        <f>SUMIFS('Master data'!$M$2:$M$296,'Master data'!$D$2:$D$296,$A73,'Master data'!$C$2:$C$296,B$3)</f>
        <v>3566605</v>
      </c>
      <c r="C73" s="289">
        <f>SUMIFS('Master data'!$M$2:$M$296,'Master data'!$D$2:$D$296,$A73,'Master data'!$C$2:$C$296,C$3)</f>
        <v>0</v>
      </c>
      <c r="D73" s="289">
        <f>SUMIFS('Master data'!$M$2:$M$296,'Master data'!$D$2:$D$296,$A73,'Master data'!$C$2:$C$296,D$3)</f>
        <v>0</v>
      </c>
      <c r="E73" s="289">
        <f>SUMIFS('Master data'!$M$2:$M$296,'Master data'!$D$2:$D$296,$A73,'Master data'!$C$2:$C$296,E$3)</f>
        <v>0</v>
      </c>
      <c r="F73" s="289">
        <f>SUMIFS('Master data'!$M$2:$M$296,'Master data'!$D$2:$D$296,$A73,'Master data'!$C$2:$C$296,F$3)</f>
        <v>0</v>
      </c>
      <c r="G73" s="289">
        <f>SUMIFS('Master data'!$M$2:$M$296,'Master data'!$D$2:$D$296,$A73,'Master data'!$C$2:$C$296,G$3)</f>
        <v>0</v>
      </c>
      <c r="H73" s="289">
        <f>SUMIFS('Master data'!$M$2:$M$296,'Master data'!$D$2:$D$296,$A73,'Master data'!$C$2:$C$296,H$3)</f>
        <v>0</v>
      </c>
      <c r="I73" s="289">
        <f>SUMIFS('Master data'!$M$2:$M$296,'Master data'!$D$2:$D$296,$A73,'Master data'!$C$2:$C$296,I$3)</f>
        <v>0</v>
      </c>
      <c r="J73" s="289">
        <f>SUMIFS('Master data'!$M$2:$M$296,'Master data'!$D$2:$D$296,$A73,'Master data'!$C$2:$C$296,J$3)</f>
        <v>0</v>
      </c>
      <c r="K73" s="289">
        <f>SUMIFS('Master data'!$M$2:$M$296,'Master data'!$D$2:$D$296,$A73,'Master data'!$C$2:$C$296,K$3)</f>
        <v>0</v>
      </c>
      <c r="L73" s="289">
        <f>SUMIFS('Master data'!$M$2:$M$296,'Master data'!$D$2:$D$296,$A73,'Master data'!$C$2:$C$296,L$3)</f>
        <v>0</v>
      </c>
      <c r="M73" s="289">
        <f>SUMIFS('Master data'!$M$2:$M$296,'Master data'!$D$2:$D$296,$A73,'Master data'!$C$2:$C$296,M$3)</f>
        <v>0</v>
      </c>
      <c r="N73" s="299">
        <f t="shared" si="1"/>
        <v>3566605</v>
      </c>
    </row>
    <row r="74" spans="1:14" x14ac:dyDescent="0.35">
      <c r="A74" s="293" t="s">
        <v>1109</v>
      </c>
      <c r="B74" s="288">
        <f>SUMIFS('Master data'!$M$2:$M$296,'Master data'!$D$2:$D$296,$A74,'Master data'!$C$2:$C$296,B$3)</f>
        <v>0</v>
      </c>
      <c r="C74" s="288">
        <f>SUMIFS('Master data'!$M$2:$M$296,'Master data'!$D$2:$D$296,$A74,'Master data'!$C$2:$C$296,C$3)</f>
        <v>5987340</v>
      </c>
      <c r="D74" s="288">
        <f>SUMIFS('Master data'!$M$2:$M$296,'Master data'!$D$2:$D$296,$A74,'Master data'!$C$2:$C$296,D$3)</f>
        <v>0</v>
      </c>
      <c r="E74" s="288">
        <f>SUMIFS('Master data'!$M$2:$M$296,'Master data'!$D$2:$D$296,$A74,'Master data'!$C$2:$C$296,E$3)</f>
        <v>0</v>
      </c>
      <c r="F74" s="288">
        <f>SUMIFS('Master data'!$M$2:$M$296,'Master data'!$D$2:$D$296,$A74,'Master data'!$C$2:$C$296,F$3)</f>
        <v>0</v>
      </c>
      <c r="G74" s="288">
        <f>SUMIFS('Master data'!$M$2:$M$296,'Master data'!$D$2:$D$296,$A74,'Master data'!$C$2:$C$296,G$3)</f>
        <v>0</v>
      </c>
      <c r="H74" s="288">
        <f>SUMIFS('Master data'!$M$2:$M$296,'Master data'!$D$2:$D$296,$A74,'Master data'!$C$2:$C$296,H$3)</f>
        <v>0</v>
      </c>
      <c r="I74" s="288">
        <f>SUMIFS('Master data'!$M$2:$M$296,'Master data'!$D$2:$D$296,$A74,'Master data'!$C$2:$C$296,I$3)</f>
        <v>0</v>
      </c>
      <c r="J74" s="288">
        <f>SUMIFS('Master data'!$M$2:$M$296,'Master data'!$D$2:$D$296,$A74,'Master data'!$C$2:$C$296,J$3)</f>
        <v>0</v>
      </c>
      <c r="K74" s="288">
        <f>SUMIFS('Master data'!$M$2:$M$296,'Master data'!$D$2:$D$296,$A74,'Master data'!$C$2:$C$296,K$3)</f>
        <v>0</v>
      </c>
      <c r="L74" s="288">
        <f>SUMIFS('Master data'!$M$2:$M$296,'Master data'!$D$2:$D$296,$A74,'Master data'!$C$2:$C$296,L$3)</f>
        <v>0</v>
      </c>
      <c r="M74" s="288">
        <f>SUMIFS('Master data'!$M$2:$M$296,'Master data'!$D$2:$D$296,$A74,'Master data'!$C$2:$C$296,M$3)</f>
        <v>0</v>
      </c>
      <c r="N74" s="298">
        <f t="shared" si="1"/>
        <v>5987340</v>
      </c>
    </row>
    <row r="75" spans="1:14" x14ac:dyDescent="0.35">
      <c r="A75" s="294" t="s">
        <v>1135</v>
      </c>
      <c r="B75" s="289">
        <f>SUMIFS('Master data'!$M$2:$M$296,'Master data'!$D$2:$D$296,$A75,'Master data'!$C$2:$C$296,B$3)</f>
        <v>0</v>
      </c>
      <c r="C75" s="289">
        <f>SUMIFS('Master data'!$M$2:$M$296,'Master data'!$D$2:$D$296,$A75,'Master data'!$C$2:$C$296,C$3)</f>
        <v>0</v>
      </c>
      <c r="D75" s="289">
        <f>SUMIFS('Master data'!$M$2:$M$296,'Master data'!$D$2:$D$296,$A75,'Master data'!$C$2:$C$296,D$3)</f>
        <v>0</v>
      </c>
      <c r="E75" s="289">
        <f>SUMIFS('Master data'!$M$2:$M$296,'Master data'!$D$2:$D$296,$A75,'Master data'!$C$2:$C$296,E$3)</f>
        <v>0</v>
      </c>
      <c r="F75" s="289">
        <f>SUMIFS('Master data'!$M$2:$M$296,'Master data'!$D$2:$D$296,$A75,'Master data'!$C$2:$C$296,F$3)</f>
        <v>0</v>
      </c>
      <c r="G75" s="289">
        <f>SUMIFS('Master data'!$M$2:$M$296,'Master data'!$D$2:$D$296,$A75,'Master data'!$C$2:$C$296,G$3)</f>
        <v>0</v>
      </c>
      <c r="H75" s="289">
        <f>SUMIFS('Master data'!$M$2:$M$296,'Master data'!$D$2:$D$296,$A75,'Master data'!$C$2:$C$296,H$3)</f>
        <v>0</v>
      </c>
      <c r="I75" s="289">
        <f>SUMIFS('Master data'!$M$2:$M$296,'Master data'!$D$2:$D$296,$A75,'Master data'!$C$2:$C$296,I$3)</f>
        <v>0</v>
      </c>
      <c r="J75" s="289">
        <f>SUMIFS('Master data'!$M$2:$M$296,'Master data'!$D$2:$D$296,$A75,'Master data'!$C$2:$C$296,J$3)</f>
        <v>0</v>
      </c>
      <c r="K75" s="289">
        <f>SUMIFS('Master data'!$M$2:$M$296,'Master data'!$D$2:$D$296,$A75,'Master data'!$C$2:$C$296,K$3)</f>
        <v>0</v>
      </c>
      <c r="L75" s="289">
        <f>SUMIFS('Master data'!$M$2:$M$296,'Master data'!$D$2:$D$296,$A75,'Master data'!$C$2:$C$296,L$3)</f>
        <v>0</v>
      </c>
      <c r="M75" s="289">
        <f>SUMIFS('Master data'!$M$2:$M$296,'Master data'!$D$2:$D$296,$A75,'Master data'!$C$2:$C$296,M$3)</f>
        <v>1866900</v>
      </c>
      <c r="N75" s="299">
        <f t="shared" si="1"/>
        <v>1866900</v>
      </c>
    </row>
    <row r="76" spans="1:14" x14ac:dyDescent="0.35">
      <c r="A76" s="293" t="s">
        <v>1232</v>
      </c>
      <c r="B76" s="288">
        <f>SUMIFS('Master data'!$M$2:$M$296,'Master data'!$D$2:$D$296,$A76,'Master data'!$C$2:$C$296,B$3)</f>
        <v>0</v>
      </c>
      <c r="C76" s="288">
        <f>SUMIFS('Master data'!$M$2:$M$296,'Master data'!$D$2:$D$296,$A76,'Master data'!$C$2:$C$296,C$3)</f>
        <v>0</v>
      </c>
      <c r="D76" s="288">
        <f>SUMIFS('Master data'!$M$2:$M$296,'Master data'!$D$2:$D$296,$A76,'Master data'!$C$2:$C$296,D$3)</f>
        <v>0</v>
      </c>
      <c r="E76" s="288">
        <f>SUMIFS('Master data'!$M$2:$M$296,'Master data'!$D$2:$D$296,$A76,'Master data'!$C$2:$C$296,E$3)</f>
        <v>0</v>
      </c>
      <c r="F76" s="288">
        <f>SUMIFS('Master data'!$M$2:$M$296,'Master data'!$D$2:$D$296,$A76,'Master data'!$C$2:$C$296,F$3)</f>
        <v>3140415</v>
      </c>
      <c r="G76" s="288">
        <f>SUMIFS('Master data'!$M$2:$M$296,'Master data'!$D$2:$D$296,$A76,'Master data'!$C$2:$C$296,G$3)</f>
        <v>0</v>
      </c>
      <c r="H76" s="288">
        <f>SUMIFS('Master data'!$M$2:$M$296,'Master data'!$D$2:$D$296,$A76,'Master data'!$C$2:$C$296,H$3)</f>
        <v>0</v>
      </c>
      <c r="I76" s="288">
        <f>SUMIFS('Master data'!$M$2:$M$296,'Master data'!$D$2:$D$296,$A76,'Master data'!$C$2:$C$296,I$3)</f>
        <v>0</v>
      </c>
      <c r="J76" s="288">
        <f>SUMIFS('Master data'!$M$2:$M$296,'Master data'!$D$2:$D$296,$A76,'Master data'!$C$2:$C$296,J$3)</f>
        <v>0</v>
      </c>
      <c r="K76" s="288">
        <f>SUMIFS('Master data'!$M$2:$M$296,'Master data'!$D$2:$D$296,$A76,'Master data'!$C$2:$C$296,K$3)</f>
        <v>0</v>
      </c>
      <c r="L76" s="288">
        <f>SUMIFS('Master data'!$M$2:$M$296,'Master data'!$D$2:$D$296,$A76,'Master data'!$C$2:$C$296,L$3)</f>
        <v>0</v>
      </c>
      <c r="M76" s="288">
        <f>SUMIFS('Master data'!$M$2:$M$296,'Master data'!$D$2:$D$296,$A76,'Master data'!$C$2:$C$296,M$3)</f>
        <v>0</v>
      </c>
      <c r="N76" s="298">
        <f t="shared" si="1"/>
        <v>3140415</v>
      </c>
    </row>
    <row r="77" spans="1:14" x14ac:dyDescent="0.35">
      <c r="A77" s="294" t="s">
        <v>1220</v>
      </c>
      <c r="B77" s="289">
        <f>SUMIFS('Master data'!$M$2:$M$296,'Master data'!$D$2:$D$296,$A77,'Master data'!$C$2:$C$296,B$3)</f>
        <v>0</v>
      </c>
      <c r="C77" s="289">
        <f>SUMIFS('Master data'!$M$2:$M$296,'Master data'!$D$2:$D$296,$A77,'Master data'!$C$2:$C$296,C$3)</f>
        <v>0</v>
      </c>
      <c r="D77" s="289">
        <f>SUMIFS('Master data'!$M$2:$M$296,'Master data'!$D$2:$D$296,$A77,'Master data'!$C$2:$C$296,D$3)</f>
        <v>0</v>
      </c>
      <c r="E77" s="289">
        <f>SUMIFS('Master data'!$M$2:$M$296,'Master data'!$D$2:$D$296,$A77,'Master data'!$C$2:$C$296,E$3)</f>
        <v>0</v>
      </c>
      <c r="F77" s="289">
        <f>SUMIFS('Master data'!$M$2:$M$296,'Master data'!$D$2:$D$296,$A77,'Master data'!$C$2:$C$296,F$3)</f>
        <v>0</v>
      </c>
      <c r="G77" s="289">
        <f>SUMIFS('Master data'!$M$2:$M$296,'Master data'!$D$2:$D$296,$A77,'Master data'!$C$2:$C$296,G$3)</f>
        <v>0</v>
      </c>
      <c r="H77" s="289">
        <f>SUMIFS('Master data'!$M$2:$M$296,'Master data'!$D$2:$D$296,$A77,'Master data'!$C$2:$C$296,H$3)</f>
        <v>0</v>
      </c>
      <c r="I77" s="289">
        <f>SUMIFS('Master data'!$M$2:$M$296,'Master data'!$D$2:$D$296,$A77,'Master data'!$C$2:$C$296,I$3)</f>
        <v>0</v>
      </c>
      <c r="J77" s="289">
        <f>SUMIFS('Master data'!$M$2:$M$296,'Master data'!$D$2:$D$296,$A77,'Master data'!$C$2:$C$296,J$3)</f>
        <v>0</v>
      </c>
      <c r="K77" s="289">
        <f>SUMIFS('Master data'!$M$2:$M$296,'Master data'!$D$2:$D$296,$A77,'Master data'!$C$2:$C$296,K$3)</f>
        <v>8662190</v>
      </c>
      <c r="L77" s="289">
        <f>SUMIFS('Master data'!$M$2:$M$296,'Master data'!$D$2:$D$296,$A77,'Master data'!$C$2:$C$296,L$3)</f>
        <v>0</v>
      </c>
      <c r="M77" s="289">
        <f>SUMIFS('Master data'!$M$2:$M$296,'Master data'!$D$2:$D$296,$A77,'Master data'!$C$2:$C$296,M$3)</f>
        <v>0</v>
      </c>
      <c r="N77" s="299">
        <f t="shared" si="1"/>
        <v>8662190</v>
      </c>
    </row>
    <row r="78" spans="1:14" x14ac:dyDescent="0.35">
      <c r="A78" s="293" t="s">
        <v>1210</v>
      </c>
      <c r="B78" s="288">
        <f>SUMIFS('Master data'!$M$2:$M$296,'Master data'!$D$2:$D$296,$A78,'Master data'!$C$2:$C$296,B$3)</f>
        <v>5193090</v>
      </c>
      <c r="C78" s="288">
        <f>SUMIFS('Master data'!$M$2:$M$296,'Master data'!$D$2:$D$296,$A78,'Master data'!$C$2:$C$296,C$3)</f>
        <v>0</v>
      </c>
      <c r="D78" s="288">
        <f>SUMIFS('Master data'!$M$2:$M$296,'Master data'!$D$2:$D$296,$A78,'Master data'!$C$2:$C$296,D$3)</f>
        <v>0</v>
      </c>
      <c r="E78" s="288">
        <f>SUMIFS('Master data'!$M$2:$M$296,'Master data'!$D$2:$D$296,$A78,'Master data'!$C$2:$C$296,E$3)</f>
        <v>0</v>
      </c>
      <c r="F78" s="288">
        <f>SUMIFS('Master data'!$M$2:$M$296,'Master data'!$D$2:$D$296,$A78,'Master data'!$C$2:$C$296,F$3)</f>
        <v>0</v>
      </c>
      <c r="G78" s="288">
        <f>SUMIFS('Master data'!$M$2:$M$296,'Master data'!$D$2:$D$296,$A78,'Master data'!$C$2:$C$296,G$3)</f>
        <v>0</v>
      </c>
      <c r="H78" s="288">
        <f>SUMIFS('Master data'!$M$2:$M$296,'Master data'!$D$2:$D$296,$A78,'Master data'!$C$2:$C$296,H$3)</f>
        <v>0</v>
      </c>
      <c r="I78" s="288">
        <f>SUMIFS('Master data'!$M$2:$M$296,'Master data'!$D$2:$D$296,$A78,'Master data'!$C$2:$C$296,I$3)</f>
        <v>0</v>
      </c>
      <c r="J78" s="288">
        <f>SUMIFS('Master data'!$M$2:$M$296,'Master data'!$D$2:$D$296,$A78,'Master data'!$C$2:$C$296,J$3)</f>
        <v>0</v>
      </c>
      <c r="K78" s="288">
        <f>SUMIFS('Master data'!$M$2:$M$296,'Master data'!$D$2:$D$296,$A78,'Master data'!$C$2:$C$296,K$3)</f>
        <v>0</v>
      </c>
      <c r="L78" s="288">
        <f>SUMIFS('Master data'!$M$2:$M$296,'Master data'!$D$2:$D$296,$A78,'Master data'!$C$2:$C$296,L$3)</f>
        <v>0</v>
      </c>
      <c r="M78" s="288">
        <f>SUMIFS('Master data'!$M$2:$M$296,'Master data'!$D$2:$D$296,$A78,'Master data'!$C$2:$C$296,M$3)</f>
        <v>0</v>
      </c>
      <c r="N78" s="298">
        <f t="shared" si="1"/>
        <v>5193090</v>
      </c>
    </row>
    <row r="79" spans="1:14" x14ac:dyDescent="0.35">
      <c r="A79" s="294" t="s">
        <v>1160</v>
      </c>
      <c r="B79" s="289">
        <f>SUMIFS('Master data'!$M$2:$M$296,'Master data'!$D$2:$D$296,$A79,'Master data'!$C$2:$C$296,B$3)</f>
        <v>0</v>
      </c>
      <c r="C79" s="289">
        <f>SUMIFS('Master data'!$M$2:$M$296,'Master data'!$D$2:$D$296,$A79,'Master data'!$C$2:$C$296,C$3)</f>
        <v>0</v>
      </c>
      <c r="D79" s="289">
        <f>SUMIFS('Master data'!$M$2:$M$296,'Master data'!$D$2:$D$296,$A79,'Master data'!$C$2:$C$296,D$3)</f>
        <v>0</v>
      </c>
      <c r="E79" s="289">
        <f>SUMIFS('Master data'!$M$2:$M$296,'Master data'!$D$2:$D$296,$A79,'Master data'!$C$2:$C$296,E$3)</f>
        <v>0</v>
      </c>
      <c r="F79" s="289">
        <f>SUMIFS('Master data'!$M$2:$M$296,'Master data'!$D$2:$D$296,$A79,'Master data'!$C$2:$C$296,F$3)</f>
        <v>0</v>
      </c>
      <c r="G79" s="289">
        <f>SUMIFS('Master data'!$M$2:$M$296,'Master data'!$D$2:$D$296,$A79,'Master data'!$C$2:$C$296,G$3)</f>
        <v>0</v>
      </c>
      <c r="H79" s="289">
        <f>SUMIFS('Master data'!$M$2:$M$296,'Master data'!$D$2:$D$296,$A79,'Master data'!$C$2:$C$296,H$3)</f>
        <v>0</v>
      </c>
      <c r="I79" s="289">
        <f>SUMIFS('Master data'!$M$2:$M$296,'Master data'!$D$2:$D$296,$A79,'Master data'!$C$2:$C$296,I$3)</f>
        <v>0</v>
      </c>
      <c r="J79" s="289">
        <f>SUMIFS('Master data'!$M$2:$M$296,'Master data'!$D$2:$D$296,$A79,'Master data'!$C$2:$C$296,J$3)</f>
        <v>0</v>
      </c>
      <c r="K79" s="289">
        <f>SUMIFS('Master data'!$M$2:$M$296,'Master data'!$D$2:$D$296,$A79,'Master data'!$C$2:$C$296,K$3)</f>
        <v>0</v>
      </c>
      <c r="L79" s="289">
        <f>SUMIFS('Master data'!$M$2:$M$296,'Master data'!$D$2:$D$296,$A79,'Master data'!$C$2:$C$296,L$3)</f>
        <v>1351636</v>
      </c>
      <c r="M79" s="289">
        <f>SUMIFS('Master data'!$M$2:$M$296,'Master data'!$D$2:$D$296,$A79,'Master data'!$C$2:$C$296,M$3)</f>
        <v>0</v>
      </c>
      <c r="N79" s="299">
        <f t="shared" si="1"/>
        <v>1351636</v>
      </c>
    </row>
    <row r="80" spans="1:14" x14ac:dyDescent="0.35">
      <c r="A80" s="293" t="s">
        <v>1174</v>
      </c>
      <c r="B80" s="288">
        <f>SUMIFS('Master data'!$M$2:$M$296,'Master data'!$D$2:$D$296,$A80,'Master data'!$C$2:$C$296,B$3)</f>
        <v>0</v>
      </c>
      <c r="C80" s="288">
        <f>SUMIFS('Master data'!$M$2:$M$296,'Master data'!$D$2:$D$296,$A80,'Master data'!$C$2:$C$296,C$3)</f>
        <v>0</v>
      </c>
      <c r="D80" s="288">
        <f>SUMIFS('Master data'!$M$2:$M$296,'Master data'!$D$2:$D$296,$A80,'Master data'!$C$2:$C$296,D$3)</f>
        <v>0</v>
      </c>
      <c r="E80" s="288">
        <f>SUMIFS('Master data'!$M$2:$M$296,'Master data'!$D$2:$D$296,$A80,'Master data'!$C$2:$C$296,E$3)</f>
        <v>0</v>
      </c>
      <c r="F80" s="288">
        <f>SUMIFS('Master data'!$M$2:$M$296,'Master data'!$D$2:$D$296,$A80,'Master data'!$C$2:$C$296,F$3)</f>
        <v>0</v>
      </c>
      <c r="G80" s="288">
        <f>SUMIFS('Master data'!$M$2:$M$296,'Master data'!$D$2:$D$296,$A80,'Master data'!$C$2:$C$296,G$3)</f>
        <v>0</v>
      </c>
      <c r="H80" s="288">
        <f>SUMIFS('Master data'!$M$2:$M$296,'Master data'!$D$2:$D$296,$A80,'Master data'!$C$2:$C$296,H$3)</f>
        <v>0</v>
      </c>
      <c r="I80" s="288">
        <f>SUMIFS('Master data'!$M$2:$M$296,'Master data'!$D$2:$D$296,$A80,'Master data'!$C$2:$C$296,I$3)</f>
        <v>0</v>
      </c>
      <c r="J80" s="288">
        <f>SUMIFS('Master data'!$M$2:$M$296,'Master data'!$D$2:$D$296,$A80,'Master data'!$C$2:$C$296,J$3)</f>
        <v>5250229</v>
      </c>
      <c r="K80" s="288">
        <f>SUMIFS('Master data'!$M$2:$M$296,'Master data'!$D$2:$D$296,$A80,'Master data'!$C$2:$C$296,K$3)</f>
        <v>0</v>
      </c>
      <c r="L80" s="288">
        <f>SUMIFS('Master data'!$M$2:$M$296,'Master data'!$D$2:$D$296,$A80,'Master data'!$C$2:$C$296,L$3)</f>
        <v>0</v>
      </c>
      <c r="M80" s="288">
        <f>SUMIFS('Master data'!$M$2:$M$296,'Master data'!$D$2:$D$296,$A80,'Master data'!$C$2:$C$296,M$3)</f>
        <v>0</v>
      </c>
      <c r="N80" s="298">
        <f t="shared" si="1"/>
        <v>5250229</v>
      </c>
    </row>
    <row r="81" spans="1:14" x14ac:dyDescent="0.35">
      <c r="A81" s="294" t="s">
        <v>1112</v>
      </c>
      <c r="B81" s="289">
        <f>SUMIFS('Master data'!$M$2:$M$296,'Master data'!$D$2:$D$296,$A81,'Master data'!$C$2:$C$296,B$3)</f>
        <v>0</v>
      </c>
      <c r="C81" s="289">
        <f>SUMIFS('Master data'!$M$2:$M$296,'Master data'!$D$2:$D$296,$A81,'Master data'!$C$2:$C$296,C$3)</f>
        <v>0</v>
      </c>
      <c r="D81" s="289">
        <f>SUMIFS('Master data'!$M$2:$M$296,'Master data'!$D$2:$D$296,$A81,'Master data'!$C$2:$C$296,D$3)</f>
        <v>0</v>
      </c>
      <c r="E81" s="289">
        <f>SUMIFS('Master data'!$M$2:$M$296,'Master data'!$D$2:$D$296,$A81,'Master data'!$C$2:$C$296,E$3)</f>
        <v>0</v>
      </c>
      <c r="F81" s="289">
        <f>SUMIFS('Master data'!$M$2:$M$296,'Master data'!$D$2:$D$296,$A81,'Master data'!$C$2:$C$296,F$3)</f>
        <v>0</v>
      </c>
      <c r="G81" s="289">
        <f>SUMIFS('Master data'!$M$2:$M$296,'Master data'!$D$2:$D$296,$A81,'Master data'!$C$2:$C$296,G$3)</f>
        <v>0</v>
      </c>
      <c r="H81" s="289">
        <f>SUMIFS('Master data'!$M$2:$M$296,'Master data'!$D$2:$D$296,$A81,'Master data'!$C$2:$C$296,H$3)</f>
        <v>0</v>
      </c>
      <c r="I81" s="289">
        <f>SUMIFS('Master data'!$M$2:$M$296,'Master data'!$D$2:$D$296,$A81,'Master data'!$C$2:$C$296,I$3)</f>
        <v>0</v>
      </c>
      <c r="J81" s="289">
        <f>SUMIFS('Master data'!$M$2:$M$296,'Master data'!$D$2:$D$296,$A81,'Master data'!$C$2:$C$296,J$3)</f>
        <v>0</v>
      </c>
      <c r="K81" s="289">
        <f>SUMIFS('Master data'!$M$2:$M$296,'Master data'!$D$2:$D$296,$A81,'Master data'!$C$2:$C$296,K$3)</f>
        <v>0</v>
      </c>
      <c r="L81" s="289">
        <f>SUMIFS('Master data'!$M$2:$M$296,'Master data'!$D$2:$D$296,$A81,'Master data'!$C$2:$C$296,L$3)</f>
        <v>1852065</v>
      </c>
      <c r="M81" s="289">
        <f>SUMIFS('Master data'!$M$2:$M$296,'Master data'!$D$2:$D$296,$A81,'Master data'!$C$2:$C$296,M$3)</f>
        <v>0</v>
      </c>
      <c r="N81" s="299">
        <f t="shared" si="1"/>
        <v>1852065</v>
      </c>
    </row>
    <row r="82" spans="1:14" x14ac:dyDescent="0.35">
      <c r="A82" s="293" t="s">
        <v>1195</v>
      </c>
      <c r="B82" s="288">
        <f>SUMIFS('Master data'!$M$2:$M$296,'Master data'!$D$2:$D$296,$A82,'Master data'!$C$2:$C$296,B$3)</f>
        <v>0</v>
      </c>
      <c r="C82" s="288">
        <f>SUMIFS('Master data'!$M$2:$M$296,'Master data'!$D$2:$D$296,$A82,'Master data'!$C$2:$C$296,C$3)</f>
        <v>0</v>
      </c>
      <c r="D82" s="288">
        <f>SUMIFS('Master data'!$M$2:$M$296,'Master data'!$D$2:$D$296,$A82,'Master data'!$C$2:$C$296,D$3)</f>
        <v>0</v>
      </c>
      <c r="E82" s="288">
        <f>SUMIFS('Master data'!$M$2:$M$296,'Master data'!$D$2:$D$296,$A82,'Master data'!$C$2:$C$296,E$3)</f>
        <v>0</v>
      </c>
      <c r="F82" s="288">
        <f>SUMIFS('Master data'!$M$2:$M$296,'Master data'!$D$2:$D$296,$A82,'Master data'!$C$2:$C$296,F$3)</f>
        <v>0</v>
      </c>
      <c r="G82" s="288">
        <f>SUMIFS('Master data'!$M$2:$M$296,'Master data'!$D$2:$D$296,$A82,'Master data'!$C$2:$C$296,G$3)</f>
        <v>0</v>
      </c>
      <c r="H82" s="288">
        <f>SUMIFS('Master data'!$M$2:$M$296,'Master data'!$D$2:$D$296,$A82,'Master data'!$C$2:$C$296,H$3)</f>
        <v>0</v>
      </c>
      <c r="I82" s="288">
        <f>SUMIFS('Master data'!$M$2:$M$296,'Master data'!$D$2:$D$296,$A82,'Master data'!$C$2:$C$296,I$3)</f>
        <v>0</v>
      </c>
      <c r="J82" s="288">
        <f>SUMIFS('Master data'!$M$2:$M$296,'Master data'!$D$2:$D$296,$A82,'Master data'!$C$2:$C$296,J$3)</f>
        <v>1647398</v>
      </c>
      <c r="K82" s="288">
        <f>SUMIFS('Master data'!$M$2:$M$296,'Master data'!$D$2:$D$296,$A82,'Master data'!$C$2:$C$296,K$3)</f>
        <v>0</v>
      </c>
      <c r="L82" s="288">
        <f>SUMIFS('Master data'!$M$2:$M$296,'Master data'!$D$2:$D$296,$A82,'Master data'!$C$2:$C$296,L$3)</f>
        <v>0</v>
      </c>
      <c r="M82" s="288">
        <f>SUMIFS('Master data'!$M$2:$M$296,'Master data'!$D$2:$D$296,$A82,'Master data'!$C$2:$C$296,M$3)</f>
        <v>0</v>
      </c>
      <c r="N82" s="298">
        <f t="shared" si="1"/>
        <v>1647398</v>
      </c>
    </row>
    <row r="83" spans="1:14" x14ac:dyDescent="0.35">
      <c r="A83" s="294" t="s">
        <v>1235</v>
      </c>
      <c r="B83" s="289">
        <f>SUMIFS('Master data'!$M$2:$M$296,'Master data'!$D$2:$D$296,$A83,'Master data'!$C$2:$C$296,B$3)</f>
        <v>0</v>
      </c>
      <c r="C83" s="289">
        <f>SUMIFS('Master data'!$M$2:$M$296,'Master data'!$D$2:$D$296,$A83,'Master data'!$C$2:$C$296,C$3)</f>
        <v>0</v>
      </c>
      <c r="D83" s="289">
        <f>SUMIFS('Master data'!$M$2:$M$296,'Master data'!$D$2:$D$296,$A83,'Master data'!$C$2:$C$296,D$3)</f>
        <v>0</v>
      </c>
      <c r="E83" s="289">
        <f>SUMIFS('Master data'!$M$2:$M$296,'Master data'!$D$2:$D$296,$A83,'Master data'!$C$2:$C$296,E$3)</f>
        <v>0</v>
      </c>
      <c r="F83" s="289">
        <f>SUMIFS('Master data'!$M$2:$M$296,'Master data'!$D$2:$D$296,$A83,'Master data'!$C$2:$C$296,F$3)</f>
        <v>0</v>
      </c>
      <c r="G83" s="289">
        <f>SUMIFS('Master data'!$M$2:$M$296,'Master data'!$D$2:$D$296,$A83,'Master data'!$C$2:$C$296,G$3)</f>
        <v>0</v>
      </c>
      <c r="H83" s="289">
        <f>SUMIFS('Master data'!$M$2:$M$296,'Master data'!$D$2:$D$296,$A83,'Master data'!$C$2:$C$296,H$3)</f>
        <v>0</v>
      </c>
      <c r="I83" s="289">
        <f>SUMIFS('Master data'!$M$2:$M$296,'Master data'!$D$2:$D$296,$A83,'Master data'!$C$2:$C$296,I$3)</f>
        <v>0</v>
      </c>
      <c r="J83" s="289">
        <f>SUMIFS('Master data'!$M$2:$M$296,'Master data'!$D$2:$D$296,$A83,'Master data'!$C$2:$C$296,J$3)</f>
        <v>0</v>
      </c>
      <c r="K83" s="289">
        <f>SUMIFS('Master data'!$M$2:$M$296,'Master data'!$D$2:$D$296,$A83,'Master data'!$C$2:$C$296,K$3)</f>
        <v>0</v>
      </c>
      <c r="L83" s="289">
        <f>SUMIFS('Master data'!$M$2:$M$296,'Master data'!$D$2:$D$296,$A83,'Master data'!$C$2:$C$296,L$3)</f>
        <v>5701962</v>
      </c>
      <c r="M83" s="289">
        <f>SUMIFS('Master data'!$M$2:$M$296,'Master data'!$D$2:$D$296,$A83,'Master data'!$C$2:$C$296,M$3)</f>
        <v>0</v>
      </c>
      <c r="N83" s="299">
        <f t="shared" si="1"/>
        <v>5701962</v>
      </c>
    </row>
    <row r="84" spans="1:14" x14ac:dyDescent="0.35">
      <c r="A84" s="293" t="s">
        <v>1227</v>
      </c>
      <c r="B84" s="288">
        <f>SUMIFS('Master data'!$M$2:$M$296,'Master data'!$D$2:$D$296,$A84,'Master data'!$C$2:$C$296,B$3)</f>
        <v>0</v>
      </c>
      <c r="C84" s="288">
        <f>SUMIFS('Master data'!$M$2:$M$296,'Master data'!$D$2:$D$296,$A84,'Master data'!$C$2:$C$296,C$3)</f>
        <v>0</v>
      </c>
      <c r="D84" s="288">
        <f>SUMIFS('Master data'!$M$2:$M$296,'Master data'!$D$2:$D$296,$A84,'Master data'!$C$2:$C$296,D$3)</f>
        <v>0</v>
      </c>
      <c r="E84" s="288">
        <f>SUMIFS('Master data'!$M$2:$M$296,'Master data'!$D$2:$D$296,$A84,'Master data'!$C$2:$C$296,E$3)</f>
        <v>0</v>
      </c>
      <c r="F84" s="288">
        <f>SUMIFS('Master data'!$M$2:$M$296,'Master data'!$D$2:$D$296,$A84,'Master data'!$C$2:$C$296,F$3)</f>
        <v>0</v>
      </c>
      <c r="G84" s="288">
        <f>SUMIFS('Master data'!$M$2:$M$296,'Master data'!$D$2:$D$296,$A84,'Master data'!$C$2:$C$296,G$3)</f>
        <v>0</v>
      </c>
      <c r="H84" s="288">
        <f>SUMIFS('Master data'!$M$2:$M$296,'Master data'!$D$2:$D$296,$A84,'Master data'!$C$2:$C$296,H$3)</f>
        <v>0</v>
      </c>
      <c r="I84" s="288">
        <f>SUMIFS('Master data'!$M$2:$M$296,'Master data'!$D$2:$D$296,$A84,'Master data'!$C$2:$C$296,I$3)</f>
        <v>5095535</v>
      </c>
      <c r="J84" s="288">
        <f>SUMIFS('Master data'!$M$2:$M$296,'Master data'!$D$2:$D$296,$A84,'Master data'!$C$2:$C$296,J$3)</f>
        <v>0</v>
      </c>
      <c r="K84" s="288">
        <f>SUMIFS('Master data'!$M$2:$M$296,'Master data'!$D$2:$D$296,$A84,'Master data'!$C$2:$C$296,K$3)</f>
        <v>0</v>
      </c>
      <c r="L84" s="288">
        <f>SUMIFS('Master data'!$M$2:$M$296,'Master data'!$D$2:$D$296,$A84,'Master data'!$C$2:$C$296,L$3)</f>
        <v>0</v>
      </c>
      <c r="M84" s="288">
        <f>SUMIFS('Master data'!$M$2:$M$296,'Master data'!$D$2:$D$296,$A84,'Master data'!$C$2:$C$296,M$3)</f>
        <v>0</v>
      </c>
      <c r="N84" s="298">
        <f t="shared" si="1"/>
        <v>5095535</v>
      </c>
    </row>
    <row r="85" spans="1:14" x14ac:dyDescent="0.35">
      <c r="A85" s="294" t="s">
        <v>1204</v>
      </c>
      <c r="B85" s="289">
        <f>SUMIFS('Master data'!$M$2:$M$296,'Master data'!$D$2:$D$296,$A85,'Master data'!$C$2:$C$296,B$3)</f>
        <v>0</v>
      </c>
      <c r="C85" s="289">
        <f>SUMIFS('Master data'!$M$2:$M$296,'Master data'!$D$2:$D$296,$A85,'Master data'!$C$2:$C$296,C$3)</f>
        <v>0</v>
      </c>
      <c r="D85" s="289">
        <f>SUMIFS('Master data'!$M$2:$M$296,'Master data'!$D$2:$D$296,$A85,'Master data'!$C$2:$C$296,D$3)</f>
        <v>0</v>
      </c>
      <c r="E85" s="289">
        <f>SUMIFS('Master data'!$M$2:$M$296,'Master data'!$D$2:$D$296,$A85,'Master data'!$C$2:$C$296,E$3)</f>
        <v>0</v>
      </c>
      <c r="F85" s="289">
        <f>SUMIFS('Master data'!$M$2:$M$296,'Master data'!$D$2:$D$296,$A85,'Master data'!$C$2:$C$296,F$3)</f>
        <v>0</v>
      </c>
      <c r="G85" s="289">
        <f>SUMIFS('Master data'!$M$2:$M$296,'Master data'!$D$2:$D$296,$A85,'Master data'!$C$2:$C$296,G$3)</f>
        <v>0</v>
      </c>
      <c r="H85" s="289">
        <f>SUMIFS('Master data'!$M$2:$M$296,'Master data'!$D$2:$D$296,$A85,'Master data'!$C$2:$C$296,H$3)</f>
        <v>0</v>
      </c>
      <c r="I85" s="289">
        <f>SUMIFS('Master data'!$M$2:$M$296,'Master data'!$D$2:$D$296,$A85,'Master data'!$C$2:$C$296,I$3)</f>
        <v>3336606</v>
      </c>
      <c r="J85" s="289">
        <f>SUMIFS('Master data'!$M$2:$M$296,'Master data'!$D$2:$D$296,$A85,'Master data'!$C$2:$C$296,J$3)</f>
        <v>0</v>
      </c>
      <c r="K85" s="289">
        <f>SUMIFS('Master data'!$M$2:$M$296,'Master data'!$D$2:$D$296,$A85,'Master data'!$C$2:$C$296,K$3)</f>
        <v>0</v>
      </c>
      <c r="L85" s="289">
        <f>SUMIFS('Master data'!$M$2:$M$296,'Master data'!$D$2:$D$296,$A85,'Master data'!$C$2:$C$296,L$3)</f>
        <v>0</v>
      </c>
      <c r="M85" s="289">
        <f>SUMIFS('Master data'!$M$2:$M$296,'Master data'!$D$2:$D$296,$A85,'Master data'!$C$2:$C$296,M$3)</f>
        <v>0</v>
      </c>
      <c r="N85" s="299">
        <f t="shared" si="1"/>
        <v>3336606</v>
      </c>
    </row>
    <row r="86" spans="1:14" x14ac:dyDescent="0.35">
      <c r="A86" s="293" t="s">
        <v>1138</v>
      </c>
      <c r="B86" s="288">
        <f>SUMIFS('Master data'!$M$2:$M$296,'Master data'!$D$2:$D$296,$A86,'Master data'!$C$2:$C$296,B$3)</f>
        <v>0</v>
      </c>
      <c r="C86" s="288">
        <f>SUMIFS('Master data'!$M$2:$M$296,'Master data'!$D$2:$D$296,$A86,'Master data'!$C$2:$C$296,C$3)</f>
        <v>0</v>
      </c>
      <c r="D86" s="288">
        <f>SUMIFS('Master data'!$M$2:$M$296,'Master data'!$D$2:$D$296,$A86,'Master data'!$C$2:$C$296,D$3)</f>
        <v>0</v>
      </c>
      <c r="E86" s="288">
        <f>SUMIFS('Master data'!$M$2:$M$296,'Master data'!$D$2:$D$296,$A86,'Master data'!$C$2:$C$296,E$3)</f>
        <v>0</v>
      </c>
      <c r="F86" s="288">
        <f>SUMIFS('Master data'!$M$2:$M$296,'Master data'!$D$2:$D$296,$A86,'Master data'!$C$2:$C$296,F$3)</f>
        <v>3370182</v>
      </c>
      <c r="G86" s="288">
        <f>SUMIFS('Master data'!$M$2:$M$296,'Master data'!$D$2:$D$296,$A86,'Master data'!$C$2:$C$296,G$3)</f>
        <v>0</v>
      </c>
      <c r="H86" s="288">
        <f>SUMIFS('Master data'!$M$2:$M$296,'Master data'!$D$2:$D$296,$A86,'Master data'!$C$2:$C$296,H$3)</f>
        <v>0</v>
      </c>
      <c r="I86" s="288">
        <f>SUMIFS('Master data'!$M$2:$M$296,'Master data'!$D$2:$D$296,$A86,'Master data'!$C$2:$C$296,I$3)</f>
        <v>0</v>
      </c>
      <c r="J86" s="288">
        <f>SUMIFS('Master data'!$M$2:$M$296,'Master data'!$D$2:$D$296,$A86,'Master data'!$C$2:$C$296,J$3)</f>
        <v>0</v>
      </c>
      <c r="K86" s="288">
        <f>SUMIFS('Master data'!$M$2:$M$296,'Master data'!$D$2:$D$296,$A86,'Master data'!$C$2:$C$296,K$3)</f>
        <v>0</v>
      </c>
      <c r="L86" s="288">
        <f>SUMIFS('Master data'!$M$2:$M$296,'Master data'!$D$2:$D$296,$A86,'Master data'!$C$2:$C$296,L$3)</f>
        <v>0</v>
      </c>
      <c r="M86" s="288">
        <f>SUMIFS('Master data'!$M$2:$M$296,'Master data'!$D$2:$D$296,$A86,'Master data'!$C$2:$C$296,M$3)</f>
        <v>0</v>
      </c>
      <c r="N86" s="298">
        <f t="shared" si="1"/>
        <v>3370182</v>
      </c>
    </row>
    <row r="87" spans="1:14" x14ac:dyDescent="0.35">
      <c r="A87" s="294" t="s">
        <v>1166</v>
      </c>
      <c r="B87" s="289">
        <f>SUMIFS('Master data'!$M$2:$M$296,'Master data'!$D$2:$D$296,$A87,'Master data'!$C$2:$C$296,B$3)</f>
        <v>0</v>
      </c>
      <c r="C87" s="289">
        <f>SUMIFS('Master data'!$M$2:$M$296,'Master data'!$D$2:$D$296,$A87,'Master data'!$C$2:$C$296,C$3)</f>
        <v>4296810</v>
      </c>
      <c r="D87" s="289">
        <f>SUMIFS('Master data'!$M$2:$M$296,'Master data'!$D$2:$D$296,$A87,'Master data'!$C$2:$C$296,D$3)</f>
        <v>0</v>
      </c>
      <c r="E87" s="289">
        <f>SUMIFS('Master data'!$M$2:$M$296,'Master data'!$D$2:$D$296,$A87,'Master data'!$C$2:$C$296,E$3)</f>
        <v>0</v>
      </c>
      <c r="F87" s="289">
        <f>SUMIFS('Master data'!$M$2:$M$296,'Master data'!$D$2:$D$296,$A87,'Master data'!$C$2:$C$296,F$3)</f>
        <v>0</v>
      </c>
      <c r="G87" s="289">
        <f>SUMIFS('Master data'!$M$2:$M$296,'Master data'!$D$2:$D$296,$A87,'Master data'!$C$2:$C$296,G$3)</f>
        <v>0</v>
      </c>
      <c r="H87" s="289">
        <f>SUMIFS('Master data'!$M$2:$M$296,'Master data'!$D$2:$D$296,$A87,'Master data'!$C$2:$C$296,H$3)</f>
        <v>0</v>
      </c>
      <c r="I87" s="289">
        <f>SUMIFS('Master data'!$M$2:$M$296,'Master data'!$D$2:$D$296,$A87,'Master data'!$C$2:$C$296,I$3)</f>
        <v>0</v>
      </c>
      <c r="J87" s="289">
        <f>SUMIFS('Master data'!$M$2:$M$296,'Master data'!$D$2:$D$296,$A87,'Master data'!$C$2:$C$296,J$3)</f>
        <v>0</v>
      </c>
      <c r="K87" s="289">
        <f>SUMIFS('Master data'!$M$2:$M$296,'Master data'!$D$2:$D$296,$A87,'Master data'!$C$2:$C$296,K$3)</f>
        <v>4638410</v>
      </c>
      <c r="L87" s="289">
        <f>SUMIFS('Master data'!$M$2:$M$296,'Master data'!$D$2:$D$296,$A87,'Master data'!$C$2:$C$296,L$3)</f>
        <v>0</v>
      </c>
      <c r="M87" s="289">
        <f>SUMIFS('Master data'!$M$2:$M$296,'Master data'!$D$2:$D$296,$A87,'Master data'!$C$2:$C$296,M$3)</f>
        <v>0</v>
      </c>
      <c r="N87" s="299">
        <f t="shared" si="1"/>
        <v>8935220</v>
      </c>
    </row>
    <row r="88" spans="1:14" x14ac:dyDescent="0.35">
      <c r="A88" s="293" t="s">
        <v>1143</v>
      </c>
      <c r="B88" s="288">
        <f>SUMIFS('Master data'!$M$2:$M$296,'Master data'!$D$2:$D$296,$A88,'Master data'!$C$2:$C$296,B$3)</f>
        <v>0</v>
      </c>
      <c r="C88" s="288">
        <f>SUMIFS('Master data'!$M$2:$M$296,'Master data'!$D$2:$D$296,$A88,'Master data'!$C$2:$C$296,C$3)</f>
        <v>0</v>
      </c>
      <c r="D88" s="288">
        <f>SUMIFS('Master data'!$M$2:$M$296,'Master data'!$D$2:$D$296,$A88,'Master data'!$C$2:$C$296,D$3)</f>
        <v>0</v>
      </c>
      <c r="E88" s="288">
        <f>SUMIFS('Master data'!$M$2:$M$296,'Master data'!$D$2:$D$296,$A88,'Master data'!$C$2:$C$296,E$3)</f>
        <v>4275084</v>
      </c>
      <c r="F88" s="288">
        <f>SUMIFS('Master data'!$M$2:$M$296,'Master data'!$D$2:$D$296,$A88,'Master data'!$C$2:$C$296,F$3)</f>
        <v>0</v>
      </c>
      <c r="G88" s="288">
        <f>SUMIFS('Master data'!$M$2:$M$296,'Master data'!$D$2:$D$296,$A88,'Master data'!$C$2:$C$296,G$3)</f>
        <v>0</v>
      </c>
      <c r="H88" s="288">
        <f>SUMIFS('Master data'!$M$2:$M$296,'Master data'!$D$2:$D$296,$A88,'Master data'!$C$2:$C$296,H$3)</f>
        <v>0</v>
      </c>
      <c r="I88" s="288">
        <f>SUMIFS('Master data'!$M$2:$M$296,'Master data'!$D$2:$D$296,$A88,'Master data'!$C$2:$C$296,I$3)</f>
        <v>0</v>
      </c>
      <c r="J88" s="288">
        <f>SUMIFS('Master data'!$M$2:$M$296,'Master data'!$D$2:$D$296,$A88,'Master data'!$C$2:$C$296,J$3)</f>
        <v>0</v>
      </c>
      <c r="K88" s="288">
        <f>SUMIFS('Master data'!$M$2:$M$296,'Master data'!$D$2:$D$296,$A88,'Master data'!$C$2:$C$296,K$3)</f>
        <v>0</v>
      </c>
      <c r="L88" s="288">
        <f>SUMIFS('Master data'!$M$2:$M$296,'Master data'!$D$2:$D$296,$A88,'Master data'!$C$2:$C$296,L$3)</f>
        <v>0</v>
      </c>
      <c r="M88" s="288">
        <f>SUMIFS('Master data'!$M$2:$M$296,'Master data'!$D$2:$D$296,$A88,'Master data'!$C$2:$C$296,M$3)</f>
        <v>0</v>
      </c>
      <c r="N88" s="298">
        <f t="shared" si="1"/>
        <v>4275084</v>
      </c>
    </row>
    <row r="89" spans="1:14" x14ac:dyDescent="0.35">
      <c r="A89" s="294" t="s">
        <v>1147</v>
      </c>
      <c r="B89" s="289">
        <f>SUMIFS('Master data'!$M$2:$M$296,'Master data'!$D$2:$D$296,$A89,'Master data'!$C$2:$C$296,B$3)</f>
        <v>4437695</v>
      </c>
      <c r="C89" s="289">
        <f>SUMIFS('Master data'!$M$2:$M$296,'Master data'!$D$2:$D$296,$A89,'Master data'!$C$2:$C$296,C$3)</f>
        <v>0</v>
      </c>
      <c r="D89" s="289">
        <f>SUMIFS('Master data'!$M$2:$M$296,'Master data'!$D$2:$D$296,$A89,'Master data'!$C$2:$C$296,D$3)</f>
        <v>0</v>
      </c>
      <c r="E89" s="289">
        <f>SUMIFS('Master data'!$M$2:$M$296,'Master data'!$D$2:$D$296,$A89,'Master data'!$C$2:$C$296,E$3)</f>
        <v>5324221</v>
      </c>
      <c r="F89" s="289">
        <f>SUMIFS('Master data'!$M$2:$M$296,'Master data'!$D$2:$D$296,$A89,'Master data'!$C$2:$C$296,F$3)</f>
        <v>0</v>
      </c>
      <c r="G89" s="289">
        <f>SUMIFS('Master data'!$M$2:$M$296,'Master data'!$D$2:$D$296,$A89,'Master data'!$C$2:$C$296,G$3)</f>
        <v>0</v>
      </c>
      <c r="H89" s="289">
        <f>SUMIFS('Master data'!$M$2:$M$296,'Master data'!$D$2:$D$296,$A89,'Master data'!$C$2:$C$296,H$3)</f>
        <v>0</v>
      </c>
      <c r="I89" s="289">
        <f>SUMIFS('Master data'!$M$2:$M$296,'Master data'!$D$2:$D$296,$A89,'Master data'!$C$2:$C$296,I$3)</f>
        <v>0</v>
      </c>
      <c r="J89" s="289">
        <f>SUMIFS('Master data'!$M$2:$M$296,'Master data'!$D$2:$D$296,$A89,'Master data'!$C$2:$C$296,J$3)</f>
        <v>0</v>
      </c>
      <c r="K89" s="289">
        <f>SUMIFS('Master data'!$M$2:$M$296,'Master data'!$D$2:$D$296,$A89,'Master data'!$C$2:$C$296,K$3)</f>
        <v>0</v>
      </c>
      <c r="L89" s="289">
        <f>SUMIFS('Master data'!$M$2:$M$296,'Master data'!$D$2:$D$296,$A89,'Master data'!$C$2:$C$296,L$3)</f>
        <v>7198636</v>
      </c>
      <c r="M89" s="289">
        <f>SUMIFS('Master data'!$M$2:$M$296,'Master data'!$D$2:$D$296,$A89,'Master data'!$C$2:$C$296,M$3)</f>
        <v>0</v>
      </c>
      <c r="N89" s="299">
        <f t="shared" si="1"/>
        <v>16960552</v>
      </c>
    </row>
    <row r="90" spans="1:14" x14ac:dyDescent="0.35">
      <c r="A90" s="293" t="s">
        <v>1173</v>
      </c>
      <c r="B90" s="288">
        <f>SUMIFS('Master data'!$M$2:$M$296,'Master data'!$D$2:$D$296,$A90,'Master data'!$C$2:$C$296,B$3)</f>
        <v>0</v>
      </c>
      <c r="C90" s="288">
        <f>SUMIFS('Master data'!$M$2:$M$296,'Master data'!$D$2:$D$296,$A90,'Master data'!$C$2:$C$296,C$3)</f>
        <v>0</v>
      </c>
      <c r="D90" s="288">
        <f>SUMIFS('Master data'!$M$2:$M$296,'Master data'!$D$2:$D$296,$A90,'Master data'!$C$2:$C$296,D$3)</f>
        <v>0</v>
      </c>
      <c r="E90" s="288">
        <f>SUMIFS('Master data'!$M$2:$M$296,'Master data'!$D$2:$D$296,$A90,'Master data'!$C$2:$C$296,E$3)</f>
        <v>0</v>
      </c>
      <c r="F90" s="288">
        <f>SUMIFS('Master data'!$M$2:$M$296,'Master data'!$D$2:$D$296,$A90,'Master data'!$C$2:$C$296,F$3)</f>
        <v>0</v>
      </c>
      <c r="G90" s="288">
        <f>SUMIFS('Master data'!$M$2:$M$296,'Master data'!$D$2:$D$296,$A90,'Master data'!$C$2:$C$296,G$3)</f>
        <v>0</v>
      </c>
      <c r="H90" s="288">
        <f>SUMIFS('Master data'!$M$2:$M$296,'Master data'!$D$2:$D$296,$A90,'Master data'!$C$2:$C$296,H$3)</f>
        <v>0</v>
      </c>
      <c r="I90" s="288">
        <f>SUMIFS('Master data'!$M$2:$M$296,'Master data'!$D$2:$D$296,$A90,'Master data'!$C$2:$C$296,I$3)</f>
        <v>0</v>
      </c>
      <c r="J90" s="288">
        <f>SUMIFS('Master data'!$M$2:$M$296,'Master data'!$D$2:$D$296,$A90,'Master data'!$C$2:$C$296,J$3)</f>
        <v>7446900</v>
      </c>
      <c r="K90" s="288">
        <f>SUMIFS('Master data'!$M$2:$M$296,'Master data'!$D$2:$D$296,$A90,'Master data'!$C$2:$C$296,K$3)</f>
        <v>0</v>
      </c>
      <c r="L90" s="288">
        <f>SUMIFS('Master data'!$M$2:$M$296,'Master data'!$D$2:$D$296,$A90,'Master data'!$C$2:$C$296,L$3)</f>
        <v>0</v>
      </c>
      <c r="M90" s="288">
        <f>SUMIFS('Master data'!$M$2:$M$296,'Master data'!$D$2:$D$296,$A90,'Master data'!$C$2:$C$296,M$3)</f>
        <v>0</v>
      </c>
      <c r="N90" s="298">
        <f t="shared" si="1"/>
        <v>7446900</v>
      </c>
    </row>
    <row r="91" spans="1:14" x14ac:dyDescent="0.35">
      <c r="A91" s="294" t="s">
        <v>1129</v>
      </c>
      <c r="B91" s="289">
        <f>SUMIFS('Master data'!$M$2:$M$296,'Master data'!$D$2:$D$296,$A91,'Master data'!$C$2:$C$296,B$3)</f>
        <v>0</v>
      </c>
      <c r="C91" s="289">
        <f>SUMIFS('Master data'!$M$2:$M$296,'Master data'!$D$2:$D$296,$A91,'Master data'!$C$2:$C$296,C$3)</f>
        <v>0</v>
      </c>
      <c r="D91" s="289">
        <f>SUMIFS('Master data'!$M$2:$M$296,'Master data'!$D$2:$D$296,$A91,'Master data'!$C$2:$C$296,D$3)</f>
        <v>0</v>
      </c>
      <c r="E91" s="289">
        <f>SUMIFS('Master data'!$M$2:$M$296,'Master data'!$D$2:$D$296,$A91,'Master data'!$C$2:$C$296,E$3)</f>
        <v>0</v>
      </c>
      <c r="F91" s="289">
        <f>SUMIFS('Master data'!$M$2:$M$296,'Master data'!$D$2:$D$296,$A91,'Master data'!$C$2:$C$296,F$3)</f>
        <v>0</v>
      </c>
      <c r="G91" s="289">
        <f>SUMIFS('Master data'!$M$2:$M$296,'Master data'!$D$2:$D$296,$A91,'Master data'!$C$2:$C$296,G$3)</f>
        <v>0</v>
      </c>
      <c r="H91" s="289">
        <f>SUMIFS('Master data'!$M$2:$M$296,'Master data'!$D$2:$D$296,$A91,'Master data'!$C$2:$C$296,H$3)</f>
        <v>0</v>
      </c>
      <c r="I91" s="289">
        <f>SUMIFS('Master data'!$M$2:$M$296,'Master data'!$D$2:$D$296,$A91,'Master data'!$C$2:$C$296,I$3)</f>
        <v>0</v>
      </c>
      <c r="J91" s="289">
        <f>SUMIFS('Master data'!$M$2:$M$296,'Master data'!$D$2:$D$296,$A91,'Master data'!$C$2:$C$296,J$3)</f>
        <v>0</v>
      </c>
      <c r="K91" s="289">
        <f>SUMIFS('Master data'!$M$2:$M$296,'Master data'!$D$2:$D$296,$A91,'Master data'!$C$2:$C$296,K$3)</f>
        <v>5941091</v>
      </c>
      <c r="L91" s="289">
        <f>SUMIFS('Master data'!$M$2:$M$296,'Master data'!$D$2:$D$296,$A91,'Master data'!$C$2:$C$296,L$3)</f>
        <v>0</v>
      </c>
      <c r="M91" s="289">
        <f>SUMIFS('Master data'!$M$2:$M$296,'Master data'!$D$2:$D$296,$A91,'Master data'!$C$2:$C$296,M$3)</f>
        <v>0</v>
      </c>
      <c r="N91" s="299">
        <f t="shared" si="1"/>
        <v>5941091</v>
      </c>
    </row>
    <row r="92" spans="1:14" x14ac:dyDescent="0.35">
      <c r="A92" s="293" t="s">
        <v>1202</v>
      </c>
      <c r="B92" s="288">
        <f>SUMIFS('Master data'!$M$2:$M$296,'Master data'!$D$2:$D$296,$A92,'Master data'!$C$2:$C$296,B$3)</f>
        <v>0</v>
      </c>
      <c r="C92" s="288">
        <f>SUMIFS('Master data'!$M$2:$M$296,'Master data'!$D$2:$D$296,$A92,'Master data'!$C$2:$C$296,C$3)</f>
        <v>0</v>
      </c>
      <c r="D92" s="288">
        <f>SUMIFS('Master data'!$M$2:$M$296,'Master data'!$D$2:$D$296,$A92,'Master data'!$C$2:$C$296,D$3)</f>
        <v>0</v>
      </c>
      <c r="E92" s="288">
        <f>SUMIFS('Master data'!$M$2:$M$296,'Master data'!$D$2:$D$296,$A92,'Master data'!$C$2:$C$296,E$3)</f>
        <v>0</v>
      </c>
      <c r="F92" s="288">
        <f>SUMIFS('Master data'!$M$2:$M$296,'Master data'!$D$2:$D$296,$A92,'Master data'!$C$2:$C$296,F$3)</f>
        <v>0</v>
      </c>
      <c r="G92" s="288">
        <f>SUMIFS('Master data'!$M$2:$M$296,'Master data'!$D$2:$D$296,$A92,'Master data'!$C$2:$C$296,G$3)</f>
        <v>0</v>
      </c>
      <c r="H92" s="288">
        <f>SUMIFS('Master data'!$M$2:$M$296,'Master data'!$D$2:$D$296,$A92,'Master data'!$C$2:$C$296,H$3)</f>
        <v>0</v>
      </c>
      <c r="I92" s="288">
        <f>SUMIFS('Master data'!$M$2:$M$296,'Master data'!$D$2:$D$296,$A92,'Master data'!$C$2:$C$296,I$3)</f>
        <v>0</v>
      </c>
      <c r="J92" s="288">
        <f>SUMIFS('Master data'!$M$2:$M$296,'Master data'!$D$2:$D$296,$A92,'Master data'!$C$2:$C$296,J$3)</f>
        <v>0</v>
      </c>
      <c r="K92" s="288">
        <f>SUMIFS('Master data'!$M$2:$M$296,'Master data'!$D$2:$D$296,$A92,'Master data'!$C$2:$C$296,K$3)</f>
        <v>0</v>
      </c>
      <c r="L92" s="288">
        <f>SUMIFS('Master data'!$M$2:$M$296,'Master data'!$D$2:$D$296,$A92,'Master data'!$C$2:$C$296,L$3)</f>
        <v>4445500</v>
      </c>
      <c r="M92" s="288">
        <f>SUMIFS('Master data'!$M$2:$M$296,'Master data'!$D$2:$D$296,$A92,'Master data'!$C$2:$C$296,M$3)</f>
        <v>0</v>
      </c>
      <c r="N92" s="298">
        <f t="shared" si="1"/>
        <v>4445500</v>
      </c>
    </row>
    <row r="93" spans="1:14" x14ac:dyDescent="0.35">
      <c r="A93" s="294" t="s">
        <v>1239</v>
      </c>
      <c r="B93" s="289">
        <f>SUMIFS('Master data'!$M$2:$M$296,'Master data'!$D$2:$D$296,$A93,'Master data'!$C$2:$C$296,B$3)</f>
        <v>0</v>
      </c>
      <c r="C93" s="289">
        <f>SUMIFS('Master data'!$M$2:$M$296,'Master data'!$D$2:$D$296,$A93,'Master data'!$C$2:$C$296,C$3)</f>
        <v>0</v>
      </c>
      <c r="D93" s="289">
        <f>SUMIFS('Master data'!$M$2:$M$296,'Master data'!$D$2:$D$296,$A93,'Master data'!$C$2:$C$296,D$3)</f>
        <v>0</v>
      </c>
      <c r="E93" s="289">
        <f>SUMIFS('Master data'!$M$2:$M$296,'Master data'!$D$2:$D$296,$A93,'Master data'!$C$2:$C$296,E$3)</f>
        <v>0</v>
      </c>
      <c r="F93" s="289">
        <f>SUMIFS('Master data'!$M$2:$M$296,'Master data'!$D$2:$D$296,$A93,'Master data'!$C$2:$C$296,F$3)</f>
        <v>0</v>
      </c>
      <c r="G93" s="289">
        <f>SUMIFS('Master data'!$M$2:$M$296,'Master data'!$D$2:$D$296,$A93,'Master data'!$C$2:$C$296,G$3)</f>
        <v>0</v>
      </c>
      <c r="H93" s="289">
        <f>SUMIFS('Master data'!$M$2:$M$296,'Master data'!$D$2:$D$296,$A93,'Master data'!$C$2:$C$296,H$3)</f>
        <v>4156466</v>
      </c>
      <c r="I93" s="289">
        <f>SUMIFS('Master data'!$M$2:$M$296,'Master data'!$D$2:$D$296,$A93,'Master data'!$C$2:$C$296,I$3)</f>
        <v>0</v>
      </c>
      <c r="J93" s="289">
        <f>SUMIFS('Master data'!$M$2:$M$296,'Master data'!$D$2:$D$296,$A93,'Master data'!$C$2:$C$296,J$3)</f>
        <v>0</v>
      </c>
      <c r="K93" s="289">
        <f>SUMIFS('Master data'!$M$2:$M$296,'Master data'!$D$2:$D$296,$A93,'Master data'!$C$2:$C$296,K$3)</f>
        <v>0</v>
      </c>
      <c r="L93" s="289">
        <f>SUMIFS('Master data'!$M$2:$M$296,'Master data'!$D$2:$D$296,$A93,'Master data'!$C$2:$C$296,L$3)</f>
        <v>0</v>
      </c>
      <c r="M93" s="289">
        <f>SUMIFS('Master data'!$M$2:$M$296,'Master data'!$D$2:$D$296,$A93,'Master data'!$C$2:$C$296,M$3)</f>
        <v>0</v>
      </c>
      <c r="N93" s="299">
        <f t="shared" si="1"/>
        <v>4156466</v>
      </c>
    </row>
    <row r="94" spans="1:14" x14ac:dyDescent="0.35">
      <c r="A94" s="293" t="s">
        <v>1180</v>
      </c>
      <c r="B94" s="288">
        <f>SUMIFS('Master data'!$M$2:$M$296,'Master data'!$D$2:$D$296,$A94,'Master data'!$C$2:$C$296,B$3)</f>
        <v>5403480</v>
      </c>
      <c r="C94" s="288">
        <f>SUMIFS('Master data'!$M$2:$M$296,'Master data'!$D$2:$D$296,$A94,'Master data'!$C$2:$C$296,C$3)</f>
        <v>0</v>
      </c>
      <c r="D94" s="288">
        <f>SUMIFS('Master data'!$M$2:$M$296,'Master data'!$D$2:$D$296,$A94,'Master data'!$C$2:$C$296,D$3)</f>
        <v>0</v>
      </c>
      <c r="E94" s="288">
        <f>SUMIFS('Master data'!$M$2:$M$296,'Master data'!$D$2:$D$296,$A94,'Master data'!$C$2:$C$296,E$3)</f>
        <v>0</v>
      </c>
      <c r="F94" s="288">
        <f>SUMIFS('Master data'!$M$2:$M$296,'Master data'!$D$2:$D$296,$A94,'Master data'!$C$2:$C$296,F$3)</f>
        <v>0</v>
      </c>
      <c r="G94" s="288">
        <f>SUMIFS('Master data'!$M$2:$M$296,'Master data'!$D$2:$D$296,$A94,'Master data'!$C$2:$C$296,G$3)</f>
        <v>0</v>
      </c>
      <c r="H94" s="288">
        <f>SUMIFS('Master data'!$M$2:$M$296,'Master data'!$D$2:$D$296,$A94,'Master data'!$C$2:$C$296,H$3)</f>
        <v>0</v>
      </c>
      <c r="I94" s="288">
        <f>SUMIFS('Master data'!$M$2:$M$296,'Master data'!$D$2:$D$296,$A94,'Master data'!$C$2:$C$296,I$3)</f>
        <v>0</v>
      </c>
      <c r="J94" s="288">
        <f>SUMIFS('Master data'!$M$2:$M$296,'Master data'!$D$2:$D$296,$A94,'Master data'!$C$2:$C$296,J$3)</f>
        <v>0</v>
      </c>
      <c r="K94" s="288">
        <f>SUMIFS('Master data'!$M$2:$M$296,'Master data'!$D$2:$D$296,$A94,'Master data'!$C$2:$C$296,K$3)</f>
        <v>0</v>
      </c>
      <c r="L94" s="288">
        <f>SUMIFS('Master data'!$M$2:$M$296,'Master data'!$D$2:$D$296,$A94,'Master data'!$C$2:$C$296,L$3)</f>
        <v>0</v>
      </c>
      <c r="M94" s="288">
        <f>SUMIFS('Master data'!$M$2:$M$296,'Master data'!$D$2:$D$296,$A94,'Master data'!$C$2:$C$296,M$3)</f>
        <v>0</v>
      </c>
      <c r="N94" s="298">
        <f t="shared" si="1"/>
        <v>5403480</v>
      </c>
    </row>
    <row r="95" spans="1:14" x14ac:dyDescent="0.35">
      <c r="A95" s="294" t="s">
        <v>1192</v>
      </c>
      <c r="B95" s="289">
        <f>SUMIFS('Master data'!$M$2:$M$296,'Master data'!$D$2:$D$296,$A95,'Master data'!$C$2:$C$296,B$3)</f>
        <v>4107438</v>
      </c>
      <c r="C95" s="289">
        <f>SUMIFS('Master data'!$M$2:$M$296,'Master data'!$D$2:$D$296,$A95,'Master data'!$C$2:$C$296,C$3)</f>
        <v>0</v>
      </c>
      <c r="D95" s="289">
        <f>SUMIFS('Master data'!$M$2:$M$296,'Master data'!$D$2:$D$296,$A95,'Master data'!$C$2:$C$296,D$3)</f>
        <v>0</v>
      </c>
      <c r="E95" s="289">
        <f>SUMIFS('Master data'!$M$2:$M$296,'Master data'!$D$2:$D$296,$A95,'Master data'!$C$2:$C$296,E$3)</f>
        <v>0</v>
      </c>
      <c r="F95" s="289">
        <f>SUMIFS('Master data'!$M$2:$M$296,'Master data'!$D$2:$D$296,$A95,'Master data'!$C$2:$C$296,F$3)</f>
        <v>0</v>
      </c>
      <c r="G95" s="289">
        <f>SUMIFS('Master data'!$M$2:$M$296,'Master data'!$D$2:$D$296,$A95,'Master data'!$C$2:$C$296,G$3)</f>
        <v>0</v>
      </c>
      <c r="H95" s="289">
        <f>SUMIFS('Master data'!$M$2:$M$296,'Master data'!$D$2:$D$296,$A95,'Master data'!$C$2:$C$296,H$3)</f>
        <v>0</v>
      </c>
      <c r="I95" s="289">
        <f>SUMIFS('Master data'!$M$2:$M$296,'Master data'!$D$2:$D$296,$A95,'Master data'!$C$2:$C$296,I$3)</f>
        <v>0</v>
      </c>
      <c r="J95" s="289">
        <f>SUMIFS('Master data'!$M$2:$M$296,'Master data'!$D$2:$D$296,$A95,'Master data'!$C$2:$C$296,J$3)</f>
        <v>0</v>
      </c>
      <c r="K95" s="289">
        <f>SUMIFS('Master data'!$M$2:$M$296,'Master data'!$D$2:$D$296,$A95,'Master data'!$C$2:$C$296,K$3)</f>
        <v>0</v>
      </c>
      <c r="L95" s="289">
        <f>SUMIFS('Master data'!$M$2:$M$296,'Master data'!$D$2:$D$296,$A95,'Master data'!$C$2:$C$296,L$3)</f>
        <v>0</v>
      </c>
      <c r="M95" s="289">
        <f>SUMIFS('Master data'!$M$2:$M$296,'Master data'!$D$2:$D$296,$A95,'Master data'!$C$2:$C$296,M$3)</f>
        <v>0</v>
      </c>
      <c r="N95" s="299">
        <f t="shared" si="1"/>
        <v>4107438</v>
      </c>
    </row>
    <row r="96" spans="1:14" x14ac:dyDescent="0.35">
      <c r="A96" s="293" t="s">
        <v>1225</v>
      </c>
      <c r="B96" s="288">
        <f>SUMIFS('Master data'!$M$2:$M$296,'Master data'!$D$2:$D$296,$A96,'Master data'!$C$2:$C$296,B$3)</f>
        <v>0</v>
      </c>
      <c r="C96" s="288">
        <f>SUMIFS('Master data'!$M$2:$M$296,'Master data'!$D$2:$D$296,$A96,'Master data'!$C$2:$C$296,C$3)</f>
        <v>2738122</v>
      </c>
      <c r="D96" s="288">
        <f>SUMIFS('Master data'!$M$2:$M$296,'Master data'!$D$2:$D$296,$A96,'Master data'!$C$2:$C$296,D$3)</f>
        <v>0</v>
      </c>
      <c r="E96" s="288">
        <f>SUMIFS('Master data'!$M$2:$M$296,'Master data'!$D$2:$D$296,$A96,'Master data'!$C$2:$C$296,E$3)</f>
        <v>0</v>
      </c>
      <c r="F96" s="288">
        <f>SUMIFS('Master data'!$M$2:$M$296,'Master data'!$D$2:$D$296,$A96,'Master data'!$C$2:$C$296,F$3)</f>
        <v>0</v>
      </c>
      <c r="G96" s="288">
        <f>SUMIFS('Master data'!$M$2:$M$296,'Master data'!$D$2:$D$296,$A96,'Master data'!$C$2:$C$296,G$3)</f>
        <v>0</v>
      </c>
      <c r="H96" s="288">
        <f>SUMIFS('Master data'!$M$2:$M$296,'Master data'!$D$2:$D$296,$A96,'Master data'!$C$2:$C$296,H$3)</f>
        <v>0</v>
      </c>
      <c r="I96" s="288">
        <f>SUMIFS('Master data'!$M$2:$M$296,'Master data'!$D$2:$D$296,$A96,'Master data'!$C$2:$C$296,I$3)</f>
        <v>0</v>
      </c>
      <c r="J96" s="288">
        <f>SUMIFS('Master data'!$M$2:$M$296,'Master data'!$D$2:$D$296,$A96,'Master data'!$C$2:$C$296,J$3)</f>
        <v>0</v>
      </c>
      <c r="K96" s="288">
        <f>SUMIFS('Master data'!$M$2:$M$296,'Master data'!$D$2:$D$296,$A96,'Master data'!$C$2:$C$296,K$3)</f>
        <v>0</v>
      </c>
      <c r="L96" s="288">
        <f>SUMIFS('Master data'!$M$2:$M$296,'Master data'!$D$2:$D$296,$A96,'Master data'!$C$2:$C$296,L$3)</f>
        <v>0</v>
      </c>
      <c r="M96" s="288">
        <f>SUMIFS('Master data'!$M$2:$M$296,'Master data'!$D$2:$D$296,$A96,'Master data'!$C$2:$C$296,M$3)</f>
        <v>0</v>
      </c>
      <c r="N96" s="298">
        <f t="shared" si="1"/>
        <v>2738122</v>
      </c>
    </row>
    <row r="97" spans="1:14" x14ac:dyDescent="0.35">
      <c r="A97" s="294" t="s">
        <v>1231</v>
      </c>
      <c r="B97" s="289">
        <f>SUMIFS('Master data'!$M$2:$M$296,'Master data'!$D$2:$D$296,$A97,'Master data'!$C$2:$C$296,B$3)</f>
        <v>0</v>
      </c>
      <c r="C97" s="289">
        <f>SUMIFS('Master data'!$M$2:$M$296,'Master data'!$D$2:$D$296,$A97,'Master data'!$C$2:$C$296,C$3)</f>
        <v>0</v>
      </c>
      <c r="D97" s="289">
        <f>SUMIFS('Master data'!$M$2:$M$296,'Master data'!$D$2:$D$296,$A97,'Master data'!$C$2:$C$296,D$3)</f>
        <v>0</v>
      </c>
      <c r="E97" s="289">
        <f>SUMIFS('Master data'!$M$2:$M$296,'Master data'!$D$2:$D$296,$A97,'Master data'!$C$2:$C$296,E$3)</f>
        <v>0</v>
      </c>
      <c r="F97" s="289">
        <f>SUMIFS('Master data'!$M$2:$M$296,'Master data'!$D$2:$D$296,$A97,'Master data'!$C$2:$C$296,F$3)</f>
        <v>0</v>
      </c>
      <c r="G97" s="289">
        <f>SUMIFS('Master data'!$M$2:$M$296,'Master data'!$D$2:$D$296,$A97,'Master data'!$C$2:$C$296,G$3)</f>
        <v>3945651</v>
      </c>
      <c r="H97" s="289">
        <f>SUMIFS('Master data'!$M$2:$M$296,'Master data'!$D$2:$D$296,$A97,'Master data'!$C$2:$C$296,H$3)</f>
        <v>0</v>
      </c>
      <c r="I97" s="289">
        <f>SUMIFS('Master data'!$M$2:$M$296,'Master data'!$D$2:$D$296,$A97,'Master data'!$C$2:$C$296,I$3)</f>
        <v>0</v>
      </c>
      <c r="J97" s="289">
        <f>SUMIFS('Master data'!$M$2:$M$296,'Master data'!$D$2:$D$296,$A97,'Master data'!$C$2:$C$296,J$3)</f>
        <v>0</v>
      </c>
      <c r="K97" s="289">
        <f>SUMIFS('Master data'!$M$2:$M$296,'Master data'!$D$2:$D$296,$A97,'Master data'!$C$2:$C$296,K$3)</f>
        <v>0</v>
      </c>
      <c r="L97" s="289">
        <f>SUMIFS('Master data'!$M$2:$M$296,'Master data'!$D$2:$D$296,$A97,'Master data'!$C$2:$C$296,L$3)</f>
        <v>0</v>
      </c>
      <c r="M97" s="289">
        <f>SUMIFS('Master data'!$M$2:$M$296,'Master data'!$D$2:$D$296,$A97,'Master data'!$C$2:$C$296,M$3)</f>
        <v>0</v>
      </c>
      <c r="N97" s="299">
        <f t="shared" si="1"/>
        <v>3945651</v>
      </c>
    </row>
    <row r="98" spans="1:14" x14ac:dyDescent="0.35">
      <c r="A98" s="293" t="s">
        <v>1214</v>
      </c>
      <c r="B98" s="288">
        <f>SUMIFS('Master data'!$M$2:$M$296,'Master data'!$D$2:$D$296,$A98,'Master data'!$C$2:$C$296,B$3)</f>
        <v>0</v>
      </c>
      <c r="C98" s="288">
        <f>SUMIFS('Master data'!$M$2:$M$296,'Master data'!$D$2:$D$296,$A98,'Master data'!$C$2:$C$296,C$3)</f>
        <v>0</v>
      </c>
      <c r="D98" s="288">
        <f>SUMIFS('Master data'!$M$2:$M$296,'Master data'!$D$2:$D$296,$A98,'Master data'!$C$2:$C$296,D$3)</f>
        <v>0</v>
      </c>
      <c r="E98" s="288">
        <f>SUMIFS('Master data'!$M$2:$M$296,'Master data'!$D$2:$D$296,$A98,'Master data'!$C$2:$C$296,E$3)</f>
        <v>0</v>
      </c>
      <c r="F98" s="288">
        <f>SUMIFS('Master data'!$M$2:$M$296,'Master data'!$D$2:$D$296,$A98,'Master data'!$C$2:$C$296,F$3)</f>
        <v>0</v>
      </c>
      <c r="G98" s="288">
        <f>SUMIFS('Master data'!$M$2:$M$296,'Master data'!$D$2:$D$296,$A98,'Master data'!$C$2:$C$296,G$3)</f>
        <v>0</v>
      </c>
      <c r="H98" s="288">
        <f>SUMIFS('Master data'!$M$2:$M$296,'Master data'!$D$2:$D$296,$A98,'Master data'!$C$2:$C$296,H$3)</f>
        <v>0</v>
      </c>
      <c r="I98" s="288">
        <f>SUMIFS('Master data'!$M$2:$M$296,'Master data'!$D$2:$D$296,$A98,'Master data'!$C$2:$C$296,I$3)</f>
        <v>0</v>
      </c>
      <c r="J98" s="288">
        <f>SUMIFS('Master data'!$M$2:$M$296,'Master data'!$D$2:$D$296,$A98,'Master data'!$C$2:$C$296,J$3)</f>
        <v>5025273</v>
      </c>
      <c r="K98" s="288">
        <f>SUMIFS('Master data'!$M$2:$M$296,'Master data'!$D$2:$D$296,$A98,'Master data'!$C$2:$C$296,K$3)</f>
        <v>0</v>
      </c>
      <c r="L98" s="288">
        <f>SUMIFS('Master data'!$M$2:$M$296,'Master data'!$D$2:$D$296,$A98,'Master data'!$C$2:$C$296,L$3)</f>
        <v>0</v>
      </c>
      <c r="M98" s="288">
        <f>SUMIFS('Master data'!$M$2:$M$296,'Master data'!$D$2:$D$296,$A98,'Master data'!$C$2:$C$296,M$3)</f>
        <v>0</v>
      </c>
      <c r="N98" s="298">
        <f t="shared" si="1"/>
        <v>5025273</v>
      </c>
    </row>
    <row r="99" spans="1:14" x14ac:dyDescent="0.35">
      <c r="A99" s="294" t="s">
        <v>1144</v>
      </c>
      <c r="B99" s="289">
        <f>SUMIFS('Master data'!$M$2:$M$296,'Master data'!$D$2:$D$296,$A99,'Master data'!$C$2:$C$296,B$3)</f>
        <v>0</v>
      </c>
      <c r="C99" s="289">
        <f>SUMIFS('Master data'!$M$2:$M$296,'Master data'!$D$2:$D$296,$A99,'Master data'!$C$2:$C$296,C$3)</f>
        <v>0</v>
      </c>
      <c r="D99" s="289">
        <f>SUMIFS('Master data'!$M$2:$M$296,'Master data'!$D$2:$D$296,$A99,'Master data'!$C$2:$C$296,D$3)</f>
        <v>0</v>
      </c>
      <c r="E99" s="289">
        <f>SUMIFS('Master data'!$M$2:$M$296,'Master data'!$D$2:$D$296,$A99,'Master data'!$C$2:$C$296,E$3)</f>
        <v>0</v>
      </c>
      <c r="F99" s="289">
        <f>SUMIFS('Master data'!$M$2:$M$296,'Master data'!$D$2:$D$296,$A99,'Master data'!$C$2:$C$296,F$3)</f>
        <v>0</v>
      </c>
      <c r="G99" s="289">
        <f>SUMIFS('Master data'!$M$2:$M$296,'Master data'!$D$2:$D$296,$A99,'Master data'!$C$2:$C$296,G$3)</f>
        <v>4313937</v>
      </c>
      <c r="H99" s="289">
        <f>SUMIFS('Master data'!$M$2:$M$296,'Master data'!$D$2:$D$296,$A99,'Master data'!$C$2:$C$296,H$3)</f>
        <v>0</v>
      </c>
      <c r="I99" s="289">
        <f>SUMIFS('Master data'!$M$2:$M$296,'Master data'!$D$2:$D$296,$A99,'Master data'!$C$2:$C$296,I$3)</f>
        <v>0</v>
      </c>
      <c r="J99" s="289">
        <f>SUMIFS('Master data'!$M$2:$M$296,'Master data'!$D$2:$D$296,$A99,'Master data'!$C$2:$C$296,J$3)</f>
        <v>0</v>
      </c>
      <c r="K99" s="289">
        <f>SUMIFS('Master data'!$M$2:$M$296,'Master data'!$D$2:$D$296,$A99,'Master data'!$C$2:$C$296,K$3)</f>
        <v>0</v>
      </c>
      <c r="L99" s="289">
        <f>SUMIFS('Master data'!$M$2:$M$296,'Master data'!$D$2:$D$296,$A99,'Master data'!$C$2:$C$296,L$3)</f>
        <v>0</v>
      </c>
      <c r="M99" s="289">
        <f>SUMIFS('Master data'!$M$2:$M$296,'Master data'!$D$2:$D$296,$A99,'Master data'!$C$2:$C$296,M$3)</f>
        <v>0</v>
      </c>
      <c r="N99" s="299">
        <f t="shared" si="1"/>
        <v>4313937</v>
      </c>
    </row>
    <row r="100" spans="1:14" x14ac:dyDescent="0.35">
      <c r="A100" s="293" t="s">
        <v>1170</v>
      </c>
      <c r="B100" s="288">
        <f>SUMIFS('Master data'!$M$2:$M$296,'Master data'!$D$2:$D$296,$A100,'Master data'!$C$2:$C$296,B$3)</f>
        <v>0</v>
      </c>
      <c r="C100" s="288">
        <f>SUMIFS('Master data'!$M$2:$M$296,'Master data'!$D$2:$D$296,$A100,'Master data'!$C$2:$C$296,C$3)</f>
        <v>0</v>
      </c>
      <c r="D100" s="288">
        <f>SUMIFS('Master data'!$M$2:$M$296,'Master data'!$D$2:$D$296,$A100,'Master data'!$C$2:$C$296,D$3)</f>
        <v>0</v>
      </c>
      <c r="E100" s="288">
        <f>SUMIFS('Master data'!$M$2:$M$296,'Master data'!$D$2:$D$296,$A100,'Master data'!$C$2:$C$296,E$3)</f>
        <v>0</v>
      </c>
      <c r="F100" s="288">
        <f>SUMIFS('Master data'!$M$2:$M$296,'Master data'!$D$2:$D$296,$A100,'Master data'!$C$2:$C$296,F$3)</f>
        <v>0</v>
      </c>
      <c r="G100" s="288">
        <f>SUMIFS('Master data'!$M$2:$M$296,'Master data'!$D$2:$D$296,$A100,'Master data'!$C$2:$C$296,G$3)</f>
        <v>0</v>
      </c>
      <c r="H100" s="288">
        <f>SUMIFS('Master data'!$M$2:$M$296,'Master data'!$D$2:$D$296,$A100,'Master data'!$C$2:$C$296,H$3)</f>
        <v>0</v>
      </c>
      <c r="I100" s="288">
        <f>SUMIFS('Master data'!$M$2:$M$296,'Master data'!$D$2:$D$296,$A100,'Master data'!$C$2:$C$296,I$3)</f>
        <v>5331045</v>
      </c>
      <c r="J100" s="288">
        <f>SUMIFS('Master data'!$M$2:$M$296,'Master data'!$D$2:$D$296,$A100,'Master data'!$C$2:$C$296,J$3)</f>
        <v>0</v>
      </c>
      <c r="K100" s="288">
        <f>SUMIFS('Master data'!$M$2:$M$296,'Master data'!$D$2:$D$296,$A100,'Master data'!$C$2:$C$296,K$3)</f>
        <v>0</v>
      </c>
      <c r="L100" s="288">
        <f>SUMIFS('Master data'!$M$2:$M$296,'Master data'!$D$2:$D$296,$A100,'Master data'!$C$2:$C$296,L$3)</f>
        <v>0</v>
      </c>
      <c r="M100" s="288">
        <f>SUMIFS('Master data'!$M$2:$M$296,'Master data'!$D$2:$D$296,$A100,'Master data'!$C$2:$C$296,M$3)</f>
        <v>0</v>
      </c>
      <c r="N100" s="298">
        <f t="shared" si="1"/>
        <v>5331045</v>
      </c>
    </row>
    <row r="101" spans="1:14" x14ac:dyDescent="0.35">
      <c r="A101" s="294" t="s">
        <v>1217</v>
      </c>
      <c r="B101" s="289">
        <f>SUMIFS('Master data'!$M$2:$M$296,'Master data'!$D$2:$D$296,$A101,'Master data'!$C$2:$C$296,B$3)</f>
        <v>0</v>
      </c>
      <c r="C101" s="289">
        <f>SUMIFS('Master data'!$M$2:$M$296,'Master data'!$D$2:$D$296,$A101,'Master data'!$C$2:$C$296,C$3)</f>
        <v>0</v>
      </c>
      <c r="D101" s="289">
        <f>SUMIFS('Master data'!$M$2:$M$296,'Master data'!$D$2:$D$296,$A101,'Master data'!$C$2:$C$296,D$3)</f>
        <v>0</v>
      </c>
      <c r="E101" s="289">
        <f>SUMIFS('Master data'!$M$2:$M$296,'Master data'!$D$2:$D$296,$A101,'Master data'!$C$2:$C$296,E$3)</f>
        <v>0</v>
      </c>
      <c r="F101" s="289">
        <f>SUMIFS('Master data'!$M$2:$M$296,'Master data'!$D$2:$D$296,$A101,'Master data'!$C$2:$C$296,F$3)</f>
        <v>0</v>
      </c>
      <c r="G101" s="289">
        <f>SUMIFS('Master data'!$M$2:$M$296,'Master data'!$D$2:$D$296,$A101,'Master data'!$C$2:$C$296,G$3)</f>
        <v>0</v>
      </c>
      <c r="H101" s="289">
        <f>SUMIFS('Master data'!$M$2:$M$296,'Master data'!$D$2:$D$296,$A101,'Master data'!$C$2:$C$296,H$3)</f>
        <v>0</v>
      </c>
      <c r="I101" s="289">
        <f>SUMIFS('Master data'!$M$2:$M$296,'Master data'!$D$2:$D$296,$A101,'Master data'!$C$2:$C$296,I$3)</f>
        <v>0</v>
      </c>
      <c r="J101" s="289">
        <f>SUMIFS('Master data'!$M$2:$M$296,'Master data'!$D$2:$D$296,$A101,'Master data'!$C$2:$C$296,J$3)</f>
        <v>0</v>
      </c>
      <c r="K101" s="289">
        <f>SUMIFS('Master data'!$M$2:$M$296,'Master data'!$D$2:$D$296,$A101,'Master data'!$C$2:$C$296,K$3)</f>
        <v>0</v>
      </c>
      <c r="L101" s="289">
        <f>SUMIFS('Master data'!$M$2:$M$296,'Master data'!$D$2:$D$296,$A101,'Master data'!$C$2:$C$296,L$3)</f>
        <v>0</v>
      </c>
      <c r="M101" s="289">
        <f>SUMIFS('Master data'!$M$2:$M$296,'Master data'!$D$2:$D$296,$A101,'Master data'!$C$2:$C$296,M$3)</f>
        <v>2886224</v>
      </c>
      <c r="N101" s="299">
        <f t="shared" si="1"/>
        <v>2886224</v>
      </c>
    </row>
    <row r="102" spans="1:14" x14ac:dyDescent="0.35">
      <c r="A102" s="293" t="s">
        <v>1141</v>
      </c>
      <c r="B102" s="288">
        <f>SUMIFS('Master data'!$M$2:$M$296,'Master data'!$D$2:$D$296,$A102,'Master data'!$C$2:$C$296,B$3)</f>
        <v>0</v>
      </c>
      <c r="C102" s="288">
        <f>SUMIFS('Master data'!$M$2:$M$296,'Master data'!$D$2:$D$296,$A102,'Master data'!$C$2:$C$296,C$3)</f>
        <v>0</v>
      </c>
      <c r="D102" s="288">
        <f>SUMIFS('Master data'!$M$2:$M$296,'Master data'!$D$2:$D$296,$A102,'Master data'!$C$2:$C$296,D$3)</f>
        <v>0</v>
      </c>
      <c r="E102" s="288">
        <f>SUMIFS('Master data'!$M$2:$M$296,'Master data'!$D$2:$D$296,$A102,'Master data'!$C$2:$C$296,E$3)</f>
        <v>3304596</v>
      </c>
      <c r="F102" s="288">
        <f>SUMIFS('Master data'!$M$2:$M$296,'Master data'!$D$2:$D$296,$A102,'Master data'!$C$2:$C$296,F$3)</f>
        <v>0</v>
      </c>
      <c r="G102" s="288">
        <f>SUMIFS('Master data'!$M$2:$M$296,'Master data'!$D$2:$D$296,$A102,'Master data'!$C$2:$C$296,G$3)</f>
        <v>0</v>
      </c>
      <c r="H102" s="288">
        <f>SUMIFS('Master data'!$M$2:$M$296,'Master data'!$D$2:$D$296,$A102,'Master data'!$C$2:$C$296,H$3)</f>
        <v>0</v>
      </c>
      <c r="I102" s="288">
        <f>SUMIFS('Master data'!$M$2:$M$296,'Master data'!$D$2:$D$296,$A102,'Master data'!$C$2:$C$296,I$3)</f>
        <v>0</v>
      </c>
      <c r="J102" s="288">
        <f>SUMIFS('Master data'!$M$2:$M$296,'Master data'!$D$2:$D$296,$A102,'Master data'!$C$2:$C$296,J$3)</f>
        <v>0</v>
      </c>
      <c r="K102" s="288">
        <f>SUMIFS('Master data'!$M$2:$M$296,'Master data'!$D$2:$D$296,$A102,'Master data'!$C$2:$C$296,K$3)</f>
        <v>0</v>
      </c>
      <c r="L102" s="288">
        <f>SUMIFS('Master data'!$M$2:$M$296,'Master data'!$D$2:$D$296,$A102,'Master data'!$C$2:$C$296,L$3)</f>
        <v>0</v>
      </c>
      <c r="M102" s="288">
        <f>SUMIFS('Master data'!$M$2:$M$296,'Master data'!$D$2:$D$296,$A102,'Master data'!$C$2:$C$296,M$3)</f>
        <v>0</v>
      </c>
      <c r="N102" s="298">
        <f t="shared" si="1"/>
        <v>3304596</v>
      </c>
    </row>
    <row r="103" spans="1:14" x14ac:dyDescent="0.35">
      <c r="A103" s="294" t="s">
        <v>1207</v>
      </c>
      <c r="B103" s="289">
        <f>SUMIFS('Master data'!$M$2:$M$296,'Master data'!$D$2:$D$296,$A103,'Master data'!$C$2:$C$296,B$3)</f>
        <v>0</v>
      </c>
      <c r="C103" s="289">
        <f>SUMIFS('Master data'!$M$2:$M$296,'Master data'!$D$2:$D$296,$A103,'Master data'!$C$2:$C$296,C$3)</f>
        <v>0</v>
      </c>
      <c r="D103" s="289">
        <f>SUMIFS('Master data'!$M$2:$M$296,'Master data'!$D$2:$D$296,$A103,'Master data'!$C$2:$C$296,D$3)</f>
        <v>0</v>
      </c>
      <c r="E103" s="289">
        <f>SUMIFS('Master data'!$M$2:$M$296,'Master data'!$D$2:$D$296,$A103,'Master data'!$C$2:$C$296,E$3)</f>
        <v>2553980</v>
      </c>
      <c r="F103" s="289">
        <f>SUMIFS('Master data'!$M$2:$M$296,'Master data'!$D$2:$D$296,$A103,'Master data'!$C$2:$C$296,F$3)</f>
        <v>0</v>
      </c>
      <c r="G103" s="289">
        <f>SUMIFS('Master data'!$M$2:$M$296,'Master data'!$D$2:$D$296,$A103,'Master data'!$C$2:$C$296,G$3)</f>
        <v>0</v>
      </c>
      <c r="H103" s="289">
        <f>SUMIFS('Master data'!$M$2:$M$296,'Master data'!$D$2:$D$296,$A103,'Master data'!$C$2:$C$296,H$3)</f>
        <v>0</v>
      </c>
      <c r="I103" s="289">
        <f>SUMIFS('Master data'!$M$2:$M$296,'Master data'!$D$2:$D$296,$A103,'Master data'!$C$2:$C$296,I$3)</f>
        <v>0</v>
      </c>
      <c r="J103" s="289">
        <f>SUMIFS('Master data'!$M$2:$M$296,'Master data'!$D$2:$D$296,$A103,'Master data'!$C$2:$C$296,J$3)</f>
        <v>0</v>
      </c>
      <c r="K103" s="289">
        <f>SUMIFS('Master data'!$M$2:$M$296,'Master data'!$D$2:$D$296,$A103,'Master data'!$C$2:$C$296,K$3)</f>
        <v>0</v>
      </c>
      <c r="L103" s="289">
        <f>SUMIFS('Master data'!$M$2:$M$296,'Master data'!$D$2:$D$296,$A103,'Master data'!$C$2:$C$296,L$3)</f>
        <v>0</v>
      </c>
      <c r="M103" s="289">
        <f>SUMIFS('Master data'!$M$2:$M$296,'Master data'!$D$2:$D$296,$A103,'Master data'!$C$2:$C$296,M$3)</f>
        <v>0</v>
      </c>
      <c r="N103" s="299">
        <f t="shared" si="1"/>
        <v>2553980</v>
      </c>
    </row>
    <row r="104" spans="1:14" x14ac:dyDescent="0.35">
      <c r="A104" s="293" t="s">
        <v>1193</v>
      </c>
      <c r="B104" s="288">
        <f>SUMIFS('Master data'!$M$2:$M$296,'Master data'!$D$2:$D$296,$A104,'Master data'!$C$2:$C$296,B$3)</f>
        <v>0</v>
      </c>
      <c r="C104" s="288">
        <f>SUMIFS('Master data'!$M$2:$M$296,'Master data'!$D$2:$D$296,$A104,'Master data'!$C$2:$C$296,C$3)</f>
        <v>0</v>
      </c>
      <c r="D104" s="288">
        <f>SUMIFS('Master data'!$M$2:$M$296,'Master data'!$D$2:$D$296,$A104,'Master data'!$C$2:$C$296,D$3)</f>
        <v>0</v>
      </c>
      <c r="E104" s="288">
        <f>SUMIFS('Master data'!$M$2:$M$296,'Master data'!$D$2:$D$296,$A104,'Master data'!$C$2:$C$296,E$3)</f>
        <v>0</v>
      </c>
      <c r="F104" s="288">
        <f>SUMIFS('Master data'!$M$2:$M$296,'Master data'!$D$2:$D$296,$A104,'Master data'!$C$2:$C$296,F$3)</f>
        <v>0</v>
      </c>
      <c r="G104" s="288">
        <f>SUMIFS('Master data'!$M$2:$M$296,'Master data'!$D$2:$D$296,$A104,'Master data'!$C$2:$C$296,G$3)</f>
        <v>0</v>
      </c>
      <c r="H104" s="288">
        <f>SUMIFS('Master data'!$M$2:$M$296,'Master data'!$D$2:$D$296,$A104,'Master data'!$C$2:$C$296,H$3)</f>
        <v>0</v>
      </c>
      <c r="I104" s="288">
        <f>SUMIFS('Master data'!$M$2:$M$296,'Master data'!$D$2:$D$296,$A104,'Master data'!$C$2:$C$296,I$3)</f>
        <v>0</v>
      </c>
      <c r="J104" s="288">
        <f>SUMIFS('Master data'!$M$2:$M$296,'Master data'!$D$2:$D$296,$A104,'Master data'!$C$2:$C$296,J$3)</f>
        <v>0</v>
      </c>
      <c r="K104" s="288">
        <f>SUMIFS('Master data'!$M$2:$M$296,'Master data'!$D$2:$D$296,$A104,'Master data'!$C$2:$C$296,K$3)</f>
        <v>0</v>
      </c>
      <c r="L104" s="288">
        <f>SUMIFS('Master data'!$M$2:$M$296,'Master data'!$D$2:$D$296,$A104,'Master data'!$C$2:$C$296,L$3)</f>
        <v>4485908</v>
      </c>
      <c r="M104" s="288">
        <f>SUMIFS('Master data'!$M$2:$M$296,'Master data'!$D$2:$D$296,$A104,'Master data'!$C$2:$C$296,M$3)</f>
        <v>0</v>
      </c>
      <c r="N104" s="298">
        <f t="shared" si="1"/>
        <v>4485908</v>
      </c>
    </row>
    <row r="105" spans="1:14" x14ac:dyDescent="0.35">
      <c r="A105" s="294" t="s">
        <v>1103</v>
      </c>
      <c r="B105" s="289">
        <f>SUMIFS('Master data'!$M$2:$M$296,'Master data'!$D$2:$D$296,$A105,'Master data'!$C$2:$C$296,B$3)</f>
        <v>0</v>
      </c>
      <c r="C105" s="289">
        <f>SUMIFS('Master data'!$M$2:$M$296,'Master data'!$D$2:$D$296,$A105,'Master data'!$C$2:$C$296,C$3)</f>
        <v>2379048</v>
      </c>
      <c r="D105" s="289">
        <f>SUMIFS('Master data'!$M$2:$M$296,'Master data'!$D$2:$D$296,$A105,'Master data'!$C$2:$C$296,D$3)</f>
        <v>0</v>
      </c>
      <c r="E105" s="289">
        <f>SUMIFS('Master data'!$M$2:$M$296,'Master data'!$D$2:$D$296,$A105,'Master data'!$C$2:$C$296,E$3)</f>
        <v>0</v>
      </c>
      <c r="F105" s="289">
        <f>SUMIFS('Master data'!$M$2:$M$296,'Master data'!$D$2:$D$296,$A105,'Master data'!$C$2:$C$296,F$3)</f>
        <v>0</v>
      </c>
      <c r="G105" s="289">
        <f>SUMIFS('Master data'!$M$2:$M$296,'Master data'!$D$2:$D$296,$A105,'Master data'!$C$2:$C$296,G$3)</f>
        <v>0</v>
      </c>
      <c r="H105" s="289">
        <f>SUMIFS('Master data'!$M$2:$M$296,'Master data'!$D$2:$D$296,$A105,'Master data'!$C$2:$C$296,H$3)</f>
        <v>0</v>
      </c>
      <c r="I105" s="289">
        <f>SUMIFS('Master data'!$M$2:$M$296,'Master data'!$D$2:$D$296,$A105,'Master data'!$C$2:$C$296,I$3)</f>
        <v>0</v>
      </c>
      <c r="J105" s="289">
        <f>SUMIFS('Master data'!$M$2:$M$296,'Master data'!$D$2:$D$296,$A105,'Master data'!$C$2:$C$296,J$3)</f>
        <v>0</v>
      </c>
      <c r="K105" s="289">
        <f>SUMIFS('Master data'!$M$2:$M$296,'Master data'!$D$2:$D$296,$A105,'Master data'!$C$2:$C$296,K$3)</f>
        <v>0</v>
      </c>
      <c r="L105" s="289">
        <f>SUMIFS('Master data'!$M$2:$M$296,'Master data'!$D$2:$D$296,$A105,'Master data'!$C$2:$C$296,L$3)</f>
        <v>0</v>
      </c>
      <c r="M105" s="289">
        <f>SUMIFS('Master data'!$M$2:$M$296,'Master data'!$D$2:$D$296,$A105,'Master data'!$C$2:$C$296,M$3)</f>
        <v>0</v>
      </c>
      <c r="N105" s="299">
        <f t="shared" si="1"/>
        <v>2379048</v>
      </c>
    </row>
    <row r="106" spans="1:14" x14ac:dyDescent="0.35">
      <c r="A106" s="293" t="s">
        <v>1188</v>
      </c>
      <c r="B106" s="288">
        <f>SUMIFS('Master data'!$M$2:$M$296,'Master data'!$D$2:$D$296,$A106,'Master data'!$C$2:$C$296,B$3)</f>
        <v>1988600</v>
      </c>
      <c r="C106" s="288">
        <f>SUMIFS('Master data'!$M$2:$M$296,'Master data'!$D$2:$D$296,$A106,'Master data'!$C$2:$C$296,C$3)</f>
        <v>0</v>
      </c>
      <c r="D106" s="288">
        <f>SUMIFS('Master data'!$M$2:$M$296,'Master data'!$D$2:$D$296,$A106,'Master data'!$C$2:$C$296,D$3)</f>
        <v>0</v>
      </c>
      <c r="E106" s="288">
        <f>SUMIFS('Master data'!$M$2:$M$296,'Master data'!$D$2:$D$296,$A106,'Master data'!$C$2:$C$296,E$3)</f>
        <v>0</v>
      </c>
      <c r="F106" s="288">
        <f>SUMIFS('Master data'!$M$2:$M$296,'Master data'!$D$2:$D$296,$A106,'Master data'!$C$2:$C$296,F$3)</f>
        <v>0</v>
      </c>
      <c r="G106" s="288">
        <f>SUMIFS('Master data'!$M$2:$M$296,'Master data'!$D$2:$D$296,$A106,'Master data'!$C$2:$C$296,G$3)</f>
        <v>0</v>
      </c>
      <c r="H106" s="288">
        <f>SUMIFS('Master data'!$M$2:$M$296,'Master data'!$D$2:$D$296,$A106,'Master data'!$C$2:$C$296,H$3)</f>
        <v>0</v>
      </c>
      <c r="I106" s="288">
        <f>SUMIFS('Master data'!$M$2:$M$296,'Master data'!$D$2:$D$296,$A106,'Master data'!$C$2:$C$296,I$3)</f>
        <v>0</v>
      </c>
      <c r="J106" s="288">
        <f>SUMIFS('Master data'!$M$2:$M$296,'Master data'!$D$2:$D$296,$A106,'Master data'!$C$2:$C$296,J$3)</f>
        <v>0</v>
      </c>
      <c r="K106" s="288">
        <f>SUMIFS('Master data'!$M$2:$M$296,'Master data'!$D$2:$D$296,$A106,'Master data'!$C$2:$C$296,K$3)</f>
        <v>0</v>
      </c>
      <c r="L106" s="288">
        <f>SUMIFS('Master data'!$M$2:$M$296,'Master data'!$D$2:$D$296,$A106,'Master data'!$C$2:$C$296,L$3)</f>
        <v>0</v>
      </c>
      <c r="M106" s="288">
        <f>SUMIFS('Master data'!$M$2:$M$296,'Master data'!$D$2:$D$296,$A106,'Master data'!$C$2:$C$296,M$3)</f>
        <v>0</v>
      </c>
      <c r="N106" s="298">
        <f t="shared" si="1"/>
        <v>1988600</v>
      </c>
    </row>
    <row r="107" spans="1:14" x14ac:dyDescent="0.35">
      <c r="A107" s="294" t="s">
        <v>1122</v>
      </c>
      <c r="B107" s="289">
        <f>SUMIFS('Master data'!$M$2:$M$296,'Master data'!$D$2:$D$296,$A107,'Master data'!$C$2:$C$296,B$3)</f>
        <v>0</v>
      </c>
      <c r="C107" s="289">
        <f>SUMIFS('Master data'!$M$2:$M$296,'Master data'!$D$2:$D$296,$A107,'Master data'!$C$2:$C$296,C$3)</f>
        <v>0</v>
      </c>
      <c r="D107" s="289">
        <f>SUMIFS('Master data'!$M$2:$M$296,'Master data'!$D$2:$D$296,$A107,'Master data'!$C$2:$C$296,D$3)</f>
        <v>0</v>
      </c>
      <c r="E107" s="289">
        <f>SUMIFS('Master data'!$M$2:$M$296,'Master data'!$D$2:$D$296,$A107,'Master data'!$C$2:$C$296,E$3)</f>
        <v>0</v>
      </c>
      <c r="F107" s="289">
        <f>SUMIFS('Master data'!$M$2:$M$296,'Master data'!$D$2:$D$296,$A107,'Master data'!$C$2:$C$296,F$3)</f>
        <v>7123368</v>
      </c>
      <c r="G107" s="289">
        <f>SUMIFS('Master data'!$M$2:$M$296,'Master data'!$D$2:$D$296,$A107,'Master data'!$C$2:$C$296,G$3)</f>
        <v>0</v>
      </c>
      <c r="H107" s="289">
        <f>SUMIFS('Master data'!$M$2:$M$296,'Master data'!$D$2:$D$296,$A107,'Master data'!$C$2:$C$296,H$3)</f>
        <v>0</v>
      </c>
      <c r="I107" s="289">
        <f>SUMIFS('Master data'!$M$2:$M$296,'Master data'!$D$2:$D$296,$A107,'Master data'!$C$2:$C$296,I$3)</f>
        <v>0</v>
      </c>
      <c r="J107" s="289">
        <f>SUMIFS('Master data'!$M$2:$M$296,'Master data'!$D$2:$D$296,$A107,'Master data'!$C$2:$C$296,J$3)</f>
        <v>0</v>
      </c>
      <c r="K107" s="289">
        <f>SUMIFS('Master data'!$M$2:$M$296,'Master data'!$D$2:$D$296,$A107,'Master data'!$C$2:$C$296,K$3)</f>
        <v>0</v>
      </c>
      <c r="L107" s="289">
        <f>SUMIFS('Master data'!$M$2:$M$296,'Master data'!$D$2:$D$296,$A107,'Master data'!$C$2:$C$296,L$3)</f>
        <v>0</v>
      </c>
      <c r="M107" s="289">
        <f>SUMIFS('Master data'!$M$2:$M$296,'Master data'!$D$2:$D$296,$A107,'Master data'!$C$2:$C$296,M$3)</f>
        <v>0</v>
      </c>
      <c r="N107" s="299">
        <f t="shared" si="1"/>
        <v>7123368</v>
      </c>
    </row>
    <row r="108" spans="1:14" x14ac:dyDescent="0.35">
      <c r="A108" s="293" t="s">
        <v>1155</v>
      </c>
      <c r="B108" s="288">
        <f>SUMIFS('Master data'!$M$2:$M$296,'Master data'!$D$2:$D$296,$A108,'Master data'!$C$2:$C$296,B$3)</f>
        <v>0</v>
      </c>
      <c r="C108" s="288">
        <f>SUMIFS('Master data'!$M$2:$M$296,'Master data'!$D$2:$D$296,$A108,'Master data'!$C$2:$C$296,C$3)</f>
        <v>0</v>
      </c>
      <c r="D108" s="288">
        <f>SUMIFS('Master data'!$M$2:$M$296,'Master data'!$D$2:$D$296,$A108,'Master data'!$C$2:$C$296,D$3)</f>
        <v>0</v>
      </c>
      <c r="E108" s="288">
        <f>SUMIFS('Master data'!$M$2:$M$296,'Master data'!$D$2:$D$296,$A108,'Master data'!$C$2:$C$296,E$3)</f>
        <v>0</v>
      </c>
      <c r="F108" s="288">
        <f>SUMIFS('Master data'!$M$2:$M$296,'Master data'!$D$2:$D$296,$A108,'Master data'!$C$2:$C$296,F$3)</f>
        <v>6242976</v>
      </c>
      <c r="G108" s="288">
        <f>SUMIFS('Master data'!$M$2:$M$296,'Master data'!$D$2:$D$296,$A108,'Master data'!$C$2:$C$296,G$3)</f>
        <v>3540726</v>
      </c>
      <c r="H108" s="288">
        <f>SUMIFS('Master data'!$M$2:$M$296,'Master data'!$D$2:$D$296,$A108,'Master data'!$C$2:$C$296,H$3)</f>
        <v>3946464</v>
      </c>
      <c r="I108" s="288">
        <f>SUMIFS('Master data'!$M$2:$M$296,'Master data'!$D$2:$D$296,$A108,'Master data'!$C$2:$C$296,I$3)</f>
        <v>0</v>
      </c>
      <c r="J108" s="288">
        <f>SUMIFS('Master data'!$M$2:$M$296,'Master data'!$D$2:$D$296,$A108,'Master data'!$C$2:$C$296,J$3)</f>
        <v>0</v>
      </c>
      <c r="K108" s="288">
        <f>SUMIFS('Master data'!$M$2:$M$296,'Master data'!$D$2:$D$296,$A108,'Master data'!$C$2:$C$296,K$3)</f>
        <v>0</v>
      </c>
      <c r="L108" s="288">
        <f>SUMIFS('Master data'!$M$2:$M$296,'Master data'!$D$2:$D$296,$A108,'Master data'!$C$2:$C$296,L$3)</f>
        <v>0</v>
      </c>
      <c r="M108" s="288">
        <f>SUMIFS('Master data'!$M$2:$M$296,'Master data'!$D$2:$D$296,$A108,'Master data'!$C$2:$C$296,M$3)</f>
        <v>0</v>
      </c>
      <c r="N108" s="298">
        <f t="shared" si="1"/>
        <v>13730166</v>
      </c>
    </row>
    <row r="109" spans="1:14" x14ac:dyDescent="0.35">
      <c r="A109" s="294" t="s">
        <v>1222</v>
      </c>
      <c r="B109" s="289">
        <f>SUMIFS('Master data'!$M$2:$M$296,'Master data'!$D$2:$D$296,$A109,'Master data'!$C$2:$C$296,B$3)</f>
        <v>0</v>
      </c>
      <c r="C109" s="289">
        <f>SUMIFS('Master data'!$M$2:$M$296,'Master data'!$D$2:$D$296,$A109,'Master data'!$C$2:$C$296,C$3)</f>
        <v>0</v>
      </c>
      <c r="D109" s="289">
        <f>SUMIFS('Master data'!$M$2:$M$296,'Master data'!$D$2:$D$296,$A109,'Master data'!$C$2:$C$296,D$3)</f>
        <v>0</v>
      </c>
      <c r="E109" s="289">
        <f>SUMIFS('Master data'!$M$2:$M$296,'Master data'!$D$2:$D$296,$A109,'Master data'!$C$2:$C$296,E$3)</f>
        <v>0</v>
      </c>
      <c r="F109" s="289">
        <f>SUMIFS('Master data'!$M$2:$M$296,'Master data'!$D$2:$D$296,$A109,'Master data'!$C$2:$C$296,F$3)</f>
        <v>6510213</v>
      </c>
      <c r="G109" s="289">
        <f>SUMIFS('Master data'!$M$2:$M$296,'Master data'!$D$2:$D$296,$A109,'Master data'!$C$2:$C$296,G$3)</f>
        <v>8202521</v>
      </c>
      <c r="H109" s="289">
        <f>SUMIFS('Master data'!$M$2:$M$296,'Master data'!$D$2:$D$296,$A109,'Master data'!$C$2:$C$296,H$3)</f>
        <v>0</v>
      </c>
      <c r="I109" s="289">
        <f>SUMIFS('Master data'!$M$2:$M$296,'Master data'!$D$2:$D$296,$A109,'Master data'!$C$2:$C$296,I$3)</f>
        <v>0</v>
      </c>
      <c r="J109" s="289">
        <f>SUMIFS('Master data'!$M$2:$M$296,'Master data'!$D$2:$D$296,$A109,'Master data'!$C$2:$C$296,J$3)</f>
        <v>0</v>
      </c>
      <c r="K109" s="289">
        <f>SUMIFS('Master data'!$M$2:$M$296,'Master data'!$D$2:$D$296,$A109,'Master data'!$C$2:$C$296,K$3)</f>
        <v>6216651</v>
      </c>
      <c r="L109" s="289">
        <f>SUMIFS('Master data'!$M$2:$M$296,'Master data'!$D$2:$D$296,$A109,'Master data'!$C$2:$C$296,L$3)</f>
        <v>1499740</v>
      </c>
      <c r="M109" s="289">
        <f>SUMIFS('Master data'!$M$2:$M$296,'Master data'!$D$2:$D$296,$A109,'Master data'!$C$2:$C$296,M$3)</f>
        <v>8358176</v>
      </c>
      <c r="N109" s="299">
        <f t="shared" si="1"/>
        <v>30787301</v>
      </c>
    </row>
    <row r="110" spans="1:14" x14ac:dyDescent="0.35">
      <c r="A110" s="293" t="s">
        <v>1233</v>
      </c>
      <c r="B110" s="288">
        <f>SUMIFS('Master data'!$M$2:$M$296,'Master data'!$D$2:$D$296,$A110,'Master data'!$C$2:$C$296,B$3)</f>
        <v>0</v>
      </c>
      <c r="C110" s="288">
        <f>SUMIFS('Master data'!$M$2:$M$296,'Master data'!$D$2:$D$296,$A110,'Master data'!$C$2:$C$296,C$3)</f>
        <v>0</v>
      </c>
      <c r="D110" s="288">
        <f>SUMIFS('Master data'!$M$2:$M$296,'Master data'!$D$2:$D$296,$A110,'Master data'!$C$2:$C$296,D$3)</f>
        <v>0</v>
      </c>
      <c r="E110" s="288">
        <f>SUMIFS('Master data'!$M$2:$M$296,'Master data'!$D$2:$D$296,$A110,'Master data'!$C$2:$C$296,E$3)</f>
        <v>3390120</v>
      </c>
      <c r="F110" s="288">
        <f>SUMIFS('Master data'!$M$2:$M$296,'Master data'!$D$2:$D$296,$A110,'Master data'!$C$2:$C$296,F$3)</f>
        <v>0</v>
      </c>
      <c r="G110" s="288">
        <f>SUMIFS('Master data'!$M$2:$M$296,'Master data'!$D$2:$D$296,$A110,'Master data'!$C$2:$C$296,G$3)</f>
        <v>0</v>
      </c>
      <c r="H110" s="288">
        <f>SUMIFS('Master data'!$M$2:$M$296,'Master data'!$D$2:$D$296,$A110,'Master data'!$C$2:$C$296,H$3)</f>
        <v>0</v>
      </c>
      <c r="I110" s="288">
        <f>SUMIFS('Master data'!$M$2:$M$296,'Master data'!$D$2:$D$296,$A110,'Master data'!$C$2:$C$296,I$3)</f>
        <v>0</v>
      </c>
      <c r="J110" s="288">
        <f>SUMIFS('Master data'!$M$2:$M$296,'Master data'!$D$2:$D$296,$A110,'Master data'!$C$2:$C$296,J$3)</f>
        <v>0</v>
      </c>
      <c r="K110" s="288">
        <f>SUMIFS('Master data'!$M$2:$M$296,'Master data'!$D$2:$D$296,$A110,'Master data'!$C$2:$C$296,K$3)</f>
        <v>0</v>
      </c>
      <c r="L110" s="288">
        <f>SUMIFS('Master data'!$M$2:$M$296,'Master data'!$D$2:$D$296,$A110,'Master data'!$C$2:$C$296,L$3)</f>
        <v>0</v>
      </c>
      <c r="M110" s="288">
        <f>SUMIFS('Master data'!$M$2:$M$296,'Master data'!$D$2:$D$296,$A110,'Master data'!$C$2:$C$296,M$3)</f>
        <v>0</v>
      </c>
      <c r="N110" s="298">
        <f t="shared" si="1"/>
        <v>3390120</v>
      </c>
    </row>
    <row r="111" spans="1:14" x14ac:dyDescent="0.35">
      <c r="A111" s="294" t="s">
        <v>1167</v>
      </c>
      <c r="B111" s="289">
        <f>SUMIFS('Master data'!$M$2:$M$296,'Master data'!$D$2:$D$296,$A111,'Master data'!$C$2:$C$296,B$3)</f>
        <v>0</v>
      </c>
      <c r="C111" s="289">
        <f>SUMIFS('Master data'!$M$2:$M$296,'Master data'!$D$2:$D$296,$A111,'Master data'!$C$2:$C$296,C$3)</f>
        <v>0</v>
      </c>
      <c r="D111" s="289">
        <f>SUMIFS('Master data'!$M$2:$M$296,'Master data'!$D$2:$D$296,$A111,'Master data'!$C$2:$C$296,D$3)</f>
        <v>0</v>
      </c>
      <c r="E111" s="289">
        <f>SUMIFS('Master data'!$M$2:$M$296,'Master data'!$D$2:$D$296,$A111,'Master data'!$C$2:$C$296,E$3)</f>
        <v>0</v>
      </c>
      <c r="F111" s="289">
        <f>SUMIFS('Master data'!$M$2:$M$296,'Master data'!$D$2:$D$296,$A111,'Master data'!$C$2:$C$296,F$3)</f>
        <v>0</v>
      </c>
      <c r="G111" s="289">
        <f>SUMIFS('Master data'!$M$2:$M$296,'Master data'!$D$2:$D$296,$A111,'Master data'!$C$2:$C$296,G$3)</f>
        <v>0</v>
      </c>
      <c r="H111" s="289">
        <f>SUMIFS('Master data'!$M$2:$M$296,'Master data'!$D$2:$D$296,$A111,'Master data'!$C$2:$C$296,H$3)</f>
        <v>0</v>
      </c>
      <c r="I111" s="289">
        <f>SUMIFS('Master data'!$M$2:$M$296,'Master data'!$D$2:$D$296,$A111,'Master data'!$C$2:$C$296,I$3)</f>
        <v>0</v>
      </c>
      <c r="J111" s="289">
        <f>SUMIFS('Master data'!$M$2:$M$296,'Master data'!$D$2:$D$296,$A111,'Master data'!$C$2:$C$296,J$3)</f>
        <v>6097110</v>
      </c>
      <c r="K111" s="289">
        <f>SUMIFS('Master data'!$M$2:$M$296,'Master data'!$D$2:$D$296,$A111,'Master data'!$C$2:$C$296,K$3)</f>
        <v>0</v>
      </c>
      <c r="L111" s="289">
        <f>SUMIFS('Master data'!$M$2:$M$296,'Master data'!$D$2:$D$296,$A111,'Master data'!$C$2:$C$296,L$3)</f>
        <v>0</v>
      </c>
      <c r="M111" s="289">
        <f>SUMIFS('Master data'!$M$2:$M$296,'Master data'!$D$2:$D$296,$A111,'Master data'!$C$2:$C$296,M$3)</f>
        <v>0</v>
      </c>
      <c r="N111" s="299">
        <f t="shared" si="1"/>
        <v>6097110</v>
      </c>
    </row>
    <row r="112" spans="1:14" x14ac:dyDescent="0.35">
      <c r="A112" s="293" t="s">
        <v>1228</v>
      </c>
      <c r="B112" s="288">
        <f>SUMIFS('Master data'!$M$2:$M$296,'Master data'!$D$2:$D$296,$A112,'Master data'!$C$2:$C$296,B$3)</f>
        <v>0</v>
      </c>
      <c r="C112" s="288">
        <f>SUMIFS('Master data'!$M$2:$M$296,'Master data'!$D$2:$D$296,$A112,'Master data'!$C$2:$C$296,C$3)</f>
        <v>0</v>
      </c>
      <c r="D112" s="288">
        <f>SUMIFS('Master data'!$M$2:$M$296,'Master data'!$D$2:$D$296,$A112,'Master data'!$C$2:$C$296,D$3)</f>
        <v>0</v>
      </c>
      <c r="E112" s="288">
        <f>SUMIFS('Master data'!$M$2:$M$296,'Master data'!$D$2:$D$296,$A112,'Master data'!$C$2:$C$296,E$3)</f>
        <v>4926420</v>
      </c>
      <c r="F112" s="288">
        <f>SUMIFS('Master data'!$M$2:$M$296,'Master data'!$D$2:$D$296,$A112,'Master data'!$C$2:$C$296,F$3)</f>
        <v>0</v>
      </c>
      <c r="G112" s="288">
        <f>SUMIFS('Master data'!$M$2:$M$296,'Master data'!$D$2:$D$296,$A112,'Master data'!$C$2:$C$296,G$3)</f>
        <v>0</v>
      </c>
      <c r="H112" s="288">
        <f>SUMIFS('Master data'!$M$2:$M$296,'Master data'!$D$2:$D$296,$A112,'Master data'!$C$2:$C$296,H$3)</f>
        <v>0</v>
      </c>
      <c r="I112" s="288">
        <f>SUMIFS('Master data'!$M$2:$M$296,'Master data'!$D$2:$D$296,$A112,'Master data'!$C$2:$C$296,I$3)</f>
        <v>0</v>
      </c>
      <c r="J112" s="288">
        <f>SUMIFS('Master data'!$M$2:$M$296,'Master data'!$D$2:$D$296,$A112,'Master data'!$C$2:$C$296,J$3)</f>
        <v>0</v>
      </c>
      <c r="K112" s="288">
        <f>SUMIFS('Master data'!$M$2:$M$296,'Master data'!$D$2:$D$296,$A112,'Master data'!$C$2:$C$296,K$3)</f>
        <v>0</v>
      </c>
      <c r="L112" s="288">
        <f>SUMIFS('Master data'!$M$2:$M$296,'Master data'!$D$2:$D$296,$A112,'Master data'!$C$2:$C$296,L$3)</f>
        <v>0</v>
      </c>
      <c r="M112" s="288">
        <f>SUMIFS('Master data'!$M$2:$M$296,'Master data'!$D$2:$D$296,$A112,'Master data'!$C$2:$C$296,M$3)</f>
        <v>0</v>
      </c>
      <c r="N112" s="298">
        <f t="shared" si="1"/>
        <v>4926420</v>
      </c>
    </row>
    <row r="113" spans="1:14" x14ac:dyDescent="0.35">
      <c r="A113" s="294" t="s">
        <v>1164</v>
      </c>
      <c r="B113" s="289">
        <f>SUMIFS('Master data'!$M$2:$M$296,'Master data'!$D$2:$D$296,$A113,'Master data'!$C$2:$C$296,B$3)</f>
        <v>0</v>
      </c>
      <c r="C113" s="289">
        <f>SUMIFS('Master data'!$M$2:$M$296,'Master data'!$D$2:$D$296,$A113,'Master data'!$C$2:$C$296,C$3)</f>
        <v>0</v>
      </c>
      <c r="D113" s="289">
        <f>SUMIFS('Master data'!$M$2:$M$296,'Master data'!$D$2:$D$296,$A113,'Master data'!$C$2:$C$296,D$3)</f>
        <v>0</v>
      </c>
      <c r="E113" s="289">
        <f>SUMIFS('Master data'!$M$2:$M$296,'Master data'!$D$2:$D$296,$A113,'Master data'!$C$2:$C$296,E$3)</f>
        <v>0</v>
      </c>
      <c r="F113" s="289">
        <f>SUMIFS('Master data'!$M$2:$M$296,'Master data'!$D$2:$D$296,$A113,'Master data'!$C$2:$C$296,F$3)</f>
        <v>0</v>
      </c>
      <c r="G113" s="289">
        <f>SUMIFS('Master data'!$M$2:$M$296,'Master data'!$D$2:$D$296,$A113,'Master data'!$C$2:$C$296,G$3)</f>
        <v>0</v>
      </c>
      <c r="H113" s="289">
        <f>SUMIFS('Master data'!$M$2:$M$296,'Master data'!$D$2:$D$296,$A113,'Master data'!$C$2:$C$296,H$3)</f>
        <v>0</v>
      </c>
      <c r="I113" s="289">
        <f>SUMIFS('Master data'!$M$2:$M$296,'Master data'!$D$2:$D$296,$A113,'Master data'!$C$2:$C$296,I$3)</f>
        <v>0</v>
      </c>
      <c r="J113" s="289">
        <f>SUMIFS('Master data'!$M$2:$M$296,'Master data'!$D$2:$D$296,$A113,'Master data'!$C$2:$C$296,J$3)</f>
        <v>0</v>
      </c>
      <c r="K113" s="289">
        <f>SUMIFS('Master data'!$M$2:$M$296,'Master data'!$D$2:$D$296,$A113,'Master data'!$C$2:$C$296,K$3)</f>
        <v>0</v>
      </c>
      <c r="L113" s="289">
        <f>SUMIFS('Master data'!$M$2:$M$296,'Master data'!$D$2:$D$296,$A113,'Master data'!$C$2:$C$296,L$3)</f>
        <v>1577225</v>
      </c>
      <c r="M113" s="289">
        <f>SUMIFS('Master data'!$M$2:$M$296,'Master data'!$D$2:$D$296,$A113,'Master data'!$C$2:$C$296,M$3)</f>
        <v>0</v>
      </c>
      <c r="N113" s="299">
        <f t="shared" si="1"/>
        <v>1577225</v>
      </c>
    </row>
    <row r="114" spans="1:14" x14ac:dyDescent="0.35">
      <c r="A114" s="293" t="s">
        <v>1158</v>
      </c>
      <c r="B114" s="288">
        <f>SUMIFS('Master data'!$M$2:$M$296,'Master data'!$D$2:$D$296,$A114,'Master data'!$C$2:$C$296,B$3)</f>
        <v>0</v>
      </c>
      <c r="C114" s="288">
        <f>SUMIFS('Master data'!$M$2:$M$296,'Master data'!$D$2:$D$296,$A114,'Master data'!$C$2:$C$296,C$3)</f>
        <v>0</v>
      </c>
      <c r="D114" s="288">
        <f>SUMIFS('Master data'!$M$2:$M$296,'Master data'!$D$2:$D$296,$A114,'Master data'!$C$2:$C$296,D$3)</f>
        <v>0</v>
      </c>
      <c r="E114" s="288">
        <f>SUMIFS('Master data'!$M$2:$M$296,'Master data'!$D$2:$D$296,$A114,'Master data'!$C$2:$C$296,E$3)</f>
        <v>0</v>
      </c>
      <c r="F114" s="288">
        <f>SUMIFS('Master data'!$M$2:$M$296,'Master data'!$D$2:$D$296,$A114,'Master data'!$C$2:$C$296,F$3)</f>
        <v>0</v>
      </c>
      <c r="G114" s="288">
        <f>SUMIFS('Master data'!$M$2:$M$296,'Master data'!$D$2:$D$296,$A114,'Master data'!$C$2:$C$296,G$3)</f>
        <v>3621286</v>
      </c>
      <c r="H114" s="288">
        <f>SUMIFS('Master data'!$M$2:$M$296,'Master data'!$D$2:$D$296,$A114,'Master data'!$C$2:$C$296,H$3)</f>
        <v>0</v>
      </c>
      <c r="I114" s="288">
        <f>SUMIFS('Master data'!$M$2:$M$296,'Master data'!$D$2:$D$296,$A114,'Master data'!$C$2:$C$296,I$3)</f>
        <v>5477964</v>
      </c>
      <c r="J114" s="288">
        <f>SUMIFS('Master data'!$M$2:$M$296,'Master data'!$D$2:$D$296,$A114,'Master data'!$C$2:$C$296,J$3)</f>
        <v>0</v>
      </c>
      <c r="K114" s="288">
        <f>SUMIFS('Master data'!$M$2:$M$296,'Master data'!$D$2:$D$296,$A114,'Master data'!$C$2:$C$296,K$3)</f>
        <v>0</v>
      </c>
      <c r="L114" s="288">
        <f>SUMIFS('Master data'!$M$2:$M$296,'Master data'!$D$2:$D$296,$A114,'Master data'!$C$2:$C$296,L$3)</f>
        <v>2446290</v>
      </c>
      <c r="M114" s="288">
        <f>SUMIFS('Master data'!$M$2:$M$296,'Master data'!$D$2:$D$296,$A114,'Master data'!$C$2:$C$296,M$3)</f>
        <v>5795784</v>
      </c>
      <c r="N114" s="298">
        <f t="shared" si="1"/>
        <v>17341324</v>
      </c>
    </row>
    <row r="115" spans="1:14" x14ac:dyDescent="0.35">
      <c r="A115" s="294" t="s">
        <v>1114</v>
      </c>
      <c r="B115" s="289">
        <f>SUMIFS('Master data'!$M$2:$M$296,'Master data'!$D$2:$D$296,$A115,'Master data'!$C$2:$C$296,B$3)</f>
        <v>0</v>
      </c>
      <c r="C115" s="289">
        <f>SUMIFS('Master data'!$M$2:$M$296,'Master data'!$D$2:$D$296,$A115,'Master data'!$C$2:$C$296,C$3)</f>
        <v>0</v>
      </c>
      <c r="D115" s="289">
        <f>SUMIFS('Master data'!$M$2:$M$296,'Master data'!$D$2:$D$296,$A115,'Master data'!$C$2:$C$296,D$3)</f>
        <v>0</v>
      </c>
      <c r="E115" s="289">
        <f>SUMIFS('Master data'!$M$2:$M$296,'Master data'!$D$2:$D$296,$A115,'Master data'!$C$2:$C$296,E$3)</f>
        <v>0</v>
      </c>
      <c r="F115" s="289">
        <f>SUMIFS('Master data'!$M$2:$M$296,'Master data'!$D$2:$D$296,$A115,'Master data'!$C$2:$C$296,F$3)</f>
        <v>0</v>
      </c>
      <c r="G115" s="289">
        <f>SUMIFS('Master data'!$M$2:$M$296,'Master data'!$D$2:$D$296,$A115,'Master data'!$C$2:$C$296,G$3)</f>
        <v>0</v>
      </c>
      <c r="H115" s="289">
        <f>SUMIFS('Master data'!$M$2:$M$296,'Master data'!$D$2:$D$296,$A115,'Master data'!$C$2:$C$296,H$3)</f>
        <v>0</v>
      </c>
      <c r="I115" s="289">
        <f>SUMIFS('Master data'!$M$2:$M$296,'Master data'!$D$2:$D$296,$A115,'Master data'!$C$2:$C$296,I$3)</f>
        <v>3584988</v>
      </c>
      <c r="J115" s="289">
        <f>SUMIFS('Master data'!$M$2:$M$296,'Master data'!$D$2:$D$296,$A115,'Master data'!$C$2:$C$296,J$3)</f>
        <v>0</v>
      </c>
      <c r="K115" s="289">
        <f>SUMIFS('Master data'!$M$2:$M$296,'Master data'!$D$2:$D$296,$A115,'Master data'!$C$2:$C$296,K$3)</f>
        <v>0</v>
      </c>
      <c r="L115" s="289">
        <f>SUMIFS('Master data'!$M$2:$M$296,'Master data'!$D$2:$D$296,$A115,'Master data'!$C$2:$C$296,L$3)</f>
        <v>0</v>
      </c>
      <c r="M115" s="289">
        <f>SUMIFS('Master data'!$M$2:$M$296,'Master data'!$D$2:$D$296,$A115,'Master data'!$C$2:$C$296,M$3)</f>
        <v>0</v>
      </c>
      <c r="N115" s="299">
        <f t="shared" si="1"/>
        <v>3584988</v>
      </c>
    </row>
    <row r="116" spans="1:14" x14ac:dyDescent="0.35">
      <c r="A116" s="293" t="s">
        <v>1121</v>
      </c>
      <c r="B116" s="288">
        <f>SUMIFS('Master data'!$M$2:$M$296,'Master data'!$D$2:$D$296,$A116,'Master data'!$C$2:$C$296,B$3)</f>
        <v>4207275</v>
      </c>
      <c r="C116" s="288">
        <f>SUMIFS('Master data'!$M$2:$M$296,'Master data'!$D$2:$D$296,$A116,'Master data'!$C$2:$C$296,C$3)</f>
        <v>0</v>
      </c>
      <c r="D116" s="288">
        <f>SUMIFS('Master data'!$M$2:$M$296,'Master data'!$D$2:$D$296,$A116,'Master data'!$C$2:$C$296,D$3)</f>
        <v>0</v>
      </c>
      <c r="E116" s="288">
        <f>SUMIFS('Master data'!$M$2:$M$296,'Master data'!$D$2:$D$296,$A116,'Master data'!$C$2:$C$296,E$3)</f>
        <v>0</v>
      </c>
      <c r="F116" s="288">
        <f>SUMIFS('Master data'!$M$2:$M$296,'Master data'!$D$2:$D$296,$A116,'Master data'!$C$2:$C$296,F$3)</f>
        <v>0</v>
      </c>
      <c r="G116" s="288">
        <f>SUMIFS('Master data'!$M$2:$M$296,'Master data'!$D$2:$D$296,$A116,'Master data'!$C$2:$C$296,G$3)</f>
        <v>0</v>
      </c>
      <c r="H116" s="288">
        <f>SUMIFS('Master data'!$M$2:$M$296,'Master data'!$D$2:$D$296,$A116,'Master data'!$C$2:$C$296,H$3)</f>
        <v>0</v>
      </c>
      <c r="I116" s="288">
        <f>SUMIFS('Master data'!$M$2:$M$296,'Master data'!$D$2:$D$296,$A116,'Master data'!$C$2:$C$296,I$3)</f>
        <v>0</v>
      </c>
      <c r="J116" s="288">
        <f>SUMIFS('Master data'!$M$2:$M$296,'Master data'!$D$2:$D$296,$A116,'Master data'!$C$2:$C$296,J$3)</f>
        <v>0</v>
      </c>
      <c r="K116" s="288">
        <f>SUMIFS('Master data'!$M$2:$M$296,'Master data'!$D$2:$D$296,$A116,'Master data'!$C$2:$C$296,K$3)</f>
        <v>0</v>
      </c>
      <c r="L116" s="288">
        <f>SUMIFS('Master data'!$M$2:$M$296,'Master data'!$D$2:$D$296,$A116,'Master data'!$C$2:$C$296,L$3)</f>
        <v>0</v>
      </c>
      <c r="M116" s="288">
        <f>SUMIFS('Master data'!$M$2:$M$296,'Master data'!$D$2:$D$296,$A116,'Master data'!$C$2:$C$296,M$3)</f>
        <v>0</v>
      </c>
      <c r="N116" s="298">
        <f t="shared" si="1"/>
        <v>4207275</v>
      </c>
    </row>
    <row r="117" spans="1:14" x14ac:dyDescent="0.35">
      <c r="A117" s="294" t="s">
        <v>1206</v>
      </c>
      <c r="B117" s="289">
        <f>SUMIFS('Master data'!$M$2:$M$296,'Master data'!$D$2:$D$296,$A117,'Master data'!$C$2:$C$296,B$3)</f>
        <v>0</v>
      </c>
      <c r="C117" s="289">
        <f>SUMIFS('Master data'!$M$2:$M$296,'Master data'!$D$2:$D$296,$A117,'Master data'!$C$2:$C$296,C$3)</f>
        <v>0</v>
      </c>
      <c r="D117" s="289">
        <f>SUMIFS('Master data'!$M$2:$M$296,'Master data'!$D$2:$D$296,$A117,'Master data'!$C$2:$C$296,D$3)</f>
        <v>0</v>
      </c>
      <c r="E117" s="289">
        <f>SUMIFS('Master data'!$M$2:$M$296,'Master data'!$D$2:$D$296,$A117,'Master data'!$C$2:$C$296,E$3)</f>
        <v>6414320</v>
      </c>
      <c r="F117" s="289">
        <f>SUMIFS('Master data'!$M$2:$M$296,'Master data'!$D$2:$D$296,$A117,'Master data'!$C$2:$C$296,F$3)</f>
        <v>0</v>
      </c>
      <c r="G117" s="289">
        <f>SUMIFS('Master data'!$M$2:$M$296,'Master data'!$D$2:$D$296,$A117,'Master data'!$C$2:$C$296,G$3)</f>
        <v>0</v>
      </c>
      <c r="H117" s="289">
        <f>SUMIFS('Master data'!$M$2:$M$296,'Master data'!$D$2:$D$296,$A117,'Master data'!$C$2:$C$296,H$3)</f>
        <v>0</v>
      </c>
      <c r="I117" s="289">
        <f>SUMIFS('Master data'!$M$2:$M$296,'Master data'!$D$2:$D$296,$A117,'Master data'!$C$2:$C$296,I$3)</f>
        <v>0</v>
      </c>
      <c r="J117" s="289">
        <f>SUMIFS('Master data'!$M$2:$M$296,'Master data'!$D$2:$D$296,$A117,'Master data'!$C$2:$C$296,J$3)</f>
        <v>0</v>
      </c>
      <c r="K117" s="289">
        <f>SUMIFS('Master data'!$M$2:$M$296,'Master data'!$D$2:$D$296,$A117,'Master data'!$C$2:$C$296,K$3)</f>
        <v>0</v>
      </c>
      <c r="L117" s="289">
        <f>SUMIFS('Master data'!$M$2:$M$296,'Master data'!$D$2:$D$296,$A117,'Master data'!$C$2:$C$296,L$3)</f>
        <v>0</v>
      </c>
      <c r="M117" s="289">
        <f>SUMIFS('Master data'!$M$2:$M$296,'Master data'!$D$2:$D$296,$A117,'Master data'!$C$2:$C$296,M$3)</f>
        <v>0</v>
      </c>
      <c r="N117" s="299">
        <f t="shared" si="1"/>
        <v>6414320</v>
      </c>
    </row>
    <row r="118" spans="1:14" x14ac:dyDescent="0.35">
      <c r="A118" s="293" t="s">
        <v>1065</v>
      </c>
      <c r="B118" s="288">
        <f>SUMIFS('Master data'!$M$2:$M$296,'Master data'!$D$2:$D$296,$A118,'Master data'!$C$2:$C$296,B$3)</f>
        <v>0</v>
      </c>
      <c r="C118" s="288">
        <f>SUMIFS('Master data'!$M$2:$M$296,'Master data'!$D$2:$D$296,$A118,'Master data'!$C$2:$C$296,C$3)</f>
        <v>0</v>
      </c>
      <c r="D118" s="288">
        <f>SUMIFS('Master data'!$M$2:$M$296,'Master data'!$D$2:$D$296,$A118,'Master data'!$C$2:$C$296,D$3)</f>
        <v>0</v>
      </c>
      <c r="E118" s="288">
        <f>SUMIFS('Master data'!$M$2:$M$296,'Master data'!$D$2:$D$296,$A118,'Master data'!$C$2:$C$296,E$3)</f>
        <v>0</v>
      </c>
      <c r="F118" s="288">
        <f>SUMIFS('Master data'!$M$2:$M$296,'Master data'!$D$2:$D$296,$A118,'Master data'!$C$2:$C$296,F$3)</f>
        <v>0</v>
      </c>
      <c r="G118" s="288">
        <f>SUMIFS('Master data'!$M$2:$M$296,'Master data'!$D$2:$D$296,$A118,'Master data'!$C$2:$C$296,G$3)</f>
        <v>0</v>
      </c>
      <c r="H118" s="288">
        <f>SUMIFS('Master data'!$M$2:$M$296,'Master data'!$D$2:$D$296,$A118,'Master data'!$C$2:$C$296,H$3)</f>
        <v>10779262</v>
      </c>
      <c r="I118" s="288">
        <f>SUMIFS('Master data'!$M$2:$M$296,'Master data'!$D$2:$D$296,$A118,'Master data'!$C$2:$C$296,I$3)</f>
        <v>0</v>
      </c>
      <c r="J118" s="288">
        <f>SUMIFS('Master data'!$M$2:$M$296,'Master data'!$D$2:$D$296,$A118,'Master data'!$C$2:$C$296,J$3)</f>
        <v>0</v>
      </c>
      <c r="K118" s="288">
        <f>SUMIFS('Master data'!$M$2:$M$296,'Master data'!$D$2:$D$296,$A118,'Master data'!$C$2:$C$296,K$3)</f>
        <v>0</v>
      </c>
      <c r="L118" s="288">
        <f>SUMIFS('Master data'!$M$2:$M$296,'Master data'!$D$2:$D$296,$A118,'Master data'!$C$2:$C$296,L$3)</f>
        <v>0</v>
      </c>
      <c r="M118" s="288">
        <f>SUMIFS('Master data'!$M$2:$M$296,'Master data'!$D$2:$D$296,$A118,'Master data'!$C$2:$C$296,M$3)</f>
        <v>0</v>
      </c>
      <c r="N118" s="298">
        <f t="shared" si="1"/>
        <v>10779262</v>
      </c>
    </row>
    <row r="119" spans="1:14" x14ac:dyDescent="0.35">
      <c r="A119" s="294" t="s">
        <v>1152</v>
      </c>
      <c r="B119" s="289">
        <f>SUMIFS('Master data'!$M$2:$M$296,'Master data'!$D$2:$D$296,$A119,'Master data'!$C$2:$C$296,B$3)</f>
        <v>0</v>
      </c>
      <c r="C119" s="289">
        <f>SUMIFS('Master data'!$M$2:$M$296,'Master data'!$D$2:$D$296,$A119,'Master data'!$C$2:$C$296,C$3)</f>
        <v>0</v>
      </c>
      <c r="D119" s="289">
        <f>SUMIFS('Master data'!$M$2:$M$296,'Master data'!$D$2:$D$296,$A119,'Master data'!$C$2:$C$296,D$3)</f>
        <v>0</v>
      </c>
      <c r="E119" s="289">
        <f>SUMIFS('Master data'!$M$2:$M$296,'Master data'!$D$2:$D$296,$A119,'Master data'!$C$2:$C$296,E$3)</f>
        <v>0</v>
      </c>
      <c r="F119" s="289">
        <f>SUMIFS('Master data'!$M$2:$M$296,'Master data'!$D$2:$D$296,$A119,'Master data'!$C$2:$C$296,F$3)</f>
        <v>0</v>
      </c>
      <c r="G119" s="289">
        <f>SUMIFS('Master data'!$M$2:$M$296,'Master data'!$D$2:$D$296,$A119,'Master data'!$C$2:$C$296,G$3)</f>
        <v>0</v>
      </c>
      <c r="H119" s="289">
        <f>SUMIFS('Master data'!$M$2:$M$296,'Master data'!$D$2:$D$296,$A119,'Master data'!$C$2:$C$296,H$3)</f>
        <v>0</v>
      </c>
      <c r="I119" s="289">
        <f>SUMIFS('Master data'!$M$2:$M$296,'Master data'!$D$2:$D$296,$A119,'Master data'!$C$2:$C$296,I$3)</f>
        <v>0</v>
      </c>
      <c r="J119" s="289">
        <f>SUMIFS('Master data'!$M$2:$M$296,'Master data'!$D$2:$D$296,$A119,'Master data'!$C$2:$C$296,J$3)</f>
        <v>0</v>
      </c>
      <c r="K119" s="289">
        <f>SUMIFS('Master data'!$M$2:$M$296,'Master data'!$D$2:$D$296,$A119,'Master data'!$C$2:$C$296,K$3)</f>
        <v>0</v>
      </c>
      <c r="L119" s="289">
        <f>SUMIFS('Master data'!$M$2:$M$296,'Master data'!$D$2:$D$296,$A119,'Master data'!$C$2:$C$296,L$3)</f>
        <v>6800576</v>
      </c>
      <c r="M119" s="289">
        <f>SUMIFS('Master data'!$M$2:$M$296,'Master data'!$D$2:$D$296,$A119,'Master data'!$C$2:$C$296,M$3)</f>
        <v>0</v>
      </c>
      <c r="N119" s="299">
        <f t="shared" si="1"/>
        <v>6800576</v>
      </c>
    </row>
    <row r="120" spans="1:14" x14ac:dyDescent="0.35">
      <c r="A120" s="293" t="s">
        <v>1197</v>
      </c>
      <c r="B120" s="288">
        <f>SUMIFS('Master data'!$M$2:$M$296,'Master data'!$D$2:$D$296,$A120,'Master data'!$C$2:$C$296,B$3)</f>
        <v>0</v>
      </c>
      <c r="C120" s="288">
        <f>SUMIFS('Master data'!$M$2:$M$296,'Master data'!$D$2:$D$296,$A120,'Master data'!$C$2:$C$296,C$3)</f>
        <v>0</v>
      </c>
      <c r="D120" s="288">
        <f>SUMIFS('Master data'!$M$2:$M$296,'Master data'!$D$2:$D$296,$A120,'Master data'!$C$2:$C$296,D$3)</f>
        <v>0</v>
      </c>
      <c r="E120" s="288">
        <f>SUMIFS('Master data'!$M$2:$M$296,'Master data'!$D$2:$D$296,$A120,'Master data'!$C$2:$C$296,E$3)</f>
        <v>6775020</v>
      </c>
      <c r="F120" s="288">
        <f>SUMIFS('Master data'!$M$2:$M$296,'Master data'!$D$2:$D$296,$A120,'Master data'!$C$2:$C$296,F$3)</f>
        <v>0</v>
      </c>
      <c r="G120" s="288">
        <f>SUMIFS('Master data'!$M$2:$M$296,'Master data'!$D$2:$D$296,$A120,'Master data'!$C$2:$C$296,G$3)</f>
        <v>0</v>
      </c>
      <c r="H120" s="288">
        <f>SUMIFS('Master data'!$M$2:$M$296,'Master data'!$D$2:$D$296,$A120,'Master data'!$C$2:$C$296,H$3)</f>
        <v>0</v>
      </c>
      <c r="I120" s="288">
        <f>SUMIFS('Master data'!$M$2:$M$296,'Master data'!$D$2:$D$296,$A120,'Master data'!$C$2:$C$296,I$3)</f>
        <v>0</v>
      </c>
      <c r="J120" s="288">
        <f>SUMIFS('Master data'!$M$2:$M$296,'Master data'!$D$2:$D$296,$A120,'Master data'!$C$2:$C$296,J$3)</f>
        <v>0</v>
      </c>
      <c r="K120" s="288">
        <f>SUMIFS('Master data'!$M$2:$M$296,'Master data'!$D$2:$D$296,$A120,'Master data'!$C$2:$C$296,K$3)</f>
        <v>0</v>
      </c>
      <c r="L120" s="288">
        <f>SUMIFS('Master data'!$M$2:$M$296,'Master data'!$D$2:$D$296,$A120,'Master data'!$C$2:$C$296,L$3)</f>
        <v>0</v>
      </c>
      <c r="M120" s="288">
        <f>SUMIFS('Master data'!$M$2:$M$296,'Master data'!$D$2:$D$296,$A120,'Master data'!$C$2:$C$296,M$3)</f>
        <v>0</v>
      </c>
      <c r="N120" s="298">
        <f t="shared" si="1"/>
        <v>6775020</v>
      </c>
    </row>
    <row r="121" spans="1:14" x14ac:dyDescent="0.35">
      <c r="A121" s="294" t="s">
        <v>1165</v>
      </c>
      <c r="B121" s="289">
        <f>SUMIFS('Master data'!$M$2:$M$296,'Master data'!$D$2:$D$296,$A121,'Master data'!$C$2:$C$296,B$3)</f>
        <v>3223200</v>
      </c>
      <c r="C121" s="289">
        <f>SUMIFS('Master data'!$M$2:$M$296,'Master data'!$D$2:$D$296,$A121,'Master data'!$C$2:$C$296,C$3)</f>
        <v>0</v>
      </c>
      <c r="D121" s="289">
        <f>SUMIFS('Master data'!$M$2:$M$296,'Master data'!$D$2:$D$296,$A121,'Master data'!$C$2:$C$296,D$3)</f>
        <v>0</v>
      </c>
      <c r="E121" s="289">
        <f>SUMIFS('Master data'!$M$2:$M$296,'Master data'!$D$2:$D$296,$A121,'Master data'!$C$2:$C$296,E$3)</f>
        <v>0</v>
      </c>
      <c r="F121" s="289">
        <f>SUMIFS('Master data'!$M$2:$M$296,'Master data'!$D$2:$D$296,$A121,'Master data'!$C$2:$C$296,F$3)</f>
        <v>0</v>
      </c>
      <c r="G121" s="289">
        <f>SUMIFS('Master data'!$M$2:$M$296,'Master data'!$D$2:$D$296,$A121,'Master data'!$C$2:$C$296,G$3)</f>
        <v>0</v>
      </c>
      <c r="H121" s="289">
        <f>SUMIFS('Master data'!$M$2:$M$296,'Master data'!$D$2:$D$296,$A121,'Master data'!$C$2:$C$296,H$3)</f>
        <v>0</v>
      </c>
      <c r="I121" s="289">
        <f>SUMIFS('Master data'!$M$2:$M$296,'Master data'!$D$2:$D$296,$A121,'Master data'!$C$2:$C$296,I$3)</f>
        <v>0</v>
      </c>
      <c r="J121" s="289">
        <f>SUMIFS('Master data'!$M$2:$M$296,'Master data'!$D$2:$D$296,$A121,'Master data'!$C$2:$C$296,J$3)</f>
        <v>0</v>
      </c>
      <c r="K121" s="289">
        <f>SUMIFS('Master data'!$M$2:$M$296,'Master data'!$D$2:$D$296,$A121,'Master data'!$C$2:$C$296,K$3)</f>
        <v>0</v>
      </c>
      <c r="L121" s="289">
        <f>SUMIFS('Master data'!$M$2:$M$296,'Master data'!$D$2:$D$296,$A121,'Master data'!$C$2:$C$296,L$3)</f>
        <v>0</v>
      </c>
      <c r="M121" s="289">
        <f>SUMIFS('Master data'!$M$2:$M$296,'Master data'!$D$2:$D$296,$A121,'Master data'!$C$2:$C$296,M$3)</f>
        <v>0</v>
      </c>
      <c r="N121" s="299">
        <f t="shared" si="1"/>
        <v>3223200</v>
      </c>
    </row>
    <row r="122" spans="1:14" x14ac:dyDescent="0.35">
      <c r="A122" s="293" t="s">
        <v>1221</v>
      </c>
      <c r="B122" s="288">
        <f>SUMIFS('Master data'!$M$2:$M$296,'Master data'!$D$2:$D$296,$A122,'Master data'!$C$2:$C$296,B$3)</f>
        <v>0</v>
      </c>
      <c r="C122" s="288">
        <f>SUMIFS('Master data'!$M$2:$M$296,'Master data'!$D$2:$D$296,$A122,'Master data'!$C$2:$C$296,C$3)</f>
        <v>0</v>
      </c>
      <c r="D122" s="288">
        <f>SUMIFS('Master data'!$M$2:$M$296,'Master data'!$D$2:$D$296,$A122,'Master data'!$C$2:$C$296,D$3)</f>
        <v>0</v>
      </c>
      <c r="E122" s="288">
        <f>SUMIFS('Master data'!$M$2:$M$296,'Master data'!$D$2:$D$296,$A122,'Master data'!$C$2:$C$296,E$3)</f>
        <v>4392796</v>
      </c>
      <c r="F122" s="288">
        <f>SUMIFS('Master data'!$M$2:$M$296,'Master data'!$D$2:$D$296,$A122,'Master data'!$C$2:$C$296,F$3)</f>
        <v>0</v>
      </c>
      <c r="G122" s="288">
        <f>SUMIFS('Master data'!$M$2:$M$296,'Master data'!$D$2:$D$296,$A122,'Master data'!$C$2:$C$296,G$3)</f>
        <v>0</v>
      </c>
      <c r="H122" s="288">
        <f>SUMIFS('Master data'!$M$2:$M$296,'Master data'!$D$2:$D$296,$A122,'Master data'!$C$2:$C$296,H$3)</f>
        <v>0</v>
      </c>
      <c r="I122" s="288">
        <f>SUMIFS('Master data'!$M$2:$M$296,'Master data'!$D$2:$D$296,$A122,'Master data'!$C$2:$C$296,I$3)</f>
        <v>0</v>
      </c>
      <c r="J122" s="288">
        <f>SUMIFS('Master data'!$M$2:$M$296,'Master data'!$D$2:$D$296,$A122,'Master data'!$C$2:$C$296,J$3)</f>
        <v>0</v>
      </c>
      <c r="K122" s="288">
        <f>SUMIFS('Master data'!$M$2:$M$296,'Master data'!$D$2:$D$296,$A122,'Master data'!$C$2:$C$296,K$3)</f>
        <v>0</v>
      </c>
      <c r="L122" s="288">
        <f>SUMIFS('Master data'!$M$2:$M$296,'Master data'!$D$2:$D$296,$A122,'Master data'!$C$2:$C$296,L$3)</f>
        <v>0</v>
      </c>
      <c r="M122" s="288">
        <f>SUMIFS('Master data'!$M$2:$M$296,'Master data'!$D$2:$D$296,$A122,'Master data'!$C$2:$C$296,M$3)</f>
        <v>0</v>
      </c>
      <c r="N122" s="298">
        <f t="shared" si="1"/>
        <v>4392796</v>
      </c>
    </row>
    <row r="123" spans="1:14" x14ac:dyDescent="0.35">
      <c r="A123" s="294" t="s">
        <v>1216</v>
      </c>
      <c r="B123" s="289">
        <f>SUMIFS('Master data'!$M$2:$M$296,'Master data'!$D$2:$D$296,$A123,'Master data'!$C$2:$C$296,B$3)</f>
        <v>0</v>
      </c>
      <c r="C123" s="289">
        <f>SUMIFS('Master data'!$M$2:$M$296,'Master data'!$D$2:$D$296,$A123,'Master data'!$C$2:$C$296,C$3)</f>
        <v>0</v>
      </c>
      <c r="D123" s="289">
        <f>SUMIFS('Master data'!$M$2:$M$296,'Master data'!$D$2:$D$296,$A123,'Master data'!$C$2:$C$296,D$3)</f>
        <v>0</v>
      </c>
      <c r="E123" s="289">
        <f>SUMIFS('Master data'!$M$2:$M$296,'Master data'!$D$2:$D$296,$A123,'Master data'!$C$2:$C$296,E$3)</f>
        <v>0</v>
      </c>
      <c r="F123" s="289">
        <f>SUMIFS('Master data'!$M$2:$M$296,'Master data'!$D$2:$D$296,$A123,'Master data'!$C$2:$C$296,F$3)</f>
        <v>0</v>
      </c>
      <c r="G123" s="289">
        <f>SUMIFS('Master data'!$M$2:$M$296,'Master data'!$D$2:$D$296,$A123,'Master data'!$C$2:$C$296,G$3)</f>
        <v>0</v>
      </c>
      <c r="H123" s="289">
        <f>SUMIFS('Master data'!$M$2:$M$296,'Master data'!$D$2:$D$296,$A123,'Master data'!$C$2:$C$296,H$3)</f>
        <v>0</v>
      </c>
      <c r="I123" s="289">
        <f>SUMIFS('Master data'!$M$2:$M$296,'Master data'!$D$2:$D$296,$A123,'Master data'!$C$2:$C$296,I$3)</f>
        <v>0</v>
      </c>
      <c r="J123" s="289">
        <f>SUMIFS('Master data'!$M$2:$M$296,'Master data'!$D$2:$D$296,$A123,'Master data'!$C$2:$C$296,J$3)</f>
        <v>0</v>
      </c>
      <c r="K123" s="289">
        <f>SUMIFS('Master data'!$M$2:$M$296,'Master data'!$D$2:$D$296,$A123,'Master data'!$C$2:$C$296,K$3)</f>
        <v>5532150</v>
      </c>
      <c r="L123" s="289">
        <f>SUMIFS('Master data'!$M$2:$M$296,'Master data'!$D$2:$D$296,$A123,'Master data'!$C$2:$C$296,L$3)</f>
        <v>0</v>
      </c>
      <c r="M123" s="289">
        <f>SUMIFS('Master data'!$M$2:$M$296,'Master data'!$D$2:$D$296,$A123,'Master data'!$C$2:$C$296,M$3)</f>
        <v>0</v>
      </c>
      <c r="N123" s="299">
        <f t="shared" si="1"/>
        <v>5532150</v>
      </c>
    </row>
    <row r="124" spans="1:14" x14ac:dyDescent="0.35">
      <c r="A124" s="293" t="s">
        <v>1178</v>
      </c>
      <c r="B124" s="288">
        <f>SUMIFS('Master data'!$M$2:$M$296,'Master data'!$D$2:$D$296,$A124,'Master data'!$C$2:$C$296,B$3)</f>
        <v>0</v>
      </c>
      <c r="C124" s="288">
        <f>SUMIFS('Master data'!$M$2:$M$296,'Master data'!$D$2:$D$296,$A124,'Master data'!$C$2:$C$296,C$3)</f>
        <v>0</v>
      </c>
      <c r="D124" s="288">
        <f>SUMIFS('Master data'!$M$2:$M$296,'Master data'!$D$2:$D$296,$A124,'Master data'!$C$2:$C$296,D$3)</f>
        <v>0</v>
      </c>
      <c r="E124" s="288">
        <f>SUMIFS('Master data'!$M$2:$M$296,'Master data'!$D$2:$D$296,$A124,'Master data'!$C$2:$C$296,E$3)</f>
        <v>0</v>
      </c>
      <c r="F124" s="288">
        <f>SUMIFS('Master data'!$M$2:$M$296,'Master data'!$D$2:$D$296,$A124,'Master data'!$C$2:$C$296,F$3)</f>
        <v>0</v>
      </c>
      <c r="G124" s="288">
        <f>SUMIFS('Master data'!$M$2:$M$296,'Master data'!$D$2:$D$296,$A124,'Master data'!$C$2:$C$296,G$3)</f>
        <v>0</v>
      </c>
      <c r="H124" s="288">
        <f>SUMIFS('Master data'!$M$2:$M$296,'Master data'!$D$2:$D$296,$A124,'Master data'!$C$2:$C$296,H$3)</f>
        <v>0</v>
      </c>
      <c r="I124" s="288">
        <f>SUMIFS('Master data'!$M$2:$M$296,'Master data'!$D$2:$D$296,$A124,'Master data'!$C$2:$C$296,I$3)</f>
        <v>0</v>
      </c>
      <c r="J124" s="288">
        <f>SUMIFS('Master data'!$M$2:$M$296,'Master data'!$D$2:$D$296,$A124,'Master data'!$C$2:$C$296,J$3)</f>
        <v>0</v>
      </c>
      <c r="K124" s="288">
        <f>SUMIFS('Master data'!$M$2:$M$296,'Master data'!$D$2:$D$296,$A124,'Master data'!$C$2:$C$296,K$3)</f>
        <v>0</v>
      </c>
      <c r="L124" s="288">
        <f>SUMIFS('Master data'!$M$2:$M$296,'Master data'!$D$2:$D$296,$A124,'Master data'!$C$2:$C$296,L$3)</f>
        <v>4109952</v>
      </c>
      <c r="M124" s="288">
        <f>SUMIFS('Master data'!$M$2:$M$296,'Master data'!$D$2:$D$296,$A124,'Master data'!$C$2:$C$296,M$3)</f>
        <v>0</v>
      </c>
      <c r="N124" s="298">
        <f t="shared" si="1"/>
        <v>4109952</v>
      </c>
    </row>
    <row r="125" spans="1:14" x14ac:dyDescent="0.35">
      <c r="A125" s="294" t="s">
        <v>1187</v>
      </c>
      <c r="B125" s="289">
        <f>SUMIFS('Master data'!$M$2:$M$296,'Master data'!$D$2:$D$296,$A125,'Master data'!$C$2:$C$296,B$3)</f>
        <v>0</v>
      </c>
      <c r="C125" s="289">
        <f>SUMIFS('Master data'!$M$2:$M$296,'Master data'!$D$2:$D$296,$A125,'Master data'!$C$2:$C$296,C$3)</f>
        <v>5859720</v>
      </c>
      <c r="D125" s="289">
        <f>SUMIFS('Master data'!$M$2:$M$296,'Master data'!$D$2:$D$296,$A125,'Master data'!$C$2:$C$296,D$3)</f>
        <v>0</v>
      </c>
      <c r="E125" s="289">
        <f>SUMIFS('Master data'!$M$2:$M$296,'Master data'!$D$2:$D$296,$A125,'Master data'!$C$2:$C$296,E$3)</f>
        <v>0</v>
      </c>
      <c r="F125" s="289">
        <f>SUMIFS('Master data'!$M$2:$M$296,'Master data'!$D$2:$D$296,$A125,'Master data'!$C$2:$C$296,F$3)</f>
        <v>0</v>
      </c>
      <c r="G125" s="289">
        <f>SUMIFS('Master data'!$M$2:$M$296,'Master data'!$D$2:$D$296,$A125,'Master data'!$C$2:$C$296,G$3)</f>
        <v>0</v>
      </c>
      <c r="H125" s="289">
        <f>SUMIFS('Master data'!$M$2:$M$296,'Master data'!$D$2:$D$296,$A125,'Master data'!$C$2:$C$296,H$3)</f>
        <v>0</v>
      </c>
      <c r="I125" s="289">
        <f>SUMIFS('Master data'!$M$2:$M$296,'Master data'!$D$2:$D$296,$A125,'Master data'!$C$2:$C$296,I$3)</f>
        <v>0</v>
      </c>
      <c r="J125" s="289">
        <f>SUMIFS('Master data'!$M$2:$M$296,'Master data'!$D$2:$D$296,$A125,'Master data'!$C$2:$C$296,J$3)</f>
        <v>0</v>
      </c>
      <c r="K125" s="289">
        <f>SUMIFS('Master data'!$M$2:$M$296,'Master data'!$D$2:$D$296,$A125,'Master data'!$C$2:$C$296,K$3)</f>
        <v>0</v>
      </c>
      <c r="L125" s="289">
        <f>SUMIFS('Master data'!$M$2:$M$296,'Master data'!$D$2:$D$296,$A125,'Master data'!$C$2:$C$296,L$3)</f>
        <v>0</v>
      </c>
      <c r="M125" s="289">
        <f>SUMIFS('Master data'!$M$2:$M$296,'Master data'!$D$2:$D$296,$A125,'Master data'!$C$2:$C$296,M$3)</f>
        <v>0</v>
      </c>
      <c r="N125" s="299">
        <f t="shared" si="1"/>
        <v>5859720</v>
      </c>
    </row>
    <row r="126" spans="1:14" x14ac:dyDescent="0.35">
      <c r="A126" s="293" t="s">
        <v>1110</v>
      </c>
      <c r="B126" s="288">
        <f>SUMIFS('Master data'!$M$2:$M$296,'Master data'!$D$2:$D$296,$A126,'Master data'!$C$2:$C$296,B$3)</f>
        <v>0</v>
      </c>
      <c r="C126" s="288">
        <f>SUMIFS('Master data'!$M$2:$M$296,'Master data'!$D$2:$D$296,$A126,'Master data'!$C$2:$C$296,C$3)</f>
        <v>0</v>
      </c>
      <c r="D126" s="288">
        <f>SUMIFS('Master data'!$M$2:$M$296,'Master data'!$D$2:$D$296,$A126,'Master data'!$C$2:$C$296,D$3)</f>
        <v>0</v>
      </c>
      <c r="E126" s="288">
        <f>SUMIFS('Master data'!$M$2:$M$296,'Master data'!$D$2:$D$296,$A126,'Master data'!$C$2:$C$296,E$3)</f>
        <v>0</v>
      </c>
      <c r="F126" s="288">
        <f>SUMIFS('Master data'!$M$2:$M$296,'Master data'!$D$2:$D$296,$A126,'Master data'!$C$2:$C$296,F$3)</f>
        <v>0</v>
      </c>
      <c r="G126" s="288">
        <f>SUMIFS('Master data'!$M$2:$M$296,'Master data'!$D$2:$D$296,$A126,'Master data'!$C$2:$C$296,G$3)</f>
        <v>3440310</v>
      </c>
      <c r="H126" s="288">
        <f>SUMIFS('Master data'!$M$2:$M$296,'Master data'!$D$2:$D$296,$A126,'Master data'!$C$2:$C$296,H$3)</f>
        <v>0</v>
      </c>
      <c r="I126" s="288">
        <f>SUMIFS('Master data'!$M$2:$M$296,'Master data'!$D$2:$D$296,$A126,'Master data'!$C$2:$C$296,I$3)</f>
        <v>0</v>
      </c>
      <c r="J126" s="288">
        <f>SUMIFS('Master data'!$M$2:$M$296,'Master data'!$D$2:$D$296,$A126,'Master data'!$C$2:$C$296,J$3)</f>
        <v>0</v>
      </c>
      <c r="K126" s="288">
        <f>SUMIFS('Master data'!$M$2:$M$296,'Master data'!$D$2:$D$296,$A126,'Master data'!$C$2:$C$296,K$3)</f>
        <v>0</v>
      </c>
      <c r="L126" s="288">
        <f>SUMIFS('Master data'!$M$2:$M$296,'Master data'!$D$2:$D$296,$A126,'Master data'!$C$2:$C$296,L$3)</f>
        <v>0</v>
      </c>
      <c r="M126" s="288">
        <f>SUMIFS('Master data'!$M$2:$M$296,'Master data'!$D$2:$D$296,$A126,'Master data'!$C$2:$C$296,M$3)</f>
        <v>0</v>
      </c>
      <c r="N126" s="298">
        <f t="shared" si="1"/>
        <v>3440310</v>
      </c>
    </row>
    <row r="127" spans="1:14" x14ac:dyDescent="0.35">
      <c r="A127" s="294" t="s">
        <v>1150</v>
      </c>
      <c r="B127" s="289">
        <f>SUMIFS('Master data'!$M$2:$M$296,'Master data'!$D$2:$D$296,$A127,'Master data'!$C$2:$C$296,B$3)</f>
        <v>0</v>
      </c>
      <c r="C127" s="289">
        <f>SUMIFS('Master data'!$M$2:$M$296,'Master data'!$D$2:$D$296,$A127,'Master data'!$C$2:$C$296,C$3)</f>
        <v>0</v>
      </c>
      <c r="D127" s="289">
        <f>SUMIFS('Master data'!$M$2:$M$296,'Master data'!$D$2:$D$296,$A127,'Master data'!$C$2:$C$296,D$3)</f>
        <v>0</v>
      </c>
      <c r="E127" s="289">
        <f>SUMIFS('Master data'!$M$2:$M$296,'Master data'!$D$2:$D$296,$A127,'Master data'!$C$2:$C$296,E$3)</f>
        <v>0</v>
      </c>
      <c r="F127" s="289">
        <f>SUMIFS('Master data'!$M$2:$M$296,'Master data'!$D$2:$D$296,$A127,'Master data'!$C$2:$C$296,F$3)</f>
        <v>0</v>
      </c>
      <c r="G127" s="289">
        <f>SUMIFS('Master data'!$M$2:$M$296,'Master data'!$D$2:$D$296,$A127,'Master data'!$C$2:$C$296,G$3)</f>
        <v>0</v>
      </c>
      <c r="H127" s="289">
        <f>SUMIFS('Master data'!$M$2:$M$296,'Master data'!$D$2:$D$296,$A127,'Master data'!$C$2:$C$296,H$3)</f>
        <v>0</v>
      </c>
      <c r="I127" s="289">
        <f>SUMIFS('Master data'!$M$2:$M$296,'Master data'!$D$2:$D$296,$A127,'Master data'!$C$2:$C$296,I$3)</f>
        <v>0</v>
      </c>
      <c r="J127" s="289">
        <f>SUMIFS('Master data'!$M$2:$M$296,'Master data'!$D$2:$D$296,$A127,'Master data'!$C$2:$C$296,J$3)</f>
        <v>6438095</v>
      </c>
      <c r="K127" s="289">
        <f>SUMIFS('Master data'!$M$2:$M$296,'Master data'!$D$2:$D$296,$A127,'Master data'!$C$2:$C$296,K$3)</f>
        <v>0</v>
      </c>
      <c r="L127" s="289">
        <f>SUMIFS('Master data'!$M$2:$M$296,'Master data'!$D$2:$D$296,$A127,'Master data'!$C$2:$C$296,L$3)</f>
        <v>0</v>
      </c>
      <c r="M127" s="289">
        <f>SUMIFS('Master data'!$M$2:$M$296,'Master data'!$D$2:$D$296,$A127,'Master data'!$C$2:$C$296,M$3)</f>
        <v>0</v>
      </c>
      <c r="N127" s="299">
        <f t="shared" si="1"/>
        <v>6438095</v>
      </c>
    </row>
    <row r="128" spans="1:14" x14ac:dyDescent="0.35">
      <c r="A128" s="293" t="s">
        <v>1053</v>
      </c>
      <c r="B128" s="288">
        <f>SUMIFS('Master data'!$M$2:$M$296,'Master data'!$D$2:$D$296,$A128,'Master data'!$C$2:$C$296,B$3)</f>
        <v>0</v>
      </c>
      <c r="C128" s="288">
        <f>SUMIFS('Master data'!$M$2:$M$296,'Master data'!$D$2:$D$296,$A128,'Master data'!$C$2:$C$296,C$3)</f>
        <v>0</v>
      </c>
      <c r="D128" s="288">
        <f>SUMIFS('Master data'!$M$2:$M$296,'Master data'!$D$2:$D$296,$A128,'Master data'!$C$2:$C$296,D$3)</f>
        <v>0</v>
      </c>
      <c r="E128" s="288">
        <f>SUMIFS('Master data'!$M$2:$M$296,'Master data'!$D$2:$D$296,$A128,'Master data'!$C$2:$C$296,E$3)</f>
        <v>0</v>
      </c>
      <c r="F128" s="288">
        <f>SUMIFS('Master data'!$M$2:$M$296,'Master data'!$D$2:$D$296,$A128,'Master data'!$C$2:$C$296,F$3)</f>
        <v>0</v>
      </c>
      <c r="G128" s="288">
        <f>SUMIFS('Master data'!$M$2:$M$296,'Master data'!$D$2:$D$296,$A128,'Master data'!$C$2:$C$296,G$3)</f>
        <v>0</v>
      </c>
      <c r="H128" s="288">
        <f>SUMIFS('Master data'!$M$2:$M$296,'Master data'!$D$2:$D$296,$A128,'Master data'!$C$2:$C$296,H$3)</f>
        <v>0</v>
      </c>
      <c r="I128" s="288">
        <f>SUMIFS('Master data'!$M$2:$M$296,'Master data'!$D$2:$D$296,$A128,'Master data'!$C$2:$C$296,I$3)</f>
        <v>0</v>
      </c>
      <c r="J128" s="288">
        <f>SUMIFS('Master data'!$M$2:$M$296,'Master data'!$D$2:$D$296,$A128,'Master data'!$C$2:$C$296,J$3)</f>
        <v>0</v>
      </c>
      <c r="K128" s="288">
        <f>SUMIFS('Master data'!$M$2:$M$296,'Master data'!$D$2:$D$296,$A128,'Master data'!$C$2:$C$296,K$3)</f>
        <v>1276242</v>
      </c>
      <c r="L128" s="288">
        <f>SUMIFS('Master data'!$M$2:$M$296,'Master data'!$D$2:$D$296,$A128,'Master data'!$C$2:$C$296,L$3)</f>
        <v>0</v>
      </c>
      <c r="M128" s="288">
        <f>SUMIFS('Master data'!$M$2:$M$296,'Master data'!$D$2:$D$296,$A128,'Master data'!$C$2:$C$296,M$3)</f>
        <v>0</v>
      </c>
      <c r="N128" s="298">
        <f t="shared" si="1"/>
        <v>1276242</v>
      </c>
    </row>
    <row r="129" spans="1:14" x14ac:dyDescent="0.35">
      <c r="A129" s="294" t="s">
        <v>1120</v>
      </c>
      <c r="B129" s="289">
        <f>SUMIFS('Master data'!$M$2:$M$296,'Master data'!$D$2:$D$296,$A129,'Master data'!$C$2:$C$296,B$3)</f>
        <v>0</v>
      </c>
      <c r="C129" s="289">
        <f>SUMIFS('Master data'!$M$2:$M$296,'Master data'!$D$2:$D$296,$A129,'Master data'!$C$2:$C$296,C$3)</f>
        <v>0</v>
      </c>
      <c r="D129" s="289">
        <f>SUMIFS('Master data'!$M$2:$M$296,'Master data'!$D$2:$D$296,$A129,'Master data'!$C$2:$C$296,D$3)</f>
        <v>0</v>
      </c>
      <c r="E129" s="289">
        <f>SUMIFS('Master data'!$M$2:$M$296,'Master data'!$D$2:$D$296,$A129,'Master data'!$C$2:$C$296,E$3)</f>
        <v>0</v>
      </c>
      <c r="F129" s="289">
        <f>SUMIFS('Master data'!$M$2:$M$296,'Master data'!$D$2:$D$296,$A129,'Master data'!$C$2:$C$296,F$3)</f>
        <v>0</v>
      </c>
      <c r="G129" s="289">
        <f>SUMIFS('Master data'!$M$2:$M$296,'Master data'!$D$2:$D$296,$A129,'Master data'!$C$2:$C$296,G$3)</f>
        <v>0</v>
      </c>
      <c r="H129" s="289">
        <f>SUMIFS('Master data'!$M$2:$M$296,'Master data'!$D$2:$D$296,$A129,'Master data'!$C$2:$C$296,H$3)</f>
        <v>0</v>
      </c>
      <c r="I129" s="289">
        <f>SUMIFS('Master data'!$M$2:$M$296,'Master data'!$D$2:$D$296,$A129,'Master data'!$C$2:$C$296,I$3)</f>
        <v>0</v>
      </c>
      <c r="J129" s="289">
        <f>SUMIFS('Master data'!$M$2:$M$296,'Master data'!$D$2:$D$296,$A129,'Master data'!$C$2:$C$296,J$3)</f>
        <v>0</v>
      </c>
      <c r="K129" s="289">
        <f>SUMIFS('Master data'!$M$2:$M$296,'Master data'!$D$2:$D$296,$A129,'Master data'!$C$2:$C$296,K$3)</f>
        <v>0</v>
      </c>
      <c r="L129" s="289">
        <f>SUMIFS('Master data'!$M$2:$M$296,'Master data'!$D$2:$D$296,$A129,'Master data'!$C$2:$C$296,L$3)</f>
        <v>0</v>
      </c>
      <c r="M129" s="289">
        <f>SUMIFS('Master data'!$M$2:$M$296,'Master data'!$D$2:$D$296,$A129,'Master data'!$C$2:$C$296,M$3)</f>
        <v>7503640</v>
      </c>
      <c r="N129" s="299">
        <f t="shared" si="1"/>
        <v>7503640</v>
      </c>
    </row>
    <row r="130" spans="1:14" x14ac:dyDescent="0.35">
      <c r="A130" s="293" t="s">
        <v>1184</v>
      </c>
      <c r="B130" s="288">
        <f>SUMIFS('Master data'!$M$2:$M$296,'Master data'!$D$2:$D$296,$A130,'Master data'!$C$2:$C$296,B$3)</f>
        <v>9183834</v>
      </c>
      <c r="C130" s="288">
        <f>SUMIFS('Master data'!$M$2:$M$296,'Master data'!$D$2:$D$296,$A130,'Master data'!$C$2:$C$296,C$3)</f>
        <v>22954262</v>
      </c>
      <c r="D130" s="288">
        <f>SUMIFS('Master data'!$M$2:$M$296,'Master data'!$D$2:$D$296,$A130,'Master data'!$C$2:$C$296,D$3)</f>
        <v>0</v>
      </c>
      <c r="E130" s="288">
        <f>SUMIFS('Master data'!$M$2:$M$296,'Master data'!$D$2:$D$296,$A130,'Master data'!$C$2:$C$296,E$3)</f>
        <v>9388344</v>
      </c>
      <c r="F130" s="288">
        <f>SUMIFS('Master data'!$M$2:$M$296,'Master data'!$D$2:$D$296,$A130,'Master data'!$C$2:$C$296,F$3)</f>
        <v>9528814</v>
      </c>
      <c r="G130" s="288">
        <f>SUMIFS('Master data'!$M$2:$M$296,'Master data'!$D$2:$D$296,$A130,'Master data'!$C$2:$C$296,G$3)</f>
        <v>28547992</v>
      </c>
      <c r="H130" s="288">
        <f>SUMIFS('Master data'!$M$2:$M$296,'Master data'!$D$2:$D$296,$A130,'Master data'!$C$2:$C$296,H$3)</f>
        <v>16439280</v>
      </c>
      <c r="I130" s="288">
        <f>SUMIFS('Master data'!$M$2:$M$296,'Master data'!$D$2:$D$296,$A130,'Master data'!$C$2:$C$296,I$3)</f>
        <v>11901486</v>
      </c>
      <c r="J130" s="288">
        <f>SUMIFS('Master data'!$M$2:$M$296,'Master data'!$D$2:$D$296,$A130,'Master data'!$C$2:$C$296,J$3)</f>
        <v>7445810</v>
      </c>
      <c r="K130" s="288">
        <f>SUMIFS('Master data'!$M$2:$M$296,'Master data'!$D$2:$D$296,$A130,'Master data'!$C$2:$C$296,K$3)</f>
        <v>12222578</v>
      </c>
      <c r="L130" s="288">
        <f>SUMIFS('Master data'!$M$2:$M$296,'Master data'!$D$2:$D$296,$A130,'Master data'!$C$2:$C$296,L$3)</f>
        <v>21501939</v>
      </c>
      <c r="M130" s="288">
        <f>SUMIFS('Master data'!$M$2:$M$296,'Master data'!$D$2:$D$296,$A130,'Master data'!$C$2:$C$296,M$3)</f>
        <v>23702372</v>
      </c>
      <c r="N130" s="298">
        <f t="shared" si="1"/>
        <v>172816711</v>
      </c>
    </row>
    <row r="131" spans="1:14" x14ac:dyDescent="0.35">
      <c r="A131" s="294" t="s">
        <v>1194</v>
      </c>
      <c r="B131" s="289">
        <f>SUMIFS('Master data'!$M$2:$M$296,'Master data'!$D$2:$D$296,$A131,'Master data'!$C$2:$C$296,B$3)</f>
        <v>0</v>
      </c>
      <c r="C131" s="289">
        <f>SUMIFS('Master data'!$M$2:$M$296,'Master data'!$D$2:$D$296,$A131,'Master data'!$C$2:$C$296,C$3)</f>
        <v>0</v>
      </c>
      <c r="D131" s="289">
        <f>SUMIFS('Master data'!$M$2:$M$296,'Master data'!$D$2:$D$296,$A131,'Master data'!$C$2:$C$296,D$3)</f>
        <v>0</v>
      </c>
      <c r="E131" s="289">
        <f>SUMIFS('Master data'!$M$2:$M$296,'Master data'!$D$2:$D$296,$A131,'Master data'!$C$2:$C$296,E$3)</f>
        <v>2492001</v>
      </c>
      <c r="F131" s="289">
        <f>SUMIFS('Master data'!$M$2:$M$296,'Master data'!$D$2:$D$296,$A131,'Master data'!$C$2:$C$296,F$3)</f>
        <v>0</v>
      </c>
      <c r="G131" s="289">
        <f>SUMIFS('Master data'!$M$2:$M$296,'Master data'!$D$2:$D$296,$A131,'Master data'!$C$2:$C$296,G$3)</f>
        <v>0</v>
      </c>
      <c r="H131" s="289">
        <f>SUMIFS('Master data'!$M$2:$M$296,'Master data'!$D$2:$D$296,$A131,'Master data'!$C$2:$C$296,H$3)</f>
        <v>0</v>
      </c>
      <c r="I131" s="289">
        <f>SUMIFS('Master data'!$M$2:$M$296,'Master data'!$D$2:$D$296,$A131,'Master data'!$C$2:$C$296,I$3)</f>
        <v>0</v>
      </c>
      <c r="J131" s="289">
        <f>SUMIFS('Master data'!$M$2:$M$296,'Master data'!$D$2:$D$296,$A131,'Master data'!$C$2:$C$296,J$3)</f>
        <v>0</v>
      </c>
      <c r="K131" s="289">
        <f>SUMIFS('Master data'!$M$2:$M$296,'Master data'!$D$2:$D$296,$A131,'Master data'!$C$2:$C$296,K$3)</f>
        <v>0</v>
      </c>
      <c r="L131" s="289">
        <f>SUMIFS('Master data'!$M$2:$M$296,'Master data'!$D$2:$D$296,$A131,'Master data'!$C$2:$C$296,L$3)</f>
        <v>0</v>
      </c>
      <c r="M131" s="289">
        <f>SUMIFS('Master data'!$M$2:$M$296,'Master data'!$D$2:$D$296,$A131,'Master data'!$C$2:$C$296,M$3)</f>
        <v>0</v>
      </c>
      <c r="N131" s="299">
        <f t="shared" si="1"/>
        <v>2492001</v>
      </c>
    </row>
    <row r="132" spans="1:14" x14ac:dyDescent="0.35">
      <c r="A132" s="293" t="s">
        <v>1102</v>
      </c>
      <c r="B132" s="288">
        <f>SUMIFS('Master data'!$M$2:$M$296,'Master data'!$D$2:$D$296,$A132,'Master data'!$C$2:$C$296,B$3)</f>
        <v>0</v>
      </c>
      <c r="C132" s="288">
        <f>SUMIFS('Master data'!$M$2:$M$296,'Master data'!$D$2:$D$296,$A132,'Master data'!$C$2:$C$296,C$3)</f>
        <v>0</v>
      </c>
      <c r="D132" s="288">
        <f>SUMIFS('Master data'!$M$2:$M$296,'Master data'!$D$2:$D$296,$A132,'Master data'!$C$2:$C$296,D$3)</f>
        <v>0</v>
      </c>
      <c r="E132" s="288">
        <f>SUMIFS('Master data'!$M$2:$M$296,'Master data'!$D$2:$D$296,$A132,'Master data'!$C$2:$C$296,E$3)</f>
        <v>0</v>
      </c>
      <c r="F132" s="288">
        <f>SUMIFS('Master data'!$M$2:$M$296,'Master data'!$D$2:$D$296,$A132,'Master data'!$C$2:$C$296,F$3)</f>
        <v>0</v>
      </c>
      <c r="G132" s="288">
        <f>SUMIFS('Master data'!$M$2:$M$296,'Master data'!$D$2:$D$296,$A132,'Master data'!$C$2:$C$296,G$3)</f>
        <v>0</v>
      </c>
      <c r="H132" s="288">
        <f>SUMIFS('Master data'!$M$2:$M$296,'Master data'!$D$2:$D$296,$A132,'Master data'!$C$2:$C$296,H$3)</f>
        <v>0</v>
      </c>
      <c r="I132" s="288">
        <f>SUMIFS('Master data'!$M$2:$M$296,'Master data'!$D$2:$D$296,$A132,'Master data'!$C$2:$C$296,I$3)</f>
        <v>0</v>
      </c>
      <c r="J132" s="288">
        <f>SUMIFS('Master data'!$M$2:$M$296,'Master data'!$D$2:$D$296,$A132,'Master data'!$C$2:$C$296,J$3)</f>
        <v>0</v>
      </c>
      <c r="K132" s="288">
        <f>SUMIFS('Master data'!$M$2:$M$296,'Master data'!$D$2:$D$296,$A132,'Master data'!$C$2:$C$296,K$3)</f>
        <v>0</v>
      </c>
      <c r="L132" s="288">
        <f>SUMIFS('Master data'!$M$2:$M$296,'Master data'!$D$2:$D$296,$A132,'Master data'!$C$2:$C$296,L$3)</f>
        <v>0</v>
      </c>
      <c r="M132" s="288">
        <f>SUMIFS('Master data'!$M$2:$M$296,'Master data'!$D$2:$D$296,$A132,'Master data'!$C$2:$C$296,M$3)</f>
        <v>3619671</v>
      </c>
      <c r="N132" s="298">
        <f t="shared" si="1"/>
        <v>3619671</v>
      </c>
    </row>
    <row r="133" spans="1:14" x14ac:dyDescent="0.35">
      <c r="A133" s="294" t="s">
        <v>1177</v>
      </c>
      <c r="B133" s="289">
        <f>SUMIFS('Master data'!$M$2:$M$296,'Master data'!$D$2:$D$296,$A133,'Master data'!$C$2:$C$296,B$3)</f>
        <v>0</v>
      </c>
      <c r="C133" s="289">
        <f>SUMIFS('Master data'!$M$2:$M$296,'Master data'!$D$2:$D$296,$A133,'Master data'!$C$2:$C$296,C$3)</f>
        <v>0</v>
      </c>
      <c r="D133" s="289">
        <f>SUMIFS('Master data'!$M$2:$M$296,'Master data'!$D$2:$D$296,$A133,'Master data'!$C$2:$C$296,D$3)</f>
        <v>0</v>
      </c>
      <c r="E133" s="289">
        <f>SUMIFS('Master data'!$M$2:$M$296,'Master data'!$D$2:$D$296,$A133,'Master data'!$C$2:$C$296,E$3)</f>
        <v>0</v>
      </c>
      <c r="F133" s="289">
        <f>SUMIFS('Master data'!$M$2:$M$296,'Master data'!$D$2:$D$296,$A133,'Master data'!$C$2:$C$296,F$3)</f>
        <v>1082720</v>
      </c>
      <c r="G133" s="289">
        <f>SUMIFS('Master data'!$M$2:$M$296,'Master data'!$D$2:$D$296,$A133,'Master data'!$C$2:$C$296,G$3)</f>
        <v>0</v>
      </c>
      <c r="H133" s="289">
        <f>SUMIFS('Master data'!$M$2:$M$296,'Master data'!$D$2:$D$296,$A133,'Master data'!$C$2:$C$296,H$3)</f>
        <v>0</v>
      </c>
      <c r="I133" s="289">
        <f>SUMIFS('Master data'!$M$2:$M$296,'Master data'!$D$2:$D$296,$A133,'Master data'!$C$2:$C$296,I$3)</f>
        <v>0</v>
      </c>
      <c r="J133" s="289">
        <f>SUMIFS('Master data'!$M$2:$M$296,'Master data'!$D$2:$D$296,$A133,'Master data'!$C$2:$C$296,J$3)</f>
        <v>0</v>
      </c>
      <c r="K133" s="289">
        <f>SUMIFS('Master data'!$M$2:$M$296,'Master data'!$D$2:$D$296,$A133,'Master data'!$C$2:$C$296,K$3)</f>
        <v>0</v>
      </c>
      <c r="L133" s="289">
        <f>SUMIFS('Master data'!$M$2:$M$296,'Master data'!$D$2:$D$296,$A133,'Master data'!$C$2:$C$296,L$3)</f>
        <v>0</v>
      </c>
      <c r="M133" s="289">
        <f>SUMIFS('Master data'!$M$2:$M$296,'Master data'!$D$2:$D$296,$A133,'Master data'!$C$2:$C$296,M$3)</f>
        <v>0</v>
      </c>
      <c r="N133" s="299">
        <f t="shared" ref="N133:N150" si="2">SUM(B133:M133)</f>
        <v>1082720</v>
      </c>
    </row>
    <row r="134" spans="1:14" x14ac:dyDescent="0.35">
      <c r="A134" s="293" t="s">
        <v>1146</v>
      </c>
      <c r="B134" s="288">
        <f>SUMIFS('Master data'!$M$2:$M$296,'Master data'!$D$2:$D$296,$A134,'Master data'!$C$2:$C$296,B$3)</f>
        <v>0</v>
      </c>
      <c r="C134" s="288">
        <f>SUMIFS('Master data'!$M$2:$M$296,'Master data'!$D$2:$D$296,$A134,'Master data'!$C$2:$C$296,C$3)</f>
        <v>0</v>
      </c>
      <c r="D134" s="288">
        <f>SUMIFS('Master data'!$M$2:$M$296,'Master data'!$D$2:$D$296,$A134,'Master data'!$C$2:$C$296,D$3)</f>
        <v>0</v>
      </c>
      <c r="E134" s="288">
        <f>SUMIFS('Master data'!$M$2:$M$296,'Master data'!$D$2:$D$296,$A134,'Master data'!$C$2:$C$296,E$3)</f>
        <v>0</v>
      </c>
      <c r="F134" s="288">
        <f>SUMIFS('Master data'!$M$2:$M$296,'Master data'!$D$2:$D$296,$A134,'Master data'!$C$2:$C$296,F$3)</f>
        <v>0</v>
      </c>
      <c r="G134" s="288">
        <f>SUMIFS('Master data'!$M$2:$M$296,'Master data'!$D$2:$D$296,$A134,'Master data'!$C$2:$C$296,G$3)</f>
        <v>0</v>
      </c>
      <c r="H134" s="288">
        <f>SUMIFS('Master data'!$M$2:$M$296,'Master data'!$D$2:$D$296,$A134,'Master data'!$C$2:$C$296,H$3)</f>
        <v>0</v>
      </c>
      <c r="I134" s="288">
        <f>SUMIFS('Master data'!$M$2:$M$296,'Master data'!$D$2:$D$296,$A134,'Master data'!$C$2:$C$296,I$3)</f>
        <v>0</v>
      </c>
      <c r="J134" s="288">
        <f>SUMIFS('Master data'!$M$2:$M$296,'Master data'!$D$2:$D$296,$A134,'Master data'!$C$2:$C$296,J$3)</f>
        <v>0</v>
      </c>
      <c r="K134" s="288">
        <f>SUMIFS('Master data'!$M$2:$M$296,'Master data'!$D$2:$D$296,$A134,'Master data'!$C$2:$C$296,K$3)</f>
        <v>0</v>
      </c>
      <c r="L134" s="288">
        <f>SUMIFS('Master data'!$M$2:$M$296,'Master data'!$D$2:$D$296,$A134,'Master data'!$C$2:$C$296,L$3)</f>
        <v>0</v>
      </c>
      <c r="M134" s="288">
        <f>SUMIFS('Master data'!$M$2:$M$296,'Master data'!$D$2:$D$296,$A134,'Master data'!$C$2:$C$296,M$3)</f>
        <v>6594820</v>
      </c>
      <c r="N134" s="298">
        <f t="shared" si="2"/>
        <v>6594820</v>
      </c>
    </row>
    <row r="135" spans="1:14" x14ac:dyDescent="0.35">
      <c r="A135" s="294" t="s">
        <v>1190</v>
      </c>
      <c r="B135" s="289">
        <f>SUMIFS('Master data'!$M$2:$M$296,'Master data'!$D$2:$D$296,$A135,'Master data'!$C$2:$C$296,B$3)</f>
        <v>0</v>
      </c>
      <c r="C135" s="289">
        <f>SUMIFS('Master data'!$M$2:$M$296,'Master data'!$D$2:$D$296,$A135,'Master data'!$C$2:$C$296,C$3)</f>
        <v>0</v>
      </c>
      <c r="D135" s="289">
        <f>SUMIFS('Master data'!$M$2:$M$296,'Master data'!$D$2:$D$296,$A135,'Master data'!$C$2:$C$296,D$3)</f>
        <v>0</v>
      </c>
      <c r="E135" s="289">
        <f>SUMIFS('Master data'!$M$2:$M$296,'Master data'!$D$2:$D$296,$A135,'Master data'!$C$2:$C$296,E$3)</f>
        <v>0</v>
      </c>
      <c r="F135" s="289">
        <f>SUMIFS('Master data'!$M$2:$M$296,'Master data'!$D$2:$D$296,$A135,'Master data'!$C$2:$C$296,F$3)</f>
        <v>0</v>
      </c>
      <c r="G135" s="289">
        <f>SUMIFS('Master data'!$M$2:$M$296,'Master data'!$D$2:$D$296,$A135,'Master data'!$C$2:$C$296,G$3)</f>
        <v>6667920</v>
      </c>
      <c r="H135" s="289">
        <f>SUMIFS('Master data'!$M$2:$M$296,'Master data'!$D$2:$D$296,$A135,'Master data'!$C$2:$C$296,H$3)</f>
        <v>0</v>
      </c>
      <c r="I135" s="289">
        <f>SUMIFS('Master data'!$M$2:$M$296,'Master data'!$D$2:$D$296,$A135,'Master data'!$C$2:$C$296,I$3)</f>
        <v>0</v>
      </c>
      <c r="J135" s="289">
        <f>SUMIFS('Master data'!$M$2:$M$296,'Master data'!$D$2:$D$296,$A135,'Master data'!$C$2:$C$296,J$3)</f>
        <v>0</v>
      </c>
      <c r="K135" s="289">
        <f>SUMIFS('Master data'!$M$2:$M$296,'Master data'!$D$2:$D$296,$A135,'Master data'!$C$2:$C$296,K$3)</f>
        <v>0</v>
      </c>
      <c r="L135" s="289">
        <f>SUMIFS('Master data'!$M$2:$M$296,'Master data'!$D$2:$D$296,$A135,'Master data'!$C$2:$C$296,L$3)</f>
        <v>0</v>
      </c>
      <c r="M135" s="289">
        <f>SUMIFS('Master data'!$M$2:$M$296,'Master data'!$D$2:$D$296,$A135,'Master data'!$C$2:$C$296,M$3)</f>
        <v>0</v>
      </c>
      <c r="N135" s="299">
        <f t="shared" si="2"/>
        <v>6667920</v>
      </c>
    </row>
    <row r="136" spans="1:14" x14ac:dyDescent="0.35">
      <c r="A136" s="293" t="s">
        <v>1133</v>
      </c>
      <c r="B136" s="288">
        <f>SUMIFS('Master data'!$M$2:$M$296,'Master data'!$D$2:$D$296,$A136,'Master data'!$C$2:$C$296,B$3)</f>
        <v>0</v>
      </c>
      <c r="C136" s="288">
        <f>SUMIFS('Master data'!$M$2:$M$296,'Master data'!$D$2:$D$296,$A136,'Master data'!$C$2:$C$296,C$3)</f>
        <v>0</v>
      </c>
      <c r="D136" s="288">
        <f>SUMIFS('Master data'!$M$2:$M$296,'Master data'!$D$2:$D$296,$A136,'Master data'!$C$2:$C$296,D$3)</f>
        <v>0</v>
      </c>
      <c r="E136" s="288">
        <f>SUMIFS('Master data'!$M$2:$M$296,'Master data'!$D$2:$D$296,$A136,'Master data'!$C$2:$C$296,E$3)</f>
        <v>0</v>
      </c>
      <c r="F136" s="288">
        <f>SUMIFS('Master data'!$M$2:$M$296,'Master data'!$D$2:$D$296,$A136,'Master data'!$C$2:$C$296,F$3)</f>
        <v>0</v>
      </c>
      <c r="G136" s="288">
        <f>SUMIFS('Master data'!$M$2:$M$296,'Master data'!$D$2:$D$296,$A136,'Master data'!$C$2:$C$296,G$3)</f>
        <v>0</v>
      </c>
      <c r="H136" s="288">
        <f>SUMIFS('Master data'!$M$2:$M$296,'Master data'!$D$2:$D$296,$A136,'Master data'!$C$2:$C$296,H$3)</f>
        <v>0</v>
      </c>
      <c r="I136" s="288">
        <f>SUMIFS('Master data'!$M$2:$M$296,'Master data'!$D$2:$D$296,$A136,'Master data'!$C$2:$C$296,I$3)</f>
        <v>12785624</v>
      </c>
      <c r="J136" s="288">
        <f>SUMIFS('Master data'!$M$2:$M$296,'Master data'!$D$2:$D$296,$A136,'Master data'!$C$2:$C$296,J$3)</f>
        <v>0</v>
      </c>
      <c r="K136" s="288">
        <f>SUMIFS('Master data'!$M$2:$M$296,'Master data'!$D$2:$D$296,$A136,'Master data'!$C$2:$C$296,K$3)</f>
        <v>0</v>
      </c>
      <c r="L136" s="288">
        <f>SUMIFS('Master data'!$M$2:$M$296,'Master data'!$D$2:$D$296,$A136,'Master data'!$C$2:$C$296,L$3)</f>
        <v>0</v>
      </c>
      <c r="M136" s="288">
        <f>SUMIFS('Master data'!$M$2:$M$296,'Master data'!$D$2:$D$296,$A136,'Master data'!$C$2:$C$296,M$3)</f>
        <v>0</v>
      </c>
      <c r="N136" s="298">
        <f t="shared" si="2"/>
        <v>12785624</v>
      </c>
    </row>
    <row r="137" spans="1:14" x14ac:dyDescent="0.35">
      <c r="A137" s="294" t="s">
        <v>1162</v>
      </c>
      <c r="B137" s="289">
        <f>SUMIFS('Master data'!$M$2:$M$296,'Master data'!$D$2:$D$296,$A137,'Master data'!$C$2:$C$296,B$3)</f>
        <v>4274517</v>
      </c>
      <c r="C137" s="289">
        <f>SUMIFS('Master data'!$M$2:$M$296,'Master data'!$D$2:$D$296,$A137,'Master data'!$C$2:$C$296,C$3)</f>
        <v>0</v>
      </c>
      <c r="D137" s="289">
        <f>SUMIFS('Master data'!$M$2:$M$296,'Master data'!$D$2:$D$296,$A137,'Master data'!$C$2:$C$296,D$3)</f>
        <v>0</v>
      </c>
      <c r="E137" s="289">
        <f>SUMIFS('Master data'!$M$2:$M$296,'Master data'!$D$2:$D$296,$A137,'Master data'!$C$2:$C$296,E$3)</f>
        <v>0</v>
      </c>
      <c r="F137" s="289">
        <f>SUMIFS('Master data'!$M$2:$M$296,'Master data'!$D$2:$D$296,$A137,'Master data'!$C$2:$C$296,F$3)</f>
        <v>0</v>
      </c>
      <c r="G137" s="289">
        <f>SUMIFS('Master data'!$M$2:$M$296,'Master data'!$D$2:$D$296,$A137,'Master data'!$C$2:$C$296,G$3)</f>
        <v>0</v>
      </c>
      <c r="H137" s="289">
        <f>SUMIFS('Master data'!$M$2:$M$296,'Master data'!$D$2:$D$296,$A137,'Master data'!$C$2:$C$296,H$3)</f>
        <v>0</v>
      </c>
      <c r="I137" s="289">
        <f>SUMIFS('Master data'!$M$2:$M$296,'Master data'!$D$2:$D$296,$A137,'Master data'!$C$2:$C$296,I$3)</f>
        <v>0</v>
      </c>
      <c r="J137" s="289">
        <f>SUMIFS('Master data'!$M$2:$M$296,'Master data'!$D$2:$D$296,$A137,'Master data'!$C$2:$C$296,J$3)</f>
        <v>0</v>
      </c>
      <c r="K137" s="289">
        <f>SUMIFS('Master data'!$M$2:$M$296,'Master data'!$D$2:$D$296,$A137,'Master data'!$C$2:$C$296,K$3)</f>
        <v>0</v>
      </c>
      <c r="L137" s="289">
        <f>SUMIFS('Master data'!$M$2:$M$296,'Master data'!$D$2:$D$296,$A137,'Master data'!$C$2:$C$296,L$3)</f>
        <v>0</v>
      </c>
      <c r="M137" s="289">
        <f>SUMIFS('Master data'!$M$2:$M$296,'Master data'!$D$2:$D$296,$A137,'Master data'!$C$2:$C$296,M$3)</f>
        <v>0</v>
      </c>
      <c r="N137" s="299">
        <f t="shared" si="2"/>
        <v>4274517</v>
      </c>
    </row>
    <row r="138" spans="1:14" x14ac:dyDescent="0.35">
      <c r="A138" s="293" t="s">
        <v>1212</v>
      </c>
      <c r="B138" s="288">
        <f>SUMIFS('Master data'!$M$2:$M$296,'Master data'!$D$2:$D$296,$A138,'Master data'!$C$2:$C$296,B$3)</f>
        <v>0</v>
      </c>
      <c r="C138" s="288">
        <f>SUMIFS('Master data'!$M$2:$M$296,'Master data'!$D$2:$D$296,$A138,'Master data'!$C$2:$C$296,C$3)</f>
        <v>0</v>
      </c>
      <c r="D138" s="288">
        <f>SUMIFS('Master data'!$M$2:$M$296,'Master data'!$D$2:$D$296,$A138,'Master data'!$C$2:$C$296,D$3)</f>
        <v>0</v>
      </c>
      <c r="E138" s="288">
        <f>SUMIFS('Master data'!$M$2:$M$296,'Master data'!$D$2:$D$296,$A138,'Master data'!$C$2:$C$296,E$3)</f>
        <v>0</v>
      </c>
      <c r="F138" s="288">
        <f>SUMIFS('Master data'!$M$2:$M$296,'Master data'!$D$2:$D$296,$A138,'Master data'!$C$2:$C$296,F$3)</f>
        <v>0</v>
      </c>
      <c r="G138" s="288">
        <f>SUMIFS('Master data'!$M$2:$M$296,'Master data'!$D$2:$D$296,$A138,'Master data'!$C$2:$C$296,G$3)</f>
        <v>0</v>
      </c>
      <c r="H138" s="288">
        <f>SUMIFS('Master data'!$M$2:$M$296,'Master data'!$D$2:$D$296,$A138,'Master data'!$C$2:$C$296,H$3)</f>
        <v>0</v>
      </c>
      <c r="I138" s="288">
        <f>SUMIFS('Master data'!$M$2:$M$296,'Master data'!$D$2:$D$296,$A138,'Master data'!$C$2:$C$296,I$3)</f>
        <v>0</v>
      </c>
      <c r="J138" s="288">
        <f>SUMIFS('Master data'!$M$2:$M$296,'Master data'!$D$2:$D$296,$A138,'Master data'!$C$2:$C$296,J$3)</f>
        <v>0</v>
      </c>
      <c r="K138" s="288">
        <f>SUMIFS('Master data'!$M$2:$M$296,'Master data'!$D$2:$D$296,$A138,'Master data'!$C$2:$C$296,K$3)</f>
        <v>0</v>
      </c>
      <c r="L138" s="288">
        <f>SUMIFS('Master data'!$M$2:$M$296,'Master data'!$D$2:$D$296,$A138,'Master data'!$C$2:$C$296,L$3)</f>
        <v>1287616</v>
      </c>
      <c r="M138" s="288">
        <f>SUMIFS('Master data'!$M$2:$M$296,'Master data'!$D$2:$D$296,$A138,'Master data'!$C$2:$C$296,M$3)</f>
        <v>0</v>
      </c>
      <c r="N138" s="298">
        <f t="shared" si="2"/>
        <v>1287616</v>
      </c>
    </row>
    <row r="139" spans="1:14" x14ac:dyDescent="0.35">
      <c r="A139" s="294" t="s">
        <v>1201</v>
      </c>
      <c r="B139" s="289">
        <f>SUMIFS('Master data'!$M$2:$M$296,'Master data'!$D$2:$D$296,$A139,'Master data'!$C$2:$C$296,B$3)</f>
        <v>0</v>
      </c>
      <c r="C139" s="289">
        <f>SUMIFS('Master data'!$M$2:$M$296,'Master data'!$D$2:$D$296,$A139,'Master data'!$C$2:$C$296,C$3)</f>
        <v>0</v>
      </c>
      <c r="D139" s="289">
        <f>SUMIFS('Master data'!$M$2:$M$296,'Master data'!$D$2:$D$296,$A139,'Master data'!$C$2:$C$296,D$3)</f>
        <v>0</v>
      </c>
      <c r="E139" s="289">
        <f>SUMIFS('Master data'!$M$2:$M$296,'Master data'!$D$2:$D$296,$A139,'Master data'!$C$2:$C$296,E$3)</f>
        <v>0</v>
      </c>
      <c r="F139" s="289">
        <f>SUMIFS('Master data'!$M$2:$M$296,'Master data'!$D$2:$D$296,$A139,'Master data'!$C$2:$C$296,F$3)</f>
        <v>0</v>
      </c>
      <c r="G139" s="289">
        <f>SUMIFS('Master data'!$M$2:$M$296,'Master data'!$D$2:$D$296,$A139,'Master data'!$C$2:$C$296,G$3)</f>
        <v>0</v>
      </c>
      <c r="H139" s="289">
        <f>SUMIFS('Master data'!$M$2:$M$296,'Master data'!$D$2:$D$296,$A139,'Master data'!$C$2:$C$296,H$3)</f>
        <v>0</v>
      </c>
      <c r="I139" s="289">
        <f>SUMIFS('Master data'!$M$2:$M$296,'Master data'!$D$2:$D$296,$A139,'Master data'!$C$2:$C$296,I$3)</f>
        <v>0</v>
      </c>
      <c r="J139" s="289">
        <f>SUMIFS('Master data'!$M$2:$M$296,'Master data'!$D$2:$D$296,$A139,'Master data'!$C$2:$C$296,J$3)</f>
        <v>0</v>
      </c>
      <c r="K139" s="289">
        <f>SUMIFS('Master data'!$M$2:$M$296,'Master data'!$D$2:$D$296,$A139,'Master data'!$C$2:$C$296,K$3)</f>
        <v>0</v>
      </c>
      <c r="L139" s="289">
        <f>SUMIFS('Master data'!$M$2:$M$296,'Master data'!$D$2:$D$296,$A139,'Master data'!$C$2:$C$296,L$3)</f>
        <v>0</v>
      </c>
      <c r="M139" s="289">
        <f>SUMIFS('Master data'!$M$2:$M$296,'Master data'!$D$2:$D$296,$A139,'Master data'!$C$2:$C$296,M$3)</f>
        <v>5819940</v>
      </c>
      <c r="N139" s="299">
        <f t="shared" si="2"/>
        <v>5819940</v>
      </c>
    </row>
    <row r="140" spans="1:14" x14ac:dyDescent="0.35">
      <c r="A140" s="293" t="s">
        <v>1105</v>
      </c>
      <c r="B140" s="288">
        <f>SUMIFS('Master data'!$M$2:$M$296,'Master data'!$D$2:$D$296,$A140,'Master data'!$C$2:$C$296,B$3)</f>
        <v>0</v>
      </c>
      <c r="C140" s="288">
        <f>SUMIFS('Master data'!$M$2:$M$296,'Master data'!$D$2:$D$296,$A140,'Master data'!$C$2:$C$296,C$3)</f>
        <v>0</v>
      </c>
      <c r="D140" s="288">
        <f>SUMIFS('Master data'!$M$2:$M$296,'Master data'!$D$2:$D$296,$A140,'Master data'!$C$2:$C$296,D$3)</f>
        <v>0</v>
      </c>
      <c r="E140" s="288">
        <f>SUMIFS('Master data'!$M$2:$M$296,'Master data'!$D$2:$D$296,$A140,'Master data'!$C$2:$C$296,E$3)</f>
        <v>0</v>
      </c>
      <c r="F140" s="288">
        <f>SUMIFS('Master data'!$M$2:$M$296,'Master data'!$D$2:$D$296,$A140,'Master data'!$C$2:$C$296,F$3)</f>
        <v>0</v>
      </c>
      <c r="G140" s="288">
        <f>SUMIFS('Master data'!$M$2:$M$296,'Master data'!$D$2:$D$296,$A140,'Master data'!$C$2:$C$296,G$3)</f>
        <v>0</v>
      </c>
      <c r="H140" s="288">
        <f>SUMIFS('Master data'!$M$2:$M$296,'Master data'!$D$2:$D$296,$A140,'Master data'!$C$2:$C$296,H$3)</f>
        <v>4936932</v>
      </c>
      <c r="I140" s="288">
        <f>SUMIFS('Master data'!$M$2:$M$296,'Master data'!$D$2:$D$296,$A140,'Master data'!$C$2:$C$296,I$3)</f>
        <v>0</v>
      </c>
      <c r="J140" s="288">
        <f>SUMIFS('Master data'!$M$2:$M$296,'Master data'!$D$2:$D$296,$A140,'Master data'!$C$2:$C$296,J$3)</f>
        <v>0</v>
      </c>
      <c r="K140" s="288">
        <f>SUMIFS('Master data'!$M$2:$M$296,'Master data'!$D$2:$D$296,$A140,'Master data'!$C$2:$C$296,K$3)</f>
        <v>0</v>
      </c>
      <c r="L140" s="288">
        <f>SUMIFS('Master data'!$M$2:$M$296,'Master data'!$D$2:$D$296,$A140,'Master data'!$C$2:$C$296,L$3)</f>
        <v>0</v>
      </c>
      <c r="M140" s="288">
        <f>SUMIFS('Master data'!$M$2:$M$296,'Master data'!$D$2:$D$296,$A140,'Master data'!$C$2:$C$296,M$3)</f>
        <v>0</v>
      </c>
      <c r="N140" s="298">
        <f t="shared" si="2"/>
        <v>4936932</v>
      </c>
    </row>
    <row r="141" spans="1:14" x14ac:dyDescent="0.35">
      <c r="A141" s="294" t="s">
        <v>1062</v>
      </c>
      <c r="B141" s="289">
        <f>SUMIFS('Master data'!$M$2:$M$296,'Master data'!$D$2:$D$296,$A141,'Master data'!$C$2:$C$296,B$3)</f>
        <v>4510462</v>
      </c>
      <c r="C141" s="289">
        <f>SUMIFS('Master data'!$M$2:$M$296,'Master data'!$D$2:$D$296,$A141,'Master data'!$C$2:$C$296,C$3)</f>
        <v>0</v>
      </c>
      <c r="D141" s="289">
        <f>SUMIFS('Master data'!$M$2:$M$296,'Master data'!$D$2:$D$296,$A141,'Master data'!$C$2:$C$296,D$3)</f>
        <v>0</v>
      </c>
      <c r="E141" s="289">
        <f>SUMIFS('Master data'!$M$2:$M$296,'Master data'!$D$2:$D$296,$A141,'Master data'!$C$2:$C$296,E$3)</f>
        <v>0</v>
      </c>
      <c r="F141" s="289">
        <f>SUMIFS('Master data'!$M$2:$M$296,'Master data'!$D$2:$D$296,$A141,'Master data'!$C$2:$C$296,F$3)</f>
        <v>0</v>
      </c>
      <c r="G141" s="289">
        <f>SUMIFS('Master data'!$M$2:$M$296,'Master data'!$D$2:$D$296,$A141,'Master data'!$C$2:$C$296,G$3)</f>
        <v>0</v>
      </c>
      <c r="H141" s="289">
        <f>SUMIFS('Master data'!$M$2:$M$296,'Master data'!$D$2:$D$296,$A141,'Master data'!$C$2:$C$296,H$3)</f>
        <v>0</v>
      </c>
      <c r="I141" s="289">
        <f>SUMIFS('Master data'!$M$2:$M$296,'Master data'!$D$2:$D$296,$A141,'Master data'!$C$2:$C$296,I$3)</f>
        <v>0</v>
      </c>
      <c r="J141" s="289">
        <f>SUMIFS('Master data'!$M$2:$M$296,'Master data'!$D$2:$D$296,$A141,'Master data'!$C$2:$C$296,J$3)</f>
        <v>0</v>
      </c>
      <c r="K141" s="289">
        <f>SUMIFS('Master data'!$M$2:$M$296,'Master data'!$D$2:$D$296,$A141,'Master data'!$C$2:$C$296,K$3)</f>
        <v>0</v>
      </c>
      <c r="L141" s="289">
        <f>SUMIFS('Master data'!$M$2:$M$296,'Master data'!$D$2:$D$296,$A141,'Master data'!$C$2:$C$296,L$3)</f>
        <v>0</v>
      </c>
      <c r="M141" s="289">
        <f>SUMIFS('Master data'!$M$2:$M$296,'Master data'!$D$2:$D$296,$A141,'Master data'!$C$2:$C$296,M$3)</f>
        <v>0</v>
      </c>
      <c r="N141" s="299">
        <f t="shared" si="2"/>
        <v>4510462</v>
      </c>
    </row>
    <row r="142" spans="1:14" x14ac:dyDescent="0.35">
      <c r="A142" s="293" t="s">
        <v>1181</v>
      </c>
      <c r="B142" s="288">
        <f>SUMIFS('Master data'!$M$2:$M$296,'Master data'!$D$2:$D$296,$A142,'Master data'!$C$2:$C$296,B$3)</f>
        <v>0</v>
      </c>
      <c r="C142" s="288">
        <f>SUMIFS('Master data'!$M$2:$M$296,'Master data'!$D$2:$D$296,$A142,'Master data'!$C$2:$C$296,C$3)</f>
        <v>0</v>
      </c>
      <c r="D142" s="288">
        <f>SUMIFS('Master data'!$M$2:$M$296,'Master data'!$D$2:$D$296,$A142,'Master data'!$C$2:$C$296,D$3)</f>
        <v>0</v>
      </c>
      <c r="E142" s="288">
        <f>SUMIFS('Master data'!$M$2:$M$296,'Master data'!$D$2:$D$296,$A142,'Master data'!$C$2:$C$296,E$3)</f>
        <v>0</v>
      </c>
      <c r="F142" s="288">
        <f>SUMIFS('Master data'!$M$2:$M$296,'Master data'!$D$2:$D$296,$A142,'Master data'!$C$2:$C$296,F$3)</f>
        <v>0</v>
      </c>
      <c r="G142" s="288">
        <f>SUMIFS('Master data'!$M$2:$M$296,'Master data'!$D$2:$D$296,$A142,'Master data'!$C$2:$C$296,G$3)</f>
        <v>0</v>
      </c>
      <c r="H142" s="288">
        <f>SUMIFS('Master data'!$M$2:$M$296,'Master data'!$D$2:$D$296,$A142,'Master data'!$C$2:$C$296,H$3)</f>
        <v>0</v>
      </c>
      <c r="I142" s="288">
        <f>SUMIFS('Master data'!$M$2:$M$296,'Master data'!$D$2:$D$296,$A142,'Master data'!$C$2:$C$296,I$3)</f>
        <v>4031760</v>
      </c>
      <c r="J142" s="288">
        <f>SUMIFS('Master data'!$M$2:$M$296,'Master data'!$D$2:$D$296,$A142,'Master data'!$C$2:$C$296,J$3)</f>
        <v>0</v>
      </c>
      <c r="K142" s="288">
        <f>SUMIFS('Master data'!$M$2:$M$296,'Master data'!$D$2:$D$296,$A142,'Master data'!$C$2:$C$296,K$3)</f>
        <v>0</v>
      </c>
      <c r="L142" s="288">
        <f>SUMIFS('Master data'!$M$2:$M$296,'Master data'!$D$2:$D$296,$A142,'Master data'!$C$2:$C$296,L$3)</f>
        <v>0</v>
      </c>
      <c r="M142" s="288">
        <f>SUMIFS('Master data'!$M$2:$M$296,'Master data'!$D$2:$D$296,$A142,'Master data'!$C$2:$C$296,M$3)</f>
        <v>0</v>
      </c>
      <c r="N142" s="298">
        <f t="shared" si="2"/>
        <v>4031760</v>
      </c>
    </row>
    <row r="143" spans="1:14" x14ac:dyDescent="0.35">
      <c r="A143" s="294" t="s">
        <v>1116</v>
      </c>
      <c r="B143" s="289">
        <f>SUMIFS('Master data'!$M$2:$M$296,'Master data'!$D$2:$D$296,$A143,'Master data'!$C$2:$C$296,B$3)</f>
        <v>0</v>
      </c>
      <c r="C143" s="289">
        <f>SUMIFS('Master data'!$M$2:$M$296,'Master data'!$D$2:$D$296,$A143,'Master data'!$C$2:$C$296,C$3)</f>
        <v>0</v>
      </c>
      <c r="D143" s="289">
        <f>SUMIFS('Master data'!$M$2:$M$296,'Master data'!$D$2:$D$296,$A143,'Master data'!$C$2:$C$296,D$3)</f>
        <v>0</v>
      </c>
      <c r="E143" s="289">
        <f>SUMIFS('Master data'!$M$2:$M$296,'Master data'!$D$2:$D$296,$A143,'Master data'!$C$2:$C$296,E$3)</f>
        <v>3102610</v>
      </c>
      <c r="F143" s="289">
        <f>SUMIFS('Master data'!$M$2:$M$296,'Master data'!$D$2:$D$296,$A143,'Master data'!$C$2:$C$296,F$3)</f>
        <v>0</v>
      </c>
      <c r="G143" s="289">
        <f>SUMIFS('Master data'!$M$2:$M$296,'Master data'!$D$2:$D$296,$A143,'Master data'!$C$2:$C$296,G$3)</f>
        <v>0</v>
      </c>
      <c r="H143" s="289">
        <f>SUMIFS('Master data'!$M$2:$M$296,'Master data'!$D$2:$D$296,$A143,'Master data'!$C$2:$C$296,H$3)</f>
        <v>0</v>
      </c>
      <c r="I143" s="289">
        <f>SUMIFS('Master data'!$M$2:$M$296,'Master data'!$D$2:$D$296,$A143,'Master data'!$C$2:$C$296,I$3)</f>
        <v>0</v>
      </c>
      <c r="J143" s="289">
        <f>SUMIFS('Master data'!$M$2:$M$296,'Master data'!$D$2:$D$296,$A143,'Master data'!$C$2:$C$296,J$3)</f>
        <v>0</v>
      </c>
      <c r="K143" s="289">
        <f>SUMIFS('Master data'!$M$2:$M$296,'Master data'!$D$2:$D$296,$A143,'Master data'!$C$2:$C$296,K$3)</f>
        <v>0</v>
      </c>
      <c r="L143" s="289">
        <f>SUMIFS('Master data'!$M$2:$M$296,'Master data'!$D$2:$D$296,$A143,'Master data'!$C$2:$C$296,L$3)</f>
        <v>0</v>
      </c>
      <c r="M143" s="289">
        <f>SUMIFS('Master data'!$M$2:$M$296,'Master data'!$D$2:$D$296,$A143,'Master data'!$C$2:$C$296,M$3)</f>
        <v>0</v>
      </c>
      <c r="N143" s="299">
        <f t="shared" si="2"/>
        <v>3102610</v>
      </c>
    </row>
    <row r="144" spans="1:14" x14ac:dyDescent="0.35">
      <c r="A144" s="293" t="s">
        <v>1045</v>
      </c>
      <c r="B144" s="288">
        <f>SUMIFS('Master data'!$M$2:$M$296,'Master data'!$D$2:$D$296,$A144,'Master data'!$C$2:$C$296,B$3)</f>
        <v>0</v>
      </c>
      <c r="C144" s="288">
        <f>SUMIFS('Master data'!$M$2:$M$296,'Master data'!$D$2:$D$296,$A144,'Master data'!$C$2:$C$296,C$3)</f>
        <v>0</v>
      </c>
      <c r="D144" s="288">
        <f>SUMIFS('Master data'!$M$2:$M$296,'Master data'!$D$2:$D$296,$A144,'Master data'!$C$2:$C$296,D$3)</f>
        <v>0</v>
      </c>
      <c r="E144" s="288">
        <f>SUMIFS('Master data'!$M$2:$M$296,'Master data'!$D$2:$D$296,$A144,'Master data'!$C$2:$C$296,E$3)</f>
        <v>0</v>
      </c>
      <c r="F144" s="288">
        <f>SUMIFS('Master data'!$M$2:$M$296,'Master data'!$D$2:$D$296,$A144,'Master data'!$C$2:$C$296,F$3)</f>
        <v>0</v>
      </c>
      <c r="G144" s="288">
        <f>SUMIFS('Master data'!$M$2:$M$296,'Master data'!$D$2:$D$296,$A144,'Master data'!$C$2:$C$296,G$3)</f>
        <v>0</v>
      </c>
      <c r="H144" s="288">
        <f>SUMIFS('Master data'!$M$2:$M$296,'Master data'!$D$2:$D$296,$A144,'Master data'!$C$2:$C$296,H$3)</f>
        <v>0</v>
      </c>
      <c r="I144" s="288">
        <f>SUMIFS('Master data'!$M$2:$M$296,'Master data'!$D$2:$D$296,$A144,'Master data'!$C$2:$C$296,I$3)</f>
        <v>0</v>
      </c>
      <c r="J144" s="288">
        <f>SUMIFS('Master data'!$M$2:$M$296,'Master data'!$D$2:$D$296,$A144,'Master data'!$C$2:$C$296,J$3)</f>
        <v>1657096</v>
      </c>
      <c r="K144" s="288">
        <f>SUMIFS('Master data'!$M$2:$M$296,'Master data'!$D$2:$D$296,$A144,'Master data'!$C$2:$C$296,K$3)</f>
        <v>0</v>
      </c>
      <c r="L144" s="288">
        <f>SUMIFS('Master data'!$M$2:$M$296,'Master data'!$D$2:$D$296,$A144,'Master data'!$C$2:$C$296,L$3)</f>
        <v>0</v>
      </c>
      <c r="M144" s="288">
        <f>SUMIFS('Master data'!$M$2:$M$296,'Master data'!$D$2:$D$296,$A144,'Master data'!$C$2:$C$296,M$3)</f>
        <v>0</v>
      </c>
      <c r="N144" s="298">
        <f t="shared" si="2"/>
        <v>1657096</v>
      </c>
    </row>
    <row r="145" spans="1:14" x14ac:dyDescent="0.35">
      <c r="A145" s="294" t="s">
        <v>1200</v>
      </c>
      <c r="B145" s="289">
        <f>SUMIFS('Master data'!$M$2:$M$296,'Master data'!$D$2:$D$296,$A145,'Master data'!$C$2:$C$296,B$3)</f>
        <v>0</v>
      </c>
      <c r="C145" s="289">
        <f>SUMIFS('Master data'!$M$2:$M$296,'Master data'!$D$2:$D$296,$A145,'Master data'!$C$2:$C$296,C$3)</f>
        <v>0</v>
      </c>
      <c r="D145" s="289">
        <f>SUMIFS('Master data'!$M$2:$M$296,'Master data'!$D$2:$D$296,$A145,'Master data'!$C$2:$C$296,D$3)</f>
        <v>0</v>
      </c>
      <c r="E145" s="289">
        <f>SUMIFS('Master data'!$M$2:$M$296,'Master data'!$D$2:$D$296,$A145,'Master data'!$C$2:$C$296,E$3)</f>
        <v>0</v>
      </c>
      <c r="F145" s="289">
        <f>SUMIFS('Master data'!$M$2:$M$296,'Master data'!$D$2:$D$296,$A145,'Master data'!$C$2:$C$296,F$3)</f>
        <v>0</v>
      </c>
      <c r="G145" s="289">
        <f>SUMIFS('Master data'!$M$2:$M$296,'Master data'!$D$2:$D$296,$A145,'Master data'!$C$2:$C$296,G$3)</f>
        <v>0</v>
      </c>
      <c r="H145" s="289">
        <f>SUMIFS('Master data'!$M$2:$M$296,'Master data'!$D$2:$D$296,$A145,'Master data'!$C$2:$C$296,H$3)</f>
        <v>0</v>
      </c>
      <c r="I145" s="289">
        <f>SUMIFS('Master data'!$M$2:$M$296,'Master data'!$D$2:$D$296,$A145,'Master data'!$C$2:$C$296,I$3)</f>
        <v>0</v>
      </c>
      <c r="J145" s="289">
        <f>SUMIFS('Master data'!$M$2:$M$296,'Master data'!$D$2:$D$296,$A145,'Master data'!$C$2:$C$296,J$3)</f>
        <v>0</v>
      </c>
      <c r="K145" s="289">
        <f>SUMIFS('Master data'!$M$2:$M$296,'Master data'!$D$2:$D$296,$A145,'Master data'!$C$2:$C$296,K$3)</f>
        <v>0</v>
      </c>
      <c r="L145" s="289">
        <f>SUMIFS('Master data'!$M$2:$M$296,'Master data'!$D$2:$D$296,$A145,'Master data'!$C$2:$C$296,L$3)</f>
        <v>0</v>
      </c>
      <c r="M145" s="289">
        <f>SUMIFS('Master data'!$M$2:$M$296,'Master data'!$D$2:$D$296,$A145,'Master data'!$C$2:$C$296,M$3)</f>
        <v>1117455</v>
      </c>
      <c r="N145" s="299">
        <f t="shared" si="2"/>
        <v>1117455</v>
      </c>
    </row>
    <row r="146" spans="1:14" x14ac:dyDescent="0.35">
      <c r="A146" s="293" t="s">
        <v>1115</v>
      </c>
      <c r="B146" s="288">
        <f>SUMIFS('Master data'!$M$2:$M$296,'Master data'!$D$2:$D$296,$A146,'Master data'!$C$2:$C$296,B$3)</f>
        <v>0</v>
      </c>
      <c r="C146" s="288">
        <f>SUMIFS('Master data'!$M$2:$M$296,'Master data'!$D$2:$D$296,$A146,'Master data'!$C$2:$C$296,C$3)</f>
        <v>0</v>
      </c>
      <c r="D146" s="288">
        <f>SUMIFS('Master data'!$M$2:$M$296,'Master data'!$D$2:$D$296,$A146,'Master data'!$C$2:$C$296,D$3)</f>
        <v>0</v>
      </c>
      <c r="E146" s="288">
        <f>SUMIFS('Master data'!$M$2:$M$296,'Master data'!$D$2:$D$296,$A146,'Master data'!$C$2:$C$296,E$3)</f>
        <v>0</v>
      </c>
      <c r="F146" s="288">
        <f>SUMIFS('Master data'!$M$2:$M$296,'Master data'!$D$2:$D$296,$A146,'Master data'!$C$2:$C$296,F$3)</f>
        <v>0</v>
      </c>
      <c r="G146" s="288">
        <f>SUMIFS('Master data'!$M$2:$M$296,'Master data'!$D$2:$D$296,$A146,'Master data'!$C$2:$C$296,G$3)</f>
        <v>0</v>
      </c>
      <c r="H146" s="288">
        <f>SUMIFS('Master data'!$M$2:$M$296,'Master data'!$D$2:$D$296,$A146,'Master data'!$C$2:$C$296,H$3)</f>
        <v>0</v>
      </c>
      <c r="I146" s="288">
        <f>SUMIFS('Master data'!$M$2:$M$296,'Master data'!$D$2:$D$296,$A146,'Master data'!$C$2:$C$296,I$3)</f>
        <v>0</v>
      </c>
      <c r="J146" s="288">
        <f>SUMIFS('Master data'!$M$2:$M$296,'Master data'!$D$2:$D$296,$A146,'Master data'!$C$2:$C$296,J$3)</f>
        <v>0</v>
      </c>
      <c r="K146" s="288">
        <f>SUMIFS('Master data'!$M$2:$M$296,'Master data'!$D$2:$D$296,$A146,'Master data'!$C$2:$C$296,K$3)</f>
        <v>3786588</v>
      </c>
      <c r="L146" s="288">
        <f>SUMIFS('Master data'!$M$2:$M$296,'Master data'!$D$2:$D$296,$A146,'Master data'!$C$2:$C$296,L$3)</f>
        <v>0</v>
      </c>
      <c r="M146" s="288">
        <f>SUMIFS('Master data'!$M$2:$M$296,'Master data'!$D$2:$D$296,$A146,'Master data'!$C$2:$C$296,M$3)</f>
        <v>0</v>
      </c>
      <c r="N146" s="298">
        <f t="shared" si="2"/>
        <v>3786588</v>
      </c>
    </row>
    <row r="147" spans="1:14" x14ac:dyDescent="0.35">
      <c r="A147" s="294" t="s">
        <v>1171</v>
      </c>
      <c r="B147" s="289">
        <f>SUMIFS('Master data'!$M$2:$M$296,'Master data'!$D$2:$D$296,$A147,'Master data'!$C$2:$C$296,B$3)</f>
        <v>0</v>
      </c>
      <c r="C147" s="289">
        <f>SUMIFS('Master data'!$M$2:$M$296,'Master data'!$D$2:$D$296,$A147,'Master data'!$C$2:$C$296,C$3)</f>
        <v>0</v>
      </c>
      <c r="D147" s="289">
        <f>SUMIFS('Master data'!$M$2:$M$296,'Master data'!$D$2:$D$296,$A147,'Master data'!$C$2:$C$296,D$3)</f>
        <v>0</v>
      </c>
      <c r="E147" s="289">
        <f>SUMIFS('Master data'!$M$2:$M$296,'Master data'!$D$2:$D$296,$A147,'Master data'!$C$2:$C$296,E$3)</f>
        <v>0</v>
      </c>
      <c r="F147" s="289">
        <f>SUMIFS('Master data'!$M$2:$M$296,'Master data'!$D$2:$D$296,$A147,'Master data'!$C$2:$C$296,F$3)</f>
        <v>0</v>
      </c>
      <c r="G147" s="289">
        <f>SUMIFS('Master data'!$M$2:$M$296,'Master data'!$D$2:$D$296,$A147,'Master data'!$C$2:$C$296,G$3)</f>
        <v>0</v>
      </c>
      <c r="H147" s="289">
        <f>SUMIFS('Master data'!$M$2:$M$296,'Master data'!$D$2:$D$296,$A147,'Master data'!$C$2:$C$296,H$3)</f>
        <v>0</v>
      </c>
      <c r="I147" s="289">
        <f>SUMIFS('Master data'!$M$2:$M$296,'Master data'!$D$2:$D$296,$A147,'Master data'!$C$2:$C$296,I$3)</f>
        <v>0</v>
      </c>
      <c r="J147" s="289">
        <f>SUMIFS('Master data'!$M$2:$M$296,'Master data'!$D$2:$D$296,$A147,'Master data'!$C$2:$C$296,J$3)</f>
        <v>0</v>
      </c>
      <c r="K147" s="289">
        <f>SUMIFS('Master data'!$M$2:$M$296,'Master data'!$D$2:$D$296,$A147,'Master data'!$C$2:$C$296,K$3)</f>
        <v>0</v>
      </c>
      <c r="L147" s="289">
        <f>SUMIFS('Master data'!$M$2:$M$296,'Master data'!$D$2:$D$296,$A147,'Master data'!$C$2:$C$296,L$3)</f>
        <v>7530354</v>
      </c>
      <c r="M147" s="289">
        <f>SUMIFS('Master data'!$M$2:$M$296,'Master data'!$D$2:$D$296,$A147,'Master data'!$C$2:$C$296,M$3)</f>
        <v>0</v>
      </c>
      <c r="N147" s="299">
        <f t="shared" si="2"/>
        <v>7530354</v>
      </c>
    </row>
    <row r="148" spans="1:14" x14ac:dyDescent="0.35">
      <c r="A148" s="293" t="s">
        <v>1186</v>
      </c>
      <c r="B148" s="288">
        <f>SUMIFS('Master data'!$M$2:$M$296,'Master data'!$D$2:$D$296,$A148,'Master data'!$C$2:$C$296,B$3)</f>
        <v>3097165</v>
      </c>
      <c r="C148" s="288">
        <f>SUMIFS('Master data'!$M$2:$M$296,'Master data'!$D$2:$D$296,$A148,'Master data'!$C$2:$C$296,C$3)</f>
        <v>0</v>
      </c>
      <c r="D148" s="288">
        <f>SUMIFS('Master data'!$M$2:$M$296,'Master data'!$D$2:$D$296,$A148,'Master data'!$C$2:$C$296,D$3)</f>
        <v>0</v>
      </c>
      <c r="E148" s="288">
        <f>SUMIFS('Master data'!$M$2:$M$296,'Master data'!$D$2:$D$296,$A148,'Master data'!$C$2:$C$296,E$3)</f>
        <v>0</v>
      </c>
      <c r="F148" s="288">
        <f>SUMIFS('Master data'!$M$2:$M$296,'Master data'!$D$2:$D$296,$A148,'Master data'!$C$2:$C$296,F$3)</f>
        <v>0</v>
      </c>
      <c r="G148" s="288">
        <f>SUMIFS('Master data'!$M$2:$M$296,'Master data'!$D$2:$D$296,$A148,'Master data'!$C$2:$C$296,G$3)</f>
        <v>0</v>
      </c>
      <c r="H148" s="288">
        <f>SUMIFS('Master data'!$M$2:$M$296,'Master data'!$D$2:$D$296,$A148,'Master data'!$C$2:$C$296,H$3)</f>
        <v>0</v>
      </c>
      <c r="I148" s="288">
        <f>SUMIFS('Master data'!$M$2:$M$296,'Master data'!$D$2:$D$296,$A148,'Master data'!$C$2:$C$296,I$3)</f>
        <v>0</v>
      </c>
      <c r="J148" s="288">
        <f>SUMIFS('Master data'!$M$2:$M$296,'Master data'!$D$2:$D$296,$A148,'Master data'!$C$2:$C$296,J$3)</f>
        <v>0</v>
      </c>
      <c r="K148" s="288">
        <f>SUMIFS('Master data'!$M$2:$M$296,'Master data'!$D$2:$D$296,$A148,'Master data'!$C$2:$C$296,K$3)</f>
        <v>0</v>
      </c>
      <c r="L148" s="288">
        <f>SUMIFS('Master data'!$M$2:$M$296,'Master data'!$D$2:$D$296,$A148,'Master data'!$C$2:$C$296,L$3)</f>
        <v>0</v>
      </c>
      <c r="M148" s="288">
        <f>SUMIFS('Master data'!$M$2:$M$296,'Master data'!$D$2:$D$296,$A148,'Master data'!$C$2:$C$296,M$3)</f>
        <v>0</v>
      </c>
      <c r="N148" s="298">
        <f t="shared" si="2"/>
        <v>3097165</v>
      </c>
    </row>
    <row r="149" spans="1:14" x14ac:dyDescent="0.35">
      <c r="A149" s="294" t="s">
        <v>1130</v>
      </c>
      <c r="B149" s="289">
        <f>SUMIFS('Master data'!$M$2:$M$296,'Master data'!$D$2:$D$296,$A149,'Master data'!$C$2:$C$296,B$3)</f>
        <v>1377948</v>
      </c>
      <c r="C149" s="289">
        <f>SUMIFS('Master data'!$M$2:$M$296,'Master data'!$D$2:$D$296,$A149,'Master data'!$C$2:$C$296,C$3)</f>
        <v>0</v>
      </c>
      <c r="D149" s="289">
        <f>SUMIFS('Master data'!$M$2:$M$296,'Master data'!$D$2:$D$296,$A149,'Master data'!$C$2:$C$296,D$3)</f>
        <v>0</v>
      </c>
      <c r="E149" s="289">
        <f>SUMIFS('Master data'!$M$2:$M$296,'Master data'!$D$2:$D$296,$A149,'Master data'!$C$2:$C$296,E$3)</f>
        <v>0</v>
      </c>
      <c r="F149" s="289">
        <f>SUMIFS('Master data'!$M$2:$M$296,'Master data'!$D$2:$D$296,$A149,'Master data'!$C$2:$C$296,F$3)</f>
        <v>0</v>
      </c>
      <c r="G149" s="289">
        <f>SUMIFS('Master data'!$M$2:$M$296,'Master data'!$D$2:$D$296,$A149,'Master data'!$C$2:$C$296,G$3)</f>
        <v>0</v>
      </c>
      <c r="H149" s="289">
        <f>SUMIFS('Master data'!$M$2:$M$296,'Master data'!$D$2:$D$296,$A149,'Master data'!$C$2:$C$296,H$3)</f>
        <v>0</v>
      </c>
      <c r="I149" s="289">
        <f>SUMIFS('Master data'!$M$2:$M$296,'Master data'!$D$2:$D$296,$A149,'Master data'!$C$2:$C$296,I$3)</f>
        <v>0</v>
      </c>
      <c r="J149" s="289">
        <f>SUMIFS('Master data'!$M$2:$M$296,'Master data'!$D$2:$D$296,$A149,'Master data'!$C$2:$C$296,J$3)</f>
        <v>0</v>
      </c>
      <c r="K149" s="289">
        <f>SUMIFS('Master data'!$M$2:$M$296,'Master data'!$D$2:$D$296,$A149,'Master data'!$C$2:$C$296,K$3)</f>
        <v>0</v>
      </c>
      <c r="L149" s="289">
        <f>SUMIFS('Master data'!$M$2:$M$296,'Master data'!$D$2:$D$296,$A149,'Master data'!$C$2:$C$296,L$3)</f>
        <v>0</v>
      </c>
      <c r="M149" s="289">
        <f>SUMIFS('Master data'!$M$2:$M$296,'Master data'!$D$2:$D$296,$A149,'Master data'!$C$2:$C$296,M$3)</f>
        <v>0</v>
      </c>
      <c r="N149" s="299">
        <f t="shared" si="2"/>
        <v>1377948</v>
      </c>
    </row>
    <row r="150" spans="1:14" x14ac:dyDescent="0.35">
      <c r="A150" s="293" t="s">
        <v>1237</v>
      </c>
      <c r="B150" s="288">
        <f>SUMIFS('Master data'!$M$2:$M$296,'Master data'!$D$2:$D$296,$A150,'Master data'!$C$2:$C$296,B$3)</f>
        <v>0</v>
      </c>
      <c r="C150" s="288">
        <f>SUMIFS('Master data'!$M$2:$M$296,'Master data'!$D$2:$D$296,$A150,'Master data'!$C$2:$C$296,C$3)</f>
        <v>0</v>
      </c>
      <c r="D150" s="288">
        <f>SUMIFS('Master data'!$M$2:$M$296,'Master data'!$D$2:$D$296,$A150,'Master data'!$C$2:$C$296,D$3)</f>
        <v>0</v>
      </c>
      <c r="E150" s="288">
        <f>SUMIFS('Master data'!$M$2:$M$296,'Master data'!$D$2:$D$296,$A150,'Master data'!$C$2:$C$296,E$3)</f>
        <v>0</v>
      </c>
      <c r="F150" s="288">
        <f>SUMIFS('Master data'!$M$2:$M$296,'Master data'!$D$2:$D$296,$A150,'Master data'!$C$2:$C$296,F$3)</f>
        <v>0</v>
      </c>
      <c r="G150" s="288">
        <f>SUMIFS('Master data'!$M$2:$M$296,'Master data'!$D$2:$D$296,$A150,'Master data'!$C$2:$C$296,G$3)</f>
        <v>5145410</v>
      </c>
      <c r="H150" s="288">
        <f>SUMIFS('Master data'!$M$2:$M$296,'Master data'!$D$2:$D$296,$A150,'Master data'!$C$2:$C$296,H$3)</f>
        <v>0</v>
      </c>
      <c r="I150" s="288">
        <f>SUMIFS('Master data'!$M$2:$M$296,'Master data'!$D$2:$D$296,$A150,'Master data'!$C$2:$C$296,I$3)</f>
        <v>0</v>
      </c>
      <c r="J150" s="288">
        <f>SUMIFS('Master data'!$M$2:$M$296,'Master data'!$D$2:$D$296,$A150,'Master data'!$C$2:$C$296,J$3)</f>
        <v>0</v>
      </c>
      <c r="K150" s="288">
        <f>SUMIFS('Master data'!$M$2:$M$296,'Master data'!$D$2:$D$296,$A150,'Master data'!$C$2:$C$296,K$3)</f>
        <v>0</v>
      </c>
      <c r="L150" s="288">
        <f>SUMIFS('Master data'!$M$2:$M$296,'Master data'!$D$2:$D$296,$A150,'Master data'!$C$2:$C$296,L$3)</f>
        <v>0</v>
      </c>
      <c r="M150" s="288">
        <f>SUMIFS('Master data'!$M$2:$M$296,'Master data'!$D$2:$D$296,$A150,'Master data'!$C$2:$C$296,M$3)</f>
        <v>0</v>
      </c>
      <c r="N150" s="298">
        <f t="shared" si="2"/>
        <v>5145410</v>
      </c>
    </row>
    <row r="151" spans="1:14" ht="15" thickBot="1" x14ac:dyDescent="0.4">
      <c r="A151" s="295" t="s">
        <v>1282</v>
      </c>
      <c r="B151" s="291">
        <f t="shared" ref="B151:N151" si="3">SUM(B4:B150)</f>
        <v>133167828</v>
      </c>
      <c r="C151" s="291">
        <f t="shared" si="3"/>
        <v>109768919</v>
      </c>
      <c r="D151" s="291">
        <f t="shared" si="3"/>
        <v>0</v>
      </c>
      <c r="E151" s="291">
        <f t="shared" si="3"/>
        <v>129993665</v>
      </c>
      <c r="F151" s="291">
        <f t="shared" si="3"/>
        <v>107590190</v>
      </c>
      <c r="G151" s="291">
        <f t="shared" si="3"/>
        <v>125417871</v>
      </c>
      <c r="H151" s="291">
        <f t="shared" si="3"/>
        <v>106105554</v>
      </c>
      <c r="I151" s="291">
        <f t="shared" si="3"/>
        <v>119639104</v>
      </c>
      <c r="J151" s="291">
        <f t="shared" si="3"/>
        <v>81907482</v>
      </c>
      <c r="K151" s="291">
        <f t="shared" si="3"/>
        <v>77656035</v>
      </c>
      <c r="L151" s="291">
        <f t="shared" si="3"/>
        <v>134635748</v>
      </c>
      <c r="M151" s="291">
        <f t="shared" si="3"/>
        <v>116213969</v>
      </c>
      <c r="N151" s="297">
        <f t="shared" si="3"/>
        <v>1242096365</v>
      </c>
    </row>
  </sheetData>
  <conditionalFormatting sqref="B4:N150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Cell Referencing (2)</vt:lpstr>
      <vt:lpstr>Cell Referencing</vt:lpstr>
      <vt:lpstr>Text Formulas (2)</vt:lpstr>
      <vt:lpstr>Text Formulas</vt:lpstr>
      <vt:lpstr>Notes</vt:lpstr>
      <vt:lpstr>Logical Formulas</vt:lpstr>
      <vt:lpstr>Date n Time Formulas (2)</vt:lpstr>
      <vt:lpstr>Date n Time Formulas</vt:lpstr>
      <vt:lpstr>Number Formulas</vt:lpstr>
      <vt:lpstr>Sumif etc (2)</vt:lpstr>
      <vt:lpstr>Sumif etc</vt:lpstr>
      <vt:lpstr>Master data</vt:lpstr>
      <vt:lpstr>Sumifs</vt:lpstr>
      <vt:lpstr>Lookup &amp; Refrence</vt:lpstr>
      <vt:lpstr>Sheet7</vt:lpstr>
      <vt:lpstr>Filter Formula</vt:lpstr>
      <vt:lpstr>Financial Formulas</vt:lpstr>
      <vt:lpstr>Formula 365</vt:lpstr>
      <vt:lpstr>QR Code</vt:lpstr>
      <vt:lpstr>Partywise Monthly Sale</vt:lpstr>
      <vt:lpstr>'Filter Formula'!Criteria</vt:lpstr>
      <vt:lpstr>'Filter Formula'!Extract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Singhal</dc:creator>
  <cp:lastModifiedBy>Prashant Kumar</cp:lastModifiedBy>
  <dcterms:created xsi:type="dcterms:W3CDTF">2026-04-05T10:20:48Z</dcterms:created>
  <dcterms:modified xsi:type="dcterms:W3CDTF">2026-04-18T11:25:12Z</dcterms:modified>
</cp:coreProperties>
</file>