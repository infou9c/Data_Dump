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0fc502276e7e6e8/Desktop/Excel Zero to Hero tutorial 2026/"/>
    </mc:Choice>
  </mc:AlternateContent>
  <xr:revisionPtr revIDLastSave="0" documentId="8_{DBEC0BF9-2F86-460D-A6F2-20CC0B716D72}" xr6:coauthVersionLast="47" xr6:coauthVersionMax="47" xr10:uidLastSave="{00000000-0000-0000-0000-000000000000}"/>
  <bookViews>
    <workbookView xWindow="-110" yWindow="-110" windowWidth="25820" windowHeight="15500" activeTab="5" xr2:uid="{0E9E9205-3B9C-4EEE-A430-887E95154C60}"/>
  </bookViews>
  <sheets>
    <sheet name="Sheet1" sheetId="1" r:id="rId1"/>
    <sheet name="Data Entry" sheetId="4" r:id="rId2"/>
    <sheet name="Arthmatic" sheetId="6" r:id="rId3"/>
    <sheet name="Conditional Formatting" sheetId="5" r:id="rId4"/>
    <sheet name="Find , Replace" sheetId="11" r:id="rId5"/>
    <sheet name="CleaR" sheetId="12" r:id="rId6"/>
    <sheet name="filter" sheetId="8" r:id="rId7"/>
    <sheet name="Table" sheetId="9" r:id="rId8"/>
    <sheet name="Fill" sheetId="10" r:id="rId9"/>
    <sheet name="Clipboard" sheetId="7" r:id="rId10"/>
  </sheets>
  <definedNames>
    <definedName name="_xlnm._FilterDatabase" localSheetId="6" hidden="1">filter!$A$1:$G$31</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0" l="1" a="1"/>
  <c r="B15" i="10" s="1"/>
  <c r="B8" i="10" a="1"/>
  <c r="B8" i="10" s="1"/>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H3" i="6"/>
  <c r="H4" i="6"/>
  <c r="H5" i="6"/>
  <c r="H6" i="6"/>
  <c r="H7" i="6"/>
  <c r="H8" i="6"/>
  <c r="H9" i="6"/>
  <c r="H10" i="6"/>
  <c r="H11" i="6"/>
  <c r="H2" i="6"/>
  <c r="G3" i="6"/>
  <c r="G4" i="6"/>
  <c r="G5" i="6"/>
  <c r="G6" i="6"/>
  <c r="G7" i="6"/>
  <c r="G8" i="6"/>
  <c r="G9" i="6"/>
  <c r="G10" i="6"/>
  <c r="G11" i="6"/>
  <c r="G2" i="6"/>
  <c r="F3" i="6"/>
  <c r="F4" i="6"/>
  <c r="F5" i="6"/>
  <c r="F6" i="6"/>
  <c r="F7" i="6"/>
  <c r="F8" i="6"/>
  <c r="F9" i="6"/>
  <c r="F10" i="6"/>
  <c r="F11" i="6"/>
  <c r="F2" i="6"/>
  <c r="K3" i="4"/>
  <c r="K4" i="4"/>
  <c r="K5" i="4"/>
  <c r="K6" i="4"/>
  <c r="K7" i="4"/>
  <c r="K8" i="4"/>
  <c r="K9" i="4"/>
  <c r="K10" i="4"/>
  <c r="K11" i="4"/>
  <c r="K2" i="4"/>
  <c r="J3" i="4"/>
  <c r="J4" i="4"/>
  <c r="J5" i="4"/>
  <c r="J6" i="4"/>
  <c r="J7" i="4"/>
  <c r="J8" i="4"/>
  <c r="J9" i="4"/>
  <c r="J10" i="4"/>
  <c r="J11" i="4"/>
  <c r="J2" i="4"/>
  <c r="I3" i="4"/>
  <c r="I4" i="4"/>
  <c r="I5" i="4"/>
  <c r="I6" i="4"/>
  <c r="I7" i="4"/>
  <c r="I8" i="4"/>
  <c r="I9" i="4"/>
  <c r="I10" i="4"/>
  <c r="I11" i="4"/>
  <c r="I2" i="4"/>
  <c r="E47" i="4"/>
  <c r="F45" i="4"/>
  <c r="E45" i="4"/>
  <c r="F43" i="4"/>
  <c r="E43" i="4"/>
  <c r="G12" i="4"/>
  <c r="E12" i="4"/>
  <c r="D12" i="4"/>
  <c r="C12" i="4"/>
  <c r="H3" i="4"/>
  <c r="H4" i="4"/>
  <c r="H5" i="4"/>
  <c r="H6" i="4"/>
  <c r="H7" i="4"/>
  <c r="H8" i="4"/>
  <c r="H9" i="4"/>
  <c r="H10" i="4"/>
  <c r="H11" i="4"/>
  <c r="H2" i="4"/>
  <c r="G3" i="4"/>
  <c r="G4" i="4"/>
  <c r="G5" i="4"/>
  <c r="G6" i="4"/>
  <c r="G7" i="4"/>
  <c r="G8" i="4"/>
  <c r="G9" i="4"/>
  <c r="G10" i="4"/>
  <c r="G11" i="4"/>
  <c r="G2" i="4"/>
  <c r="F3" i="4"/>
  <c r="F4" i="4"/>
  <c r="F5" i="4"/>
  <c r="F6" i="4"/>
  <c r="F7" i="4"/>
  <c r="F8" i="4"/>
  <c r="F9" i="4"/>
  <c r="F10" i="4"/>
  <c r="F11" i="4"/>
  <c r="F2" i="4"/>
  <c r="C3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<sst xmlns="http://schemas.openxmlformats.org/spreadsheetml/2006/main" count="1131" uniqueCount="79">
  <si>
    <t>Serial No.</t>
  </si>
  <si>
    <t>Name</t>
  </si>
  <si>
    <t>A</t>
  </si>
  <si>
    <t>B</t>
  </si>
  <si>
    <t>C</t>
  </si>
  <si>
    <t>D</t>
  </si>
  <si>
    <t>E</t>
  </si>
  <si>
    <t>F</t>
  </si>
  <si>
    <t>G</t>
  </si>
  <si>
    <t>H</t>
  </si>
  <si>
    <t>I</t>
  </si>
  <si>
    <t>J</t>
  </si>
  <si>
    <t xml:space="preserve"> </t>
  </si>
  <si>
    <t>dd-mm-yyyy</t>
  </si>
  <si>
    <t>dd-mmm-yyyy</t>
  </si>
  <si>
    <t>Jan</t>
  </si>
  <si>
    <t>Feb</t>
  </si>
  <si>
    <t>March</t>
  </si>
  <si>
    <t>Total</t>
  </si>
  <si>
    <t>Average</t>
  </si>
  <si>
    <t>Maximum</t>
  </si>
  <si>
    <t>Minimum</t>
  </si>
  <si>
    <t>Student Name</t>
  </si>
  <si>
    <t>Hindi</t>
  </si>
  <si>
    <t>English</t>
  </si>
  <si>
    <t>Maths</t>
  </si>
  <si>
    <t>Science</t>
  </si>
  <si>
    <t>ab</t>
  </si>
  <si>
    <t>Count</t>
  </si>
  <si>
    <t>Counta</t>
  </si>
  <si>
    <t>Countblank</t>
  </si>
  <si>
    <t>Date</t>
  </si>
  <si>
    <t>Employee Name</t>
  </si>
  <si>
    <t>Department</t>
  </si>
  <si>
    <t>Region</t>
  </si>
  <si>
    <t>Sales (₹)</t>
  </si>
  <si>
    <t>Target (₹)</t>
  </si>
  <si>
    <t>Amit Sharma</t>
  </si>
  <si>
    <t>Finance</t>
  </si>
  <si>
    <t>East</t>
  </si>
  <si>
    <t>Neha Verma</t>
  </si>
  <si>
    <t>Sales</t>
  </si>
  <si>
    <t>South</t>
  </si>
  <si>
    <t>Rohit Gupta</t>
  </si>
  <si>
    <t>Marketing</t>
  </si>
  <si>
    <t>Simran Kaur</t>
  </si>
  <si>
    <t>Vikas Jain</t>
  </si>
  <si>
    <t>North</t>
  </si>
  <si>
    <t>Priya Mehta</t>
  </si>
  <si>
    <t>Karan Malhotra</t>
  </si>
  <si>
    <t>Anjali Singh</t>
  </si>
  <si>
    <t>West</t>
  </si>
  <si>
    <t>Rahul Kapoor</t>
  </si>
  <si>
    <t>Sneha Reddy</t>
  </si>
  <si>
    <t>Manish Yadav</t>
  </si>
  <si>
    <t>Pooja Bansal</t>
  </si>
  <si>
    <t>Arjun Patel</t>
  </si>
  <si>
    <t>HR</t>
  </si>
  <si>
    <t>Ritika Das</t>
  </si>
  <si>
    <t>Deepak Mishra</t>
  </si>
  <si>
    <t>Nikita Sharma</t>
  </si>
  <si>
    <t>Suresh Nair</t>
  </si>
  <si>
    <t>Komal Arora</t>
  </si>
  <si>
    <t>Aakash Verma</t>
  </si>
  <si>
    <t>Megha Gupta</t>
  </si>
  <si>
    <t>Varun Khanna</t>
  </si>
  <si>
    <t>Isha Kapoor</t>
  </si>
  <si>
    <t>Tarun Sharma</t>
  </si>
  <si>
    <t>Divya Jain</t>
  </si>
  <si>
    <t>Rakesh Singh</t>
  </si>
  <si>
    <t>Shweta Mehta</t>
  </si>
  <si>
    <t>Nitin Gupta</t>
  </si>
  <si>
    <t>Kavita Yadav</t>
  </si>
  <si>
    <t>Ankit Verma</t>
  </si>
  <si>
    <t>Payal Singh</t>
  </si>
  <si>
    <t>Difference</t>
  </si>
  <si>
    <t>Down</t>
  </si>
  <si>
    <t>Right</t>
  </si>
  <si>
    <t>Amit Verma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</si>
</sst>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dd\/mm\/yyyy"/>
    <numFmt numFmtId="165" formatCode="dd/mmm/yyyy"/>
  </numFmts>
  <fonts count="4" x14ac:knownFonts="1">
    <font>
      <sz val="11"/>
      <color theme="1"/>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6" tint="-0.49998474074526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bgColor theme="4"/>
      </patternFill>
    </fill>
    <fill>
      <patternFill patternType="solid">
        <fgColor theme="8" tint="0.599963377788628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4" tint="0.39997558519241921"/>
      </top>
      <bottom/>
      <diagonal/>
    </border>
  </borders>
  <cellStyleXfs count="2">
    <xf numFmtId="0" fontId="0" fillId="0" borderId="0"/>
    <xf numFmtId="43" fontId="2" fillId="0" borderId="0" applyFont="0" applyFill="0" applyBorder="0" applyAlignment="0" applyProtection="0"/>
  </cellStyleXfs>
  <cellXfs count="31">
    <xf numFmtId="0" fontId="0" fillId="0" borderId="0" xfId="0"/>
    <xf numFmtId="0" fontId="0" fillId="0" borderId="0" xfId="0" applyAlignment="1">
      <alignment horizontal="center" vertical="center"/>
    </xf>
    <xf numFmtId="0" fontId="0" fillId="0" borderId="0" xfId="0" applyAlignment="1">
      <alignment horizontal="center" vertical="center" textRotation="180"/>
    </xf>
    <xf numFmtId="0" fontId="1" fillId="2" borderId="0" xfId="0" applyFont="1" applyFill="1" applyAlignment="1">
      <alignment horizontal="center" vertical="center"/>
    </xf>
    <xf numFmtId="12" fontId="0" fillId="0" borderId="0" xfId="0" applyNumberFormat="1" applyAlignment="1">
      <alignment horizontal="center" vertical="center"/>
    </xf>
    <xf numFmtId="12" fontId="0" fillId="0" borderId="0" xfId="0" applyNumberFormat="1"/>
    <xf numFmtId="164" fontId="0" fillId="0" borderId="0" xfId="0" applyNumberFormat="1"/>
    <xf numFmtId="165" fontId="0" fillId="0" borderId="0" xfId="0" applyNumberFormat="1"/>
    <xf numFmtId="43" fontId="0" fillId="0" borderId="0" xfId="1" applyFont="1"/>
    <xf numFmtId="1" fontId="0" fillId="0" borderId="0" xfId="0" applyNumberFormat="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14" fontId="0" fillId="0" borderId="5" xfId="0" applyNumberFormat="1" applyBorder="1" applyAlignment="1">
      <alignment horizontal="center" vertical="center"/>
    </xf>
    <xf numFmtId="14" fontId="0" fillId="0" borderId="7" xfId="0" applyNumberFormat="1" applyBorder="1" applyAlignment="1">
      <alignment horizontal="center" vertical="center"/>
    </xf>
    <xf numFmtId="14" fontId="3" fillId="0" borderId="5" xfId="0" applyNumberFormat="1" applyFont="1" applyBorder="1" applyAlignment="1">
      <alignment horizontal="center" vertical="center"/>
    </xf>
    <xf numFmtId="0" fontId="3" fillId="0" borderId="1" xfId="0" applyFont="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14" fontId="0" fillId="0" borderId="0" xfId="0" applyNumberFormat="1"/>
    <xf numFmtId="0" fontId="0" fillId="0" borderId="10" xfId="0" applyBorder="1"/>
    <xf numFmtId="15" fontId="0" fillId="0" borderId="10" xfId="0" applyNumberFormat="1" applyBorder="1"/>
    <xf numFmtId="0" fontId="1" fillId="6" borderId="0" xfId="0" applyFont="1" applyFill="1"/>
    <xf numFmtId="14" fontId="0" fillId="4" borderId="0" xfId="0" applyNumberFormat="1" applyFill="1"/>
    <xf numFmtId="0" fontId="1" fillId="7" borderId="1" xfId="0" applyFont="1" applyFill="1" applyBorder="1" applyAlignment="1">
      <alignment horizontal="center" vertical="center"/>
    </xf>
  </cellXfs>
  <cellStyles count="2">
    <cellStyle name="Comma" xfId="1" builtinId="3"/>
    <cellStyle name="Normal" xfId="0" builtinId="0"/>
  </cellStyles>
  <dxfs count="31">
    <dxf>
      <font>
        <color rgb="FF9C0006"/>
      </font>
      <fill>
        <patternFill>
          <bgColor rgb="FFFFC7CE"/>
        </patternFill>
      </fill>
    </dxf>
    <dxf>
      <font>
        <color rgb="FF9C0006"/>
      </font>
      <fill>
        <patternFill patternType="solid">
          <fgColor indexed="64"/>
          <bgColor rgb="FFFFC7CE"/>
        </patternFill>
      </fill>
    </dxf>
    <dxf>
      <font>
        <color rgb="FF9C0006"/>
      </font>
      <fill>
        <patternFill>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i val="0"/>
        <color rgb="FFFFFFFF"/>
      </font>
      <fill>
        <patternFill patternType="solid">
          <fgColor indexed="64"/>
          <bgColor rgb="FFD86DCD"/>
        </patternFill>
      </fill>
    </dxf>
    <dxf>
      <fill>
        <patternFill patternType="solid">
          <fgColor indexed="64"/>
          <bgColor rgb="FFFFFF00"/>
        </patternFill>
      </fill>
    </dxf>
    <dxf>
      <font>
        <color rgb="FF9C0006"/>
      </font>
      <fill>
        <patternFill>
          <bgColor rgb="FFFFC7CE"/>
        </patternFill>
      </fill>
    </dxf>
    <dxf>
      <font>
        <color rgb="FF006100"/>
      </font>
      <fill>
        <patternFill>
          <bgColor rgb="FFC6EFCE"/>
        </patternFill>
      </fill>
    </dxf>
    <dxf>
      <font>
        <b/>
        <i val="0"/>
        <color theme="0"/>
      </font>
      <fill>
        <patternFill>
          <bgColor theme="8" tint="0.39994506668294322"/>
        </patternFill>
      </fill>
    </dxf>
    <dxf>
      <fill>
        <patternFill>
          <bgColor rgb="FFFFFF0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20" formatCode="dd/mmm/yy"/>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59.png"/><Relationship Id="rId21" Type="http://schemas.openxmlformats.org/officeDocument/2006/relationships/image" Target="../media/image11.png"/><Relationship Id="rId42" Type="http://schemas.openxmlformats.org/officeDocument/2006/relationships/customXml" Target="../ink/ink21.xml"/><Relationship Id="rId63" Type="http://schemas.openxmlformats.org/officeDocument/2006/relationships/image" Target="../media/image32.png"/><Relationship Id="rId84" Type="http://schemas.openxmlformats.org/officeDocument/2006/relationships/customXml" Target="../ink/ink42.xml"/><Relationship Id="rId16" Type="http://schemas.openxmlformats.org/officeDocument/2006/relationships/customXml" Target="../ink/ink8.xml"/><Relationship Id="rId107" Type="http://schemas.openxmlformats.org/officeDocument/2006/relationships/image" Target="../media/image54.png"/><Relationship Id="rId11" Type="http://schemas.openxmlformats.org/officeDocument/2006/relationships/image" Target="../media/image6.png"/><Relationship Id="rId32" Type="http://schemas.openxmlformats.org/officeDocument/2006/relationships/customXml" Target="../ink/ink16.xml"/><Relationship Id="rId37" Type="http://schemas.openxmlformats.org/officeDocument/2006/relationships/image" Target="../media/image19.png"/><Relationship Id="rId53" Type="http://schemas.openxmlformats.org/officeDocument/2006/relationships/image" Target="../media/image27.png"/><Relationship Id="rId58" Type="http://schemas.openxmlformats.org/officeDocument/2006/relationships/customXml" Target="../ink/ink29.xml"/><Relationship Id="rId74" Type="http://schemas.openxmlformats.org/officeDocument/2006/relationships/customXml" Target="../ink/ink37.xml"/><Relationship Id="rId79" Type="http://schemas.openxmlformats.org/officeDocument/2006/relationships/image" Target="../media/image40.png"/><Relationship Id="rId102" Type="http://schemas.openxmlformats.org/officeDocument/2006/relationships/customXml" Target="../ink/ink51.xml"/><Relationship Id="rId123" Type="http://schemas.openxmlformats.org/officeDocument/2006/relationships/image" Target="../media/image62.png"/><Relationship Id="rId128" Type="http://schemas.openxmlformats.org/officeDocument/2006/relationships/customXml" Target="../ink/ink64.xml"/><Relationship Id="rId5" Type="http://schemas.openxmlformats.org/officeDocument/2006/relationships/image" Target="../media/image3.png"/><Relationship Id="rId90" Type="http://schemas.openxmlformats.org/officeDocument/2006/relationships/customXml" Target="../ink/ink45.xml"/><Relationship Id="rId95" Type="http://schemas.openxmlformats.org/officeDocument/2006/relationships/image" Target="../media/image48.png"/><Relationship Id="rId22" Type="http://schemas.openxmlformats.org/officeDocument/2006/relationships/customXml" Target="../ink/ink11.xml"/><Relationship Id="rId27" Type="http://schemas.openxmlformats.org/officeDocument/2006/relationships/image" Target="../media/image14.png"/><Relationship Id="rId43" Type="http://schemas.openxmlformats.org/officeDocument/2006/relationships/image" Target="../media/image22.png"/><Relationship Id="rId48" Type="http://schemas.openxmlformats.org/officeDocument/2006/relationships/customXml" Target="../ink/ink24.xml"/><Relationship Id="rId64" Type="http://schemas.openxmlformats.org/officeDocument/2006/relationships/customXml" Target="../ink/ink32.xml"/><Relationship Id="rId69" Type="http://schemas.openxmlformats.org/officeDocument/2006/relationships/image" Target="../media/image35.png"/><Relationship Id="rId113" Type="http://schemas.openxmlformats.org/officeDocument/2006/relationships/image" Target="../media/image57.png"/><Relationship Id="rId118" Type="http://schemas.openxmlformats.org/officeDocument/2006/relationships/customXml" Target="../ink/ink59.xml"/><Relationship Id="rId80" Type="http://schemas.openxmlformats.org/officeDocument/2006/relationships/customXml" Target="../ink/ink40.xml"/><Relationship Id="rId85" Type="http://schemas.openxmlformats.org/officeDocument/2006/relationships/image" Target="../media/image43.png"/><Relationship Id="rId12" Type="http://schemas.openxmlformats.org/officeDocument/2006/relationships/customXml" Target="../ink/ink6.xml"/><Relationship Id="rId17" Type="http://schemas.openxmlformats.org/officeDocument/2006/relationships/image" Target="../media/image9.png"/><Relationship Id="rId33" Type="http://schemas.openxmlformats.org/officeDocument/2006/relationships/image" Target="../media/image17.png"/><Relationship Id="rId38" Type="http://schemas.openxmlformats.org/officeDocument/2006/relationships/customXml" Target="../ink/ink19.xml"/><Relationship Id="rId59" Type="http://schemas.openxmlformats.org/officeDocument/2006/relationships/image" Target="../media/image30.png"/><Relationship Id="rId103" Type="http://schemas.openxmlformats.org/officeDocument/2006/relationships/image" Target="../media/image52.png"/><Relationship Id="rId108" Type="http://schemas.openxmlformats.org/officeDocument/2006/relationships/customXml" Target="../ink/ink54.xml"/><Relationship Id="rId124" Type="http://schemas.openxmlformats.org/officeDocument/2006/relationships/customXml" Target="../ink/ink62.xml"/><Relationship Id="rId129" Type="http://schemas.openxmlformats.org/officeDocument/2006/relationships/image" Target="../media/image65.png"/><Relationship Id="rId54" Type="http://schemas.openxmlformats.org/officeDocument/2006/relationships/customXml" Target="../ink/ink27.xml"/><Relationship Id="rId70" Type="http://schemas.openxmlformats.org/officeDocument/2006/relationships/customXml" Target="../ink/ink35.xml"/><Relationship Id="rId75" Type="http://schemas.openxmlformats.org/officeDocument/2006/relationships/image" Target="../media/image38.png"/><Relationship Id="rId91" Type="http://schemas.openxmlformats.org/officeDocument/2006/relationships/image" Target="../media/image46.png"/><Relationship Id="rId96" Type="http://schemas.openxmlformats.org/officeDocument/2006/relationships/customXml" Target="../ink/ink48.xml"/><Relationship Id="rId1" Type="http://schemas.openxmlformats.org/officeDocument/2006/relationships/image" Target="../media/image1.png"/><Relationship Id="rId6" Type="http://schemas.openxmlformats.org/officeDocument/2006/relationships/customXml" Target="../ink/ink3.xml"/><Relationship Id="rId23" Type="http://schemas.openxmlformats.org/officeDocument/2006/relationships/image" Target="../media/image12.png"/><Relationship Id="rId28" Type="http://schemas.openxmlformats.org/officeDocument/2006/relationships/customXml" Target="../ink/ink14.xml"/><Relationship Id="rId49" Type="http://schemas.openxmlformats.org/officeDocument/2006/relationships/image" Target="../media/image25.png"/><Relationship Id="rId114" Type="http://schemas.openxmlformats.org/officeDocument/2006/relationships/customXml" Target="../ink/ink57.xml"/><Relationship Id="rId119" Type="http://schemas.openxmlformats.org/officeDocument/2006/relationships/image" Target="../media/image60.png"/><Relationship Id="rId44" Type="http://schemas.openxmlformats.org/officeDocument/2006/relationships/customXml" Target="../ink/ink22.xml"/><Relationship Id="rId60" Type="http://schemas.openxmlformats.org/officeDocument/2006/relationships/customXml" Target="../ink/ink30.xml"/><Relationship Id="rId65" Type="http://schemas.openxmlformats.org/officeDocument/2006/relationships/image" Target="../media/image33.png"/><Relationship Id="rId81" Type="http://schemas.openxmlformats.org/officeDocument/2006/relationships/image" Target="../media/image41.png"/><Relationship Id="rId86" Type="http://schemas.openxmlformats.org/officeDocument/2006/relationships/customXml" Target="../ink/ink43.xml"/><Relationship Id="rId130" Type="http://schemas.openxmlformats.org/officeDocument/2006/relationships/customXml" Target="../ink/ink65.xml"/><Relationship Id="rId13" Type="http://schemas.openxmlformats.org/officeDocument/2006/relationships/image" Target="../media/image7.png"/><Relationship Id="rId18" Type="http://schemas.openxmlformats.org/officeDocument/2006/relationships/customXml" Target="../ink/ink9.xml"/><Relationship Id="rId39" Type="http://schemas.openxmlformats.org/officeDocument/2006/relationships/image" Target="../media/image20.png"/><Relationship Id="rId109" Type="http://schemas.openxmlformats.org/officeDocument/2006/relationships/image" Target="../media/image55.png"/><Relationship Id="rId34" Type="http://schemas.openxmlformats.org/officeDocument/2006/relationships/customXml" Target="../ink/ink17.xml"/><Relationship Id="rId50" Type="http://schemas.openxmlformats.org/officeDocument/2006/relationships/customXml" Target="../ink/ink25.xml"/><Relationship Id="rId55" Type="http://schemas.openxmlformats.org/officeDocument/2006/relationships/image" Target="../media/image28.png"/><Relationship Id="rId76" Type="http://schemas.openxmlformats.org/officeDocument/2006/relationships/customXml" Target="../ink/ink38.xml"/><Relationship Id="rId97" Type="http://schemas.openxmlformats.org/officeDocument/2006/relationships/image" Target="../media/image49.png"/><Relationship Id="rId104" Type="http://schemas.openxmlformats.org/officeDocument/2006/relationships/customXml" Target="../ink/ink52.xml"/><Relationship Id="rId120" Type="http://schemas.openxmlformats.org/officeDocument/2006/relationships/customXml" Target="../ink/ink60.xml"/><Relationship Id="rId125" Type="http://schemas.openxmlformats.org/officeDocument/2006/relationships/image" Target="../media/image63.png"/><Relationship Id="rId7" Type="http://schemas.openxmlformats.org/officeDocument/2006/relationships/image" Target="../media/image4.png"/><Relationship Id="rId71" Type="http://schemas.openxmlformats.org/officeDocument/2006/relationships/image" Target="../media/image36.png"/><Relationship Id="rId92" Type="http://schemas.openxmlformats.org/officeDocument/2006/relationships/customXml" Target="../ink/ink46.xml"/><Relationship Id="rId2" Type="http://schemas.openxmlformats.org/officeDocument/2006/relationships/customXml" Target="../ink/ink1.xml"/><Relationship Id="rId29" Type="http://schemas.openxmlformats.org/officeDocument/2006/relationships/image" Target="../media/image15.png"/><Relationship Id="rId24" Type="http://schemas.openxmlformats.org/officeDocument/2006/relationships/customXml" Target="../ink/ink12.xml"/><Relationship Id="rId40" Type="http://schemas.openxmlformats.org/officeDocument/2006/relationships/customXml" Target="../ink/ink20.xml"/><Relationship Id="rId45" Type="http://schemas.openxmlformats.org/officeDocument/2006/relationships/image" Target="../media/image23.png"/><Relationship Id="rId66" Type="http://schemas.openxmlformats.org/officeDocument/2006/relationships/customXml" Target="../ink/ink33.xml"/><Relationship Id="rId87" Type="http://schemas.openxmlformats.org/officeDocument/2006/relationships/image" Target="../media/image44.png"/><Relationship Id="rId110" Type="http://schemas.openxmlformats.org/officeDocument/2006/relationships/customXml" Target="../ink/ink55.xml"/><Relationship Id="rId115" Type="http://schemas.openxmlformats.org/officeDocument/2006/relationships/image" Target="../media/image58.png"/><Relationship Id="rId131" Type="http://schemas.openxmlformats.org/officeDocument/2006/relationships/image" Target="../media/image66.png"/><Relationship Id="rId61" Type="http://schemas.openxmlformats.org/officeDocument/2006/relationships/image" Target="../media/image31.png"/><Relationship Id="rId82" Type="http://schemas.openxmlformats.org/officeDocument/2006/relationships/customXml" Target="../ink/ink41.xml"/><Relationship Id="rId19" Type="http://schemas.openxmlformats.org/officeDocument/2006/relationships/image" Target="../media/image10.png"/><Relationship Id="rId14" Type="http://schemas.openxmlformats.org/officeDocument/2006/relationships/customXml" Target="../ink/ink7.xml"/><Relationship Id="rId30" Type="http://schemas.openxmlformats.org/officeDocument/2006/relationships/customXml" Target="../ink/ink15.xml"/><Relationship Id="rId35" Type="http://schemas.openxmlformats.org/officeDocument/2006/relationships/image" Target="../media/image18.png"/><Relationship Id="rId56" Type="http://schemas.openxmlformats.org/officeDocument/2006/relationships/customXml" Target="../ink/ink28.xml"/><Relationship Id="rId77" Type="http://schemas.openxmlformats.org/officeDocument/2006/relationships/image" Target="../media/image39.png"/><Relationship Id="rId100" Type="http://schemas.openxmlformats.org/officeDocument/2006/relationships/customXml" Target="../ink/ink50.xml"/><Relationship Id="rId105" Type="http://schemas.openxmlformats.org/officeDocument/2006/relationships/image" Target="../media/image53.png"/><Relationship Id="rId126" Type="http://schemas.openxmlformats.org/officeDocument/2006/relationships/customXml" Target="../ink/ink63.xml"/><Relationship Id="rId8" Type="http://schemas.openxmlformats.org/officeDocument/2006/relationships/customXml" Target="../ink/ink4.xml"/><Relationship Id="rId51" Type="http://schemas.openxmlformats.org/officeDocument/2006/relationships/image" Target="../media/image26.png"/><Relationship Id="rId72" Type="http://schemas.openxmlformats.org/officeDocument/2006/relationships/customXml" Target="../ink/ink36.xml"/><Relationship Id="rId93" Type="http://schemas.openxmlformats.org/officeDocument/2006/relationships/image" Target="../media/image47.png"/><Relationship Id="rId98" Type="http://schemas.openxmlformats.org/officeDocument/2006/relationships/customXml" Target="../ink/ink49.xml"/><Relationship Id="rId121" Type="http://schemas.openxmlformats.org/officeDocument/2006/relationships/image" Target="../media/image61.png"/><Relationship Id="rId3" Type="http://schemas.openxmlformats.org/officeDocument/2006/relationships/image" Target="../media/image2.png"/><Relationship Id="rId25" Type="http://schemas.openxmlformats.org/officeDocument/2006/relationships/image" Target="../media/image13.png"/><Relationship Id="rId46" Type="http://schemas.openxmlformats.org/officeDocument/2006/relationships/customXml" Target="../ink/ink23.xml"/><Relationship Id="rId67" Type="http://schemas.openxmlformats.org/officeDocument/2006/relationships/image" Target="../media/image34.png"/><Relationship Id="rId116" Type="http://schemas.openxmlformats.org/officeDocument/2006/relationships/customXml" Target="../ink/ink58.xml"/><Relationship Id="rId20" Type="http://schemas.openxmlformats.org/officeDocument/2006/relationships/customXml" Target="../ink/ink10.xml"/><Relationship Id="rId41" Type="http://schemas.openxmlformats.org/officeDocument/2006/relationships/image" Target="../media/image21.png"/><Relationship Id="rId62" Type="http://schemas.openxmlformats.org/officeDocument/2006/relationships/customXml" Target="../ink/ink31.xml"/><Relationship Id="rId83" Type="http://schemas.openxmlformats.org/officeDocument/2006/relationships/image" Target="../media/image42.png"/><Relationship Id="rId88" Type="http://schemas.openxmlformats.org/officeDocument/2006/relationships/customXml" Target="../ink/ink44.xml"/><Relationship Id="rId111" Type="http://schemas.openxmlformats.org/officeDocument/2006/relationships/image" Target="../media/image56.png"/><Relationship Id="rId132" Type="http://schemas.openxmlformats.org/officeDocument/2006/relationships/customXml" Target="../ink/ink66.xml"/><Relationship Id="rId15" Type="http://schemas.openxmlformats.org/officeDocument/2006/relationships/image" Target="../media/image8.png"/><Relationship Id="rId36" Type="http://schemas.openxmlformats.org/officeDocument/2006/relationships/customXml" Target="../ink/ink18.xml"/><Relationship Id="rId57" Type="http://schemas.openxmlformats.org/officeDocument/2006/relationships/image" Target="../media/image29.png"/><Relationship Id="rId106" Type="http://schemas.openxmlformats.org/officeDocument/2006/relationships/customXml" Target="../ink/ink53.xml"/><Relationship Id="rId127" Type="http://schemas.openxmlformats.org/officeDocument/2006/relationships/image" Target="../media/image64.png"/><Relationship Id="rId10" Type="http://schemas.openxmlformats.org/officeDocument/2006/relationships/customXml" Target="../ink/ink5.xml"/><Relationship Id="rId31" Type="http://schemas.openxmlformats.org/officeDocument/2006/relationships/image" Target="../media/image16.png"/><Relationship Id="rId52" Type="http://schemas.openxmlformats.org/officeDocument/2006/relationships/customXml" Target="../ink/ink26.xml"/><Relationship Id="rId73" Type="http://schemas.openxmlformats.org/officeDocument/2006/relationships/image" Target="../media/image37.png"/><Relationship Id="rId78" Type="http://schemas.openxmlformats.org/officeDocument/2006/relationships/customXml" Target="../ink/ink39.xml"/><Relationship Id="rId94" Type="http://schemas.openxmlformats.org/officeDocument/2006/relationships/customXml" Target="../ink/ink47.xml"/><Relationship Id="rId99" Type="http://schemas.openxmlformats.org/officeDocument/2006/relationships/image" Target="../media/image50.png"/><Relationship Id="rId101" Type="http://schemas.openxmlformats.org/officeDocument/2006/relationships/image" Target="../media/image51.png"/><Relationship Id="rId122" Type="http://schemas.openxmlformats.org/officeDocument/2006/relationships/customXml" Target="../ink/ink61.xml"/><Relationship Id="rId4" Type="http://schemas.openxmlformats.org/officeDocument/2006/relationships/customXml" Target="../ink/ink2.xml"/><Relationship Id="rId9" Type="http://schemas.openxmlformats.org/officeDocument/2006/relationships/image" Target="../media/image5.png"/><Relationship Id="rId26" Type="http://schemas.openxmlformats.org/officeDocument/2006/relationships/customXml" Target="../ink/ink13.xml"/><Relationship Id="rId47" Type="http://schemas.openxmlformats.org/officeDocument/2006/relationships/image" Target="../media/image24.png"/><Relationship Id="rId68" Type="http://schemas.openxmlformats.org/officeDocument/2006/relationships/customXml" Target="../ink/ink34.xml"/><Relationship Id="rId89" Type="http://schemas.openxmlformats.org/officeDocument/2006/relationships/image" Target="../media/image45.png"/><Relationship Id="rId112" Type="http://schemas.openxmlformats.org/officeDocument/2006/relationships/customXml" Target="../ink/ink56.xml"/><Relationship Id="rId133" Type="http://schemas.openxmlformats.org/officeDocument/2006/relationships/image" Target="../media/image67.png"/></Relationships>
</file>

<file path=xl/drawings/drawing1.xml><?xml version="1.0" encoding="utf-8"?>
<xdr:wsDr xmlns:xdr="http://schemas.openxmlformats.org/drawingml/2006/spreadsheetDrawing" xmlns:a="http://schemas.openxmlformats.org/drawingml/2006/main">
  <xdr:twoCellAnchor editAs="oneCell">
    <xdr:from>
      <xdr:col>11</xdr:col>
      <xdr:colOff>406400</xdr:colOff>
      <xdr:row>10</xdr:row>
      <xdr:rowOff>76200</xdr:rowOff>
    </xdr:from>
    <xdr:to>
      <xdr:col>91</xdr:col>
      <xdr:colOff>457200</xdr:colOff>
      <xdr:row>168</xdr:row>
      <xdr:rowOff>46559</xdr:rowOff>
    </xdr:to>
    <xdr:pic>
      <xdr:nvPicPr>
        <xdr:cNvPr id="3" name="Picture 2">
          <a:extLst>
            <a:ext uri="{FF2B5EF4-FFF2-40B4-BE49-F238E27FC236}">
              <a16:creationId xmlns:a16="http://schemas.microsoft.com/office/drawing/2014/main" id="{86B15C15-FAFF-6FCF-1AEA-CC987D7AEE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12000" y="1854200"/>
          <a:ext cx="48818800" cy="28005609"/>
        </a:xfrm>
        <a:prstGeom prst="rect">
          <a:avLst/>
        </a:prstGeom>
      </xdr:spPr>
    </xdr:pic>
    <xdr:clientData/>
  </xdr:twoCellAnchor>
  <xdr:twoCellAnchor editAs="oneCell">
    <xdr:from>
      <xdr:col>4</xdr:col>
      <xdr:colOff>261004</xdr:colOff>
      <xdr:row>7</xdr:row>
      <xdr:rowOff>161356</xdr:rowOff>
    </xdr:from>
    <xdr:to>
      <xdr:col>4</xdr:col>
      <xdr:colOff>265684</xdr:colOff>
      <xdr:row>7</xdr:row>
      <xdr:rowOff>161716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AD5A854A-DCB0-886A-AEE6-85BC62598B36}"/>
                </a:ext>
              </a:extLst>
            </xdr14:cNvPr>
            <xdr14:cNvContentPartPr/>
          </xdr14:nvContentPartPr>
          <xdr14:nvPr macro=""/>
          <xdr14:xfrm>
            <a:off x="2708640" y="1454447"/>
            <a:ext cx="4680" cy="360"/>
          </xdr14:xfrm>
        </xdr:contentPart>
      </mc:Choice>
      <mc:Fallback xmlns="">
        <xdr:pic>
          <xdr:nvPicPr>
            <xdr:cNvPr id="4" name="Ink 3">
              <a:extLst>
                <a:ext uri="{FF2B5EF4-FFF2-40B4-BE49-F238E27FC236}">
                  <a16:creationId xmlns:a16="http://schemas.microsoft.com/office/drawing/2014/main" id="{AD5A854A-DCB0-886A-AEE6-85BC62598B36}"/>
                </a:ext>
              </a:extLst>
            </xdr:cNvPr>
            <xdr:cNvPicPr/>
          </xdr:nvPicPr>
          <xdr:blipFill>
            <a:blip xmlns:r="http://schemas.openxmlformats.org/officeDocument/2006/relationships" r:embed="rId3"/>
            <a:stretch>
              <a:fillRect/>
            </a:stretch>
          </xdr:blipFill>
          <xdr:spPr>
            <a:xfrm>
              <a:off x="2704320" y="1450127"/>
              <a:ext cx="13320" cy="9000"/>
            </a:xfrm>
            <a:prstGeom prst="rect">
              <a:avLst/>
            </a:prstGeom>
          </xdr:spPr>
        </xdr:pic>
      </mc:Fallback>
    </mc:AlternateContent>
    <xdr:clientData/>
  </xdr:twoCellAnchor>
  <xdr:twoCellAnchor editAs="oneCell">
    <xdr:from>
      <xdr:col>9</xdr:col>
      <xdr:colOff>154538</xdr:colOff>
      <xdr:row>2</xdr:row>
      <xdr:rowOff>155112</xdr:rowOff>
    </xdr:from>
    <xdr:to>
      <xdr:col>20</xdr:col>
      <xdr:colOff>101898</xdr:colOff>
      <xdr:row>17</xdr:row>
      <xdr:rowOff>97163</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8" name="Ink 27">
              <a:extLst>
                <a:ext uri="{FF2B5EF4-FFF2-40B4-BE49-F238E27FC236}">
                  <a16:creationId xmlns:a16="http://schemas.microsoft.com/office/drawing/2014/main" id="{D21717FA-A61D-8CA6-F3DE-D12C623FDEE6}"/>
                </a:ext>
              </a:extLst>
            </xdr14:cNvPr>
            <xdr14:cNvContentPartPr/>
          </xdr14:nvContentPartPr>
          <xdr14:nvPr macro=""/>
          <xdr14:xfrm>
            <a:off x="5661720" y="524567"/>
            <a:ext cx="6678360" cy="2712960"/>
          </xdr14:xfrm>
        </xdr:contentPart>
      </mc:Choice>
      <mc:Fallback xmlns="">
        <xdr:pic>
          <xdr:nvPicPr>
            <xdr:cNvPr id="28" name="Ink 27">
              <a:extLst>
                <a:ext uri="{FF2B5EF4-FFF2-40B4-BE49-F238E27FC236}">
                  <a16:creationId xmlns:a16="http://schemas.microsoft.com/office/drawing/2014/main" id="{D21717FA-A61D-8CA6-F3DE-D12C623FDEE6}"/>
                </a:ext>
              </a:extLst>
            </xdr:cNvPr>
            <xdr:cNvPicPr/>
          </xdr:nvPicPr>
          <xdr:blipFill>
            <a:blip xmlns:r="http://schemas.openxmlformats.org/officeDocument/2006/relationships" r:embed="rId5"/>
            <a:stretch>
              <a:fillRect/>
            </a:stretch>
          </xdr:blipFill>
          <xdr:spPr>
            <a:xfrm>
              <a:off x="5657400" y="520247"/>
              <a:ext cx="6687000" cy="2721600"/>
            </a:xfrm>
            <a:prstGeom prst="rect">
              <a:avLst/>
            </a:prstGeom>
          </xdr:spPr>
        </xdr:pic>
      </mc:Fallback>
    </mc:AlternateContent>
    <xdr:clientData/>
  </xdr:twoCellAnchor>
  <xdr:twoCellAnchor editAs="oneCell">
    <xdr:from>
      <xdr:col>18</xdr:col>
      <xdr:colOff>218716</xdr:colOff>
      <xdr:row>7</xdr:row>
      <xdr:rowOff>56956</xdr:rowOff>
    </xdr:from>
    <xdr:to>
      <xdr:col>23</xdr:col>
      <xdr:colOff>197211</xdr:colOff>
      <xdr:row>16</xdr:row>
      <xdr:rowOff>155171</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31" name="Ink 30">
              <a:extLst>
                <a:ext uri="{FF2B5EF4-FFF2-40B4-BE49-F238E27FC236}">
                  <a16:creationId xmlns:a16="http://schemas.microsoft.com/office/drawing/2014/main" id="{A1BBF3F5-5798-D760-3DC3-883B62627697}"/>
                </a:ext>
              </a:extLst>
            </xdr14:cNvPr>
            <xdr14:cNvContentPartPr/>
          </xdr14:nvContentPartPr>
          <xdr14:nvPr macro=""/>
          <xdr14:xfrm>
            <a:off x="11233080" y="1350047"/>
            <a:ext cx="3038040" cy="1760760"/>
          </xdr14:xfrm>
        </xdr:contentPart>
      </mc:Choice>
      <mc:Fallback xmlns="">
        <xdr:pic>
          <xdr:nvPicPr>
            <xdr:cNvPr id="31" name="Ink 30">
              <a:extLst>
                <a:ext uri="{FF2B5EF4-FFF2-40B4-BE49-F238E27FC236}">
                  <a16:creationId xmlns:a16="http://schemas.microsoft.com/office/drawing/2014/main" id="{A1BBF3F5-5798-D760-3DC3-883B62627697}"/>
                </a:ext>
              </a:extLst>
            </xdr:cNvPr>
            <xdr:cNvPicPr/>
          </xdr:nvPicPr>
          <xdr:blipFill>
            <a:blip xmlns:r="http://schemas.openxmlformats.org/officeDocument/2006/relationships" r:embed="rId7"/>
            <a:stretch>
              <a:fillRect/>
            </a:stretch>
          </xdr:blipFill>
          <xdr:spPr>
            <a:xfrm>
              <a:off x="11228760" y="1345726"/>
              <a:ext cx="3046680" cy="1769402"/>
            </a:xfrm>
            <a:prstGeom prst="rect">
              <a:avLst/>
            </a:prstGeom>
          </xdr:spPr>
        </xdr:pic>
      </mc:Fallback>
    </mc:AlternateContent>
    <xdr:clientData/>
  </xdr:twoCellAnchor>
  <xdr:twoCellAnchor editAs="oneCell">
    <xdr:from>
      <xdr:col>23</xdr:col>
      <xdr:colOff>413931</xdr:colOff>
      <xdr:row>11</xdr:row>
      <xdr:rowOff>53527</xdr:rowOff>
    </xdr:from>
    <xdr:to>
      <xdr:col>25</xdr:col>
      <xdr:colOff>496553</xdr:colOff>
      <xdr:row>17</xdr:row>
      <xdr:rowOff>82403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35" name="Ink 34">
              <a:extLst>
                <a:ext uri="{FF2B5EF4-FFF2-40B4-BE49-F238E27FC236}">
                  <a16:creationId xmlns:a16="http://schemas.microsoft.com/office/drawing/2014/main" id="{149346DF-9271-73F8-5511-175FD276EB5B}"/>
                </a:ext>
              </a:extLst>
            </xdr14:cNvPr>
            <xdr14:cNvContentPartPr/>
          </xdr14:nvContentPartPr>
          <xdr14:nvPr macro=""/>
          <xdr14:xfrm>
            <a:off x="14487840" y="2085527"/>
            <a:ext cx="1306440" cy="1137240"/>
          </xdr14:xfrm>
        </xdr:contentPart>
      </mc:Choice>
      <mc:Fallback xmlns="">
        <xdr:pic>
          <xdr:nvPicPr>
            <xdr:cNvPr id="35" name="Ink 34">
              <a:extLst>
                <a:ext uri="{FF2B5EF4-FFF2-40B4-BE49-F238E27FC236}">
                  <a16:creationId xmlns:a16="http://schemas.microsoft.com/office/drawing/2014/main" id="{149346DF-9271-73F8-5511-175FD276EB5B}"/>
                </a:ext>
              </a:extLst>
            </xdr:cNvPr>
            <xdr:cNvPicPr/>
          </xdr:nvPicPr>
          <xdr:blipFill>
            <a:blip xmlns:r="http://schemas.openxmlformats.org/officeDocument/2006/relationships" r:embed="rId9"/>
            <a:stretch>
              <a:fillRect/>
            </a:stretch>
          </xdr:blipFill>
          <xdr:spPr>
            <a:xfrm>
              <a:off x="14483520" y="2081207"/>
              <a:ext cx="1315080" cy="1145880"/>
            </a:xfrm>
            <a:prstGeom prst="rect">
              <a:avLst/>
            </a:prstGeom>
          </xdr:spPr>
        </xdr:pic>
      </mc:Fallback>
    </mc:AlternateContent>
    <xdr:clientData/>
  </xdr:twoCellAnchor>
  <xdr:twoCellAnchor editAs="oneCell">
    <xdr:from>
      <xdr:col>13</xdr:col>
      <xdr:colOff>446862</xdr:colOff>
      <xdr:row>16</xdr:row>
      <xdr:rowOff>68051</xdr:rowOff>
    </xdr:from>
    <xdr:to>
      <xdr:col>25</xdr:col>
      <xdr:colOff>86513</xdr:colOff>
      <xdr:row>17</xdr:row>
      <xdr:rowOff>7163</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36" name="Ink 35">
              <a:extLst>
                <a:ext uri="{FF2B5EF4-FFF2-40B4-BE49-F238E27FC236}">
                  <a16:creationId xmlns:a16="http://schemas.microsoft.com/office/drawing/2014/main" id="{447F43A4-F5F1-7089-C288-65853BA41B82}"/>
                </a:ext>
              </a:extLst>
            </xdr14:cNvPr>
            <xdr14:cNvContentPartPr/>
          </xdr14:nvContentPartPr>
          <xdr14:nvPr macro=""/>
          <xdr14:xfrm>
            <a:off x="8401680" y="3023687"/>
            <a:ext cx="6982560" cy="123840"/>
          </xdr14:xfrm>
        </xdr:contentPart>
      </mc:Choice>
      <mc:Fallback xmlns="">
        <xdr:pic>
          <xdr:nvPicPr>
            <xdr:cNvPr id="36" name="Ink 35">
              <a:extLst>
                <a:ext uri="{FF2B5EF4-FFF2-40B4-BE49-F238E27FC236}">
                  <a16:creationId xmlns:a16="http://schemas.microsoft.com/office/drawing/2014/main" id="{447F43A4-F5F1-7089-C288-65853BA41B82}"/>
                </a:ext>
              </a:extLst>
            </xdr:cNvPr>
            <xdr:cNvPicPr/>
          </xdr:nvPicPr>
          <xdr:blipFill>
            <a:blip xmlns:r="http://schemas.openxmlformats.org/officeDocument/2006/relationships" r:embed="rId11"/>
            <a:stretch>
              <a:fillRect/>
            </a:stretch>
          </xdr:blipFill>
          <xdr:spPr>
            <a:xfrm>
              <a:off x="8397360" y="3019367"/>
              <a:ext cx="6991200" cy="132480"/>
            </a:xfrm>
            <a:prstGeom prst="rect">
              <a:avLst/>
            </a:prstGeom>
          </xdr:spPr>
        </xdr:pic>
      </mc:Fallback>
    </mc:AlternateContent>
    <xdr:clientData/>
  </xdr:twoCellAnchor>
  <xdr:twoCellAnchor editAs="oneCell">
    <xdr:from>
      <xdr:col>23</xdr:col>
      <xdr:colOff>542811</xdr:colOff>
      <xdr:row>3</xdr:row>
      <xdr:rowOff>74065</xdr:rowOff>
    </xdr:from>
    <xdr:to>
      <xdr:col>29</xdr:col>
      <xdr:colOff>540116</xdr:colOff>
      <xdr:row>12</xdr:row>
      <xdr:rowOff>13880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52" name="Ink 51">
              <a:extLst>
                <a:ext uri="{FF2B5EF4-FFF2-40B4-BE49-F238E27FC236}">
                  <a16:creationId xmlns:a16="http://schemas.microsoft.com/office/drawing/2014/main" id="{C29C54A8-EDFD-BB28-157C-A58BC26CBCB1}"/>
                </a:ext>
              </a:extLst>
            </xdr14:cNvPr>
            <xdr14:cNvContentPartPr/>
          </xdr14:nvContentPartPr>
          <xdr14:nvPr macro=""/>
          <xdr14:xfrm>
            <a:off x="14616720" y="628247"/>
            <a:ext cx="3668760" cy="1602360"/>
          </xdr14:xfrm>
        </xdr:contentPart>
      </mc:Choice>
      <mc:Fallback xmlns="">
        <xdr:pic>
          <xdr:nvPicPr>
            <xdr:cNvPr id="52" name="Ink 51">
              <a:extLst>
                <a:ext uri="{FF2B5EF4-FFF2-40B4-BE49-F238E27FC236}">
                  <a16:creationId xmlns:a16="http://schemas.microsoft.com/office/drawing/2014/main" id="{C29C54A8-EDFD-BB28-157C-A58BC26CBCB1}"/>
                </a:ext>
              </a:extLst>
            </xdr:cNvPr>
            <xdr:cNvPicPr/>
          </xdr:nvPicPr>
          <xdr:blipFill>
            <a:blip xmlns:r="http://schemas.openxmlformats.org/officeDocument/2006/relationships" r:embed="rId13"/>
            <a:stretch>
              <a:fillRect/>
            </a:stretch>
          </xdr:blipFill>
          <xdr:spPr>
            <a:xfrm>
              <a:off x="14612400" y="623928"/>
              <a:ext cx="3677400" cy="1610998"/>
            </a:xfrm>
            <a:prstGeom prst="rect">
              <a:avLst/>
            </a:prstGeom>
          </xdr:spPr>
        </xdr:pic>
      </mc:Fallback>
    </mc:AlternateContent>
    <xdr:clientData/>
  </xdr:twoCellAnchor>
  <xdr:twoCellAnchor editAs="oneCell">
    <xdr:from>
      <xdr:col>27</xdr:col>
      <xdr:colOff>146440</xdr:colOff>
      <xdr:row>15</xdr:row>
      <xdr:rowOff>138658</xdr:rowOff>
    </xdr:from>
    <xdr:to>
      <xdr:col>30</xdr:col>
      <xdr:colOff>154992</xdr:colOff>
      <xdr:row>17</xdr:row>
      <xdr:rowOff>36323</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53" name="Ink 52">
              <a:extLst>
                <a:ext uri="{FF2B5EF4-FFF2-40B4-BE49-F238E27FC236}">
                  <a16:creationId xmlns:a16="http://schemas.microsoft.com/office/drawing/2014/main" id="{CE43F3EA-7CBF-CA62-49AD-0A35E16F8FD1}"/>
                </a:ext>
              </a:extLst>
            </xdr14:cNvPr>
            <xdr14:cNvContentPartPr/>
          </xdr14:nvContentPartPr>
          <xdr14:nvPr macro=""/>
          <xdr14:xfrm>
            <a:off x="16667985" y="2909567"/>
            <a:ext cx="1844280" cy="267120"/>
          </xdr14:xfrm>
        </xdr:contentPart>
      </mc:Choice>
      <mc:Fallback xmlns="">
        <xdr:pic>
          <xdr:nvPicPr>
            <xdr:cNvPr id="53" name="Ink 52">
              <a:extLst>
                <a:ext uri="{FF2B5EF4-FFF2-40B4-BE49-F238E27FC236}">
                  <a16:creationId xmlns:a16="http://schemas.microsoft.com/office/drawing/2014/main" id="{CE43F3EA-7CBF-CA62-49AD-0A35E16F8FD1}"/>
                </a:ext>
              </a:extLst>
            </xdr:cNvPr>
            <xdr:cNvPicPr/>
          </xdr:nvPicPr>
          <xdr:blipFill>
            <a:blip xmlns:r="http://schemas.openxmlformats.org/officeDocument/2006/relationships" r:embed="rId15"/>
            <a:stretch>
              <a:fillRect/>
            </a:stretch>
          </xdr:blipFill>
          <xdr:spPr>
            <a:xfrm>
              <a:off x="16663665" y="2905247"/>
              <a:ext cx="1852920" cy="275760"/>
            </a:xfrm>
            <a:prstGeom prst="rect">
              <a:avLst/>
            </a:prstGeom>
          </xdr:spPr>
        </xdr:pic>
      </mc:Fallback>
    </mc:AlternateContent>
    <xdr:clientData/>
  </xdr:twoCellAnchor>
  <xdr:twoCellAnchor editAs="oneCell">
    <xdr:from>
      <xdr:col>31</xdr:col>
      <xdr:colOff>228523</xdr:colOff>
      <xdr:row>11</xdr:row>
      <xdr:rowOff>106807</xdr:rowOff>
    </xdr:from>
    <xdr:to>
      <xdr:col>34</xdr:col>
      <xdr:colOff>226276</xdr:colOff>
      <xdr:row>15</xdr:row>
      <xdr:rowOff>45058</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59" name="Ink 58">
              <a:extLst>
                <a:ext uri="{FF2B5EF4-FFF2-40B4-BE49-F238E27FC236}">
                  <a16:creationId xmlns:a16="http://schemas.microsoft.com/office/drawing/2014/main" id="{C18EDDDD-4BBD-43FD-AEEB-4D67019F268E}"/>
                </a:ext>
              </a:extLst>
            </xdr14:cNvPr>
            <xdr14:cNvContentPartPr/>
          </xdr14:nvContentPartPr>
          <xdr14:nvPr macro=""/>
          <xdr14:xfrm>
            <a:off x="19197705" y="2138807"/>
            <a:ext cx="1833480" cy="677160"/>
          </xdr14:xfrm>
        </xdr:contentPart>
      </mc:Choice>
      <mc:Fallback xmlns="">
        <xdr:pic>
          <xdr:nvPicPr>
            <xdr:cNvPr id="59" name="Ink 58">
              <a:extLst>
                <a:ext uri="{FF2B5EF4-FFF2-40B4-BE49-F238E27FC236}">
                  <a16:creationId xmlns:a16="http://schemas.microsoft.com/office/drawing/2014/main" id="{C18EDDDD-4BBD-43FD-AEEB-4D67019F268E}"/>
                </a:ext>
              </a:extLst>
            </xdr:cNvPr>
            <xdr:cNvPicPr/>
          </xdr:nvPicPr>
          <xdr:blipFill>
            <a:blip xmlns:r="http://schemas.openxmlformats.org/officeDocument/2006/relationships" r:embed="rId17"/>
            <a:stretch>
              <a:fillRect/>
            </a:stretch>
          </xdr:blipFill>
          <xdr:spPr>
            <a:xfrm>
              <a:off x="19193385" y="2134487"/>
              <a:ext cx="1842120" cy="685800"/>
            </a:xfrm>
            <a:prstGeom prst="rect">
              <a:avLst/>
            </a:prstGeom>
          </xdr:spPr>
        </xdr:pic>
      </mc:Fallback>
    </mc:AlternateContent>
    <xdr:clientData/>
  </xdr:twoCellAnchor>
  <xdr:twoCellAnchor editAs="oneCell">
    <xdr:from>
      <xdr:col>56</xdr:col>
      <xdr:colOff>268636</xdr:colOff>
      <xdr:row>5</xdr:row>
      <xdr:rowOff>151371</xdr:rowOff>
    </xdr:from>
    <xdr:to>
      <xdr:col>57</xdr:col>
      <xdr:colOff>450167</xdr:colOff>
      <xdr:row>10</xdr:row>
      <xdr:rowOff>138894</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60" name="Ink 59">
              <a:extLst>
                <a:ext uri="{FF2B5EF4-FFF2-40B4-BE49-F238E27FC236}">
                  <a16:creationId xmlns:a16="http://schemas.microsoft.com/office/drawing/2014/main" id="{FCFF4CCD-1754-D54C-8BDE-1D0C16245E05}"/>
                </a:ext>
              </a:extLst>
            </xdr14:cNvPr>
            <xdr14:cNvContentPartPr/>
          </xdr14:nvContentPartPr>
          <xdr14:nvPr macro=""/>
          <xdr14:xfrm>
            <a:off x="34535545" y="1075007"/>
            <a:ext cx="793440" cy="911160"/>
          </xdr14:xfrm>
        </xdr:contentPart>
      </mc:Choice>
      <mc:Fallback xmlns="">
        <xdr:pic>
          <xdr:nvPicPr>
            <xdr:cNvPr id="60" name="Ink 59">
              <a:extLst>
                <a:ext uri="{FF2B5EF4-FFF2-40B4-BE49-F238E27FC236}">
                  <a16:creationId xmlns:a16="http://schemas.microsoft.com/office/drawing/2014/main" id="{FCFF4CCD-1754-D54C-8BDE-1D0C16245E05}"/>
                </a:ext>
              </a:extLst>
            </xdr:cNvPr>
            <xdr:cNvPicPr/>
          </xdr:nvPicPr>
          <xdr:blipFill>
            <a:blip xmlns:r="http://schemas.openxmlformats.org/officeDocument/2006/relationships" r:embed="rId19"/>
            <a:stretch>
              <a:fillRect/>
            </a:stretch>
          </xdr:blipFill>
          <xdr:spPr>
            <a:xfrm>
              <a:off x="34531225" y="1070687"/>
              <a:ext cx="802080" cy="919800"/>
            </a:xfrm>
            <a:prstGeom prst="rect">
              <a:avLst/>
            </a:prstGeom>
          </xdr:spPr>
        </xdr:pic>
      </mc:Fallback>
    </mc:AlternateContent>
    <xdr:clientData/>
  </xdr:twoCellAnchor>
  <xdr:twoCellAnchor editAs="oneCell">
    <xdr:from>
      <xdr:col>84</xdr:col>
      <xdr:colOff>135461</xdr:colOff>
      <xdr:row>4</xdr:row>
      <xdr:rowOff>41618</xdr:rowOff>
    </xdr:from>
    <xdr:to>
      <xdr:col>85</xdr:col>
      <xdr:colOff>80472</xdr:colOff>
      <xdr:row>11</xdr:row>
      <xdr:rowOff>55687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61" name="Ink 60">
              <a:extLst>
                <a:ext uri="{FF2B5EF4-FFF2-40B4-BE49-F238E27FC236}">
                  <a16:creationId xmlns:a16="http://schemas.microsoft.com/office/drawing/2014/main" id="{14207C9D-1C8F-5ECC-7A93-1CE09E90E608}"/>
                </a:ext>
              </a:extLst>
            </xdr14:cNvPr>
            <xdr14:cNvContentPartPr/>
          </xdr14:nvContentPartPr>
          <xdr14:nvPr macro=""/>
          <xdr14:xfrm>
            <a:off x="51535825" y="780527"/>
            <a:ext cx="556920" cy="1307160"/>
          </xdr14:xfrm>
        </xdr:contentPart>
      </mc:Choice>
      <mc:Fallback xmlns="">
        <xdr:pic>
          <xdr:nvPicPr>
            <xdr:cNvPr id="61" name="Ink 60">
              <a:extLst>
                <a:ext uri="{FF2B5EF4-FFF2-40B4-BE49-F238E27FC236}">
                  <a16:creationId xmlns:a16="http://schemas.microsoft.com/office/drawing/2014/main" id="{14207C9D-1C8F-5ECC-7A93-1CE09E90E608}"/>
                </a:ext>
              </a:extLst>
            </xdr:cNvPr>
            <xdr:cNvPicPr/>
          </xdr:nvPicPr>
          <xdr:blipFill>
            <a:blip xmlns:r="http://schemas.openxmlformats.org/officeDocument/2006/relationships" r:embed="rId21"/>
            <a:stretch>
              <a:fillRect/>
            </a:stretch>
          </xdr:blipFill>
          <xdr:spPr>
            <a:xfrm>
              <a:off x="51531505" y="776207"/>
              <a:ext cx="565560" cy="1315800"/>
            </a:xfrm>
            <a:prstGeom prst="rect">
              <a:avLst/>
            </a:prstGeom>
          </xdr:spPr>
        </xdr:pic>
      </mc:Fallback>
    </mc:AlternateContent>
    <xdr:clientData/>
  </xdr:twoCellAnchor>
  <xdr:twoCellAnchor editAs="oneCell">
    <xdr:from>
      <xdr:col>82</xdr:col>
      <xdr:colOff>111520</xdr:colOff>
      <xdr:row>2</xdr:row>
      <xdr:rowOff>51792</xdr:rowOff>
    </xdr:from>
    <xdr:to>
      <xdr:col>84</xdr:col>
      <xdr:colOff>407981</xdr:colOff>
      <xdr:row>9</xdr:row>
      <xdr:rowOff>162702</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66" name="Ink 65">
              <a:extLst>
                <a:ext uri="{FF2B5EF4-FFF2-40B4-BE49-F238E27FC236}">
                  <a16:creationId xmlns:a16="http://schemas.microsoft.com/office/drawing/2014/main" id="{A934B50A-96BC-6E6D-7FF5-E26A377B8C99}"/>
                </a:ext>
              </a:extLst>
            </xdr14:cNvPr>
            <xdr14:cNvContentPartPr/>
          </xdr14:nvContentPartPr>
          <xdr14:nvPr macro=""/>
          <xdr14:xfrm>
            <a:off x="50288065" y="421247"/>
            <a:ext cx="1520280" cy="1404000"/>
          </xdr14:xfrm>
        </xdr:contentPart>
      </mc:Choice>
      <mc:Fallback xmlns="">
        <xdr:pic>
          <xdr:nvPicPr>
            <xdr:cNvPr id="66" name="Ink 65">
              <a:extLst>
                <a:ext uri="{FF2B5EF4-FFF2-40B4-BE49-F238E27FC236}">
                  <a16:creationId xmlns:a16="http://schemas.microsoft.com/office/drawing/2014/main" id="{A934B50A-96BC-6E6D-7FF5-E26A377B8C99}"/>
                </a:ext>
              </a:extLst>
            </xdr:cNvPr>
            <xdr:cNvPicPr/>
          </xdr:nvPicPr>
          <xdr:blipFill>
            <a:blip xmlns:r="http://schemas.openxmlformats.org/officeDocument/2006/relationships" r:embed="rId23"/>
            <a:stretch>
              <a:fillRect/>
            </a:stretch>
          </xdr:blipFill>
          <xdr:spPr>
            <a:xfrm>
              <a:off x="50283745" y="416927"/>
              <a:ext cx="1528920" cy="1412640"/>
            </a:xfrm>
            <a:prstGeom prst="rect">
              <a:avLst/>
            </a:prstGeom>
          </xdr:spPr>
        </xdr:pic>
      </mc:Fallback>
    </mc:AlternateContent>
    <xdr:clientData/>
  </xdr:twoCellAnchor>
  <xdr:twoCellAnchor editAs="oneCell">
    <xdr:from>
      <xdr:col>85</xdr:col>
      <xdr:colOff>519672</xdr:colOff>
      <xdr:row>6</xdr:row>
      <xdr:rowOff>127203</xdr:rowOff>
    </xdr:from>
    <xdr:to>
      <xdr:col>92</xdr:col>
      <xdr:colOff>38269</xdr:colOff>
      <xdr:row>17</xdr:row>
      <xdr:rowOff>156203</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73" name="Ink 72">
              <a:extLst>
                <a:ext uri="{FF2B5EF4-FFF2-40B4-BE49-F238E27FC236}">
                  <a16:creationId xmlns:a16="http://schemas.microsoft.com/office/drawing/2014/main" id="{61F55C49-E918-4847-0F67-2BD00FB77D7D}"/>
                </a:ext>
              </a:extLst>
            </xdr14:cNvPr>
            <xdr14:cNvContentPartPr/>
          </xdr14:nvContentPartPr>
          <xdr14:nvPr macro=""/>
          <xdr14:xfrm>
            <a:off x="52531945" y="1235567"/>
            <a:ext cx="3801960" cy="2061000"/>
          </xdr14:xfrm>
        </xdr:contentPart>
      </mc:Choice>
      <mc:Fallback xmlns="">
        <xdr:pic>
          <xdr:nvPicPr>
            <xdr:cNvPr id="73" name="Ink 72">
              <a:extLst>
                <a:ext uri="{FF2B5EF4-FFF2-40B4-BE49-F238E27FC236}">
                  <a16:creationId xmlns:a16="http://schemas.microsoft.com/office/drawing/2014/main" id="{61F55C49-E918-4847-0F67-2BD00FB77D7D}"/>
                </a:ext>
              </a:extLst>
            </xdr:cNvPr>
            <xdr:cNvPicPr/>
          </xdr:nvPicPr>
          <xdr:blipFill>
            <a:blip xmlns:r="http://schemas.openxmlformats.org/officeDocument/2006/relationships" r:embed="rId25"/>
            <a:stretch>
              <a:fillRect/>
            </a:stretch>
          </xdr:blipFill>
          <xdr:spPr>
            <a:xfrm>
              <a:off x="52527625" y="1231247"/>
              <a:ext cx="3810600" cy="2069640"/>
            </a:xfrm>
            <a:prstGeom prst="rect">
              <a:avLst/>
            </a:prstGeom>
          </xdr:spPr>
        </xdr:pic>
      </mc:Fallback>
    </mc:AlternateContent>
    <xdr:clientData/>
  </xdr:twoCellAnchor>
  <xdr:twoCellAnchor editAs="oneCell">
    <xdr:from>
      <xdr:col>7</xdr:col>
      <xdr:colOff>408771</xdr:colOff>
      <xdr:row>19</xdr:row>
      <xdr:rowOff>156829</xdr:rowOff>
    </xdr:from>
    <xdr:to>
      <xdr:col>12</xdr:col>
      <xdr:colOff>261626</xdr:colOff>
      <xdr:row>26</xdr:row>
      <xdr:rowOff>23298</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82" name="Ink 81">
              <a:extLst>
                <a:ext uri="{FF2B5EF4-FFF2-40B4-BE49-F238E27FC236}">
                  <a16:creationId xmlns:a16="http://schemas.microsoft.com/office/drawing/2014/main" id="{61911A91-6AE9-AE89-E13B-A759E9564480}"/>
                </a:ext>
              </a:extLst>
            </xdr14:cNvPr>
            <xdr14:cNvContentPartPr/>
          </xdr14:nvContentPartPr>
          <xdr14:nvPr macro=""/>
          <xdr14:xfrm>
            <a:off x="4692135" y="3666647"/>
            <a:ext cx="2912400" cy="1159560"/>
          </xdr14:xfrm>
        </xdr:contentPart>
      </mc:Choice>
      <mc:Fallback xmlns="">
        <xdr:pic>
          <xdr:nvPicPr>
            <xdr:cNvPr id="82" name="Ink 81">
              <a:extLst>
                <a:ext uri="{FF2B5EF4-FFF2-40B4-BE49-F238E27FC236}">
                  <a16:creationId xmlns:a16="http://schemas.microsoft.com/office/drawing/2014/main" id="{61911A91-6AE9-AE89-E13B-A759E9564480}"/>
                </a:ext>
              </a:extLst>
            </xdr:cNvPr>
            <xdr:cNvPicPr/>
          </xdr:nvPicPr>
          <xdr:blipFill>
            <a:blip xmlns:r="http://schemas.openxmlformats.org/officeDocument/2006/relationships" r:embed="rId27"/>
            <a:stretch>
              <a:fillRect/>
            </a:stretch>
          </xdr:blipFill>
          <xdr:spPr>
            <a:xfrm>
              <a:off x="4687815" y="3662328"/>
              <a:ext cx="2921040" cy="1168197"/>
            </a:xfrm>
            <a:prstGeom prst="rect">
              <a:avLst/>
            </a:prstGeom>
          </xdr:spPr>
        </xdr:pic>
      </mc:Fallback>
    </mc:AlternateContent>
    <xdr:clientData/>
  </xdr:twoCellAnchor>
  <xdr:twoCellAnchor editAs="oneCell">
    <xdr:from>
      <xdr:col>14</xdr:col>
      <xdr:colOff>178288</xdr:colOff>
      <xdr:row>19</xdr:row>
      <xdr:rowOff>174109</xdr:rowOff>
    </xdr:from>
    <xdr:to>
      <xdr:col>17</xdr:col>
      <xdr:colOff>36360</xdr:colOff>
      <xdr:row>23</xdr:row>
      <xdr:rowOff>57280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83" name="Ink 82">
              <a:extLst>
                <a:ext uri="{FF2B5EF4-FFF2-40B4-BE49-F238E27FC236}">
                  <a16:creationId xmlns:a16="http://schemas.microsoft.com/office/drawing/2014/main" id="{69E217DE-CBA7-4590-14F8-14F70E0B78C3}"/>
                </a:ext>
              </a:extLst>
            </xdr14:cNvPr>
            <xdr14:cNvContentPartPr/>
          </xdr14:nvContentPartPr>
          <xdr14:nvPr macro=""/>
          <xdr14:xfrm>
            <a:off x="8745015" y="3683927"/>
            <a:ext cx="1693800" cy="622080"/>
          </xdr14:xfrm>
        </xdr:contentPart>
      </mc:Choice>
      <mc:Fallback xmlns="">
        <xdr:pic>
          <xdr:nvPicPr>
            <xdr:cNvPr id="83" name="Ink 82">
              <a:extLst>
                <a:ext uri="{FF2B5EF4-FFF2-40B4-BE49-F238E27FC236}">
                  <a16:creationId xmlns:a16="http://schemas.microsoft.com/office/drawing/2014/main" id="{69E217DE-CBA7-4590-14F8-14F70E0B78C3}"/>
                </a:ext>
              </a:extLst>
            </xdr:cNvPr>
            <xdr:cNvPicPr/>
          </xdr:nvPicPr>
          <xdr:blipFill>
            <a:blip xmlns:r="http://schemas.openxmlformats.org/officeDocument/2006/relationships" r:embed="rId29"/>
            <a:stretch>
              <a:fillRect/>
            </a:stretch>
          </xdr:blipFill>
          <xdr:spPr>
            <a:xfrm>
              <a:off x="8740695" y="3679607"/>
              <a:ext cx="1702440" cy="630720"/>
            </a:xfrm>
            <a:prstGeom prst="rect">
              <a:avLst/>
            </a:prstGeom>
          </xdr:spPr>
        </xdr:pic>
      </mc:Fallback>
    </mc:AlternateContent>
    <xdr:clientData/>
  </xdr:twoCellAnchor>
  <xdr:twoCellAnchor editAs="oneCell">
    <xdr:from>
      <xdr:col>7</xdr:col>
      <xdr:colOff>432891</xdr:colOff>
      <xdr:row>35</xdr:row>
      <xdr:rowOff>57072</xdr:rowOff>
    </xdr:from>
    <xdr:to>
      <xdr:col>12</xdr:col>
      <xdr:colOff>364946</xdr:colOff>
      <xdr:row>43</xdr:row>
      <xdr:rowOff>111414</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92" name="Ink 91">
              <a:extLst>
                <a:ext uri="{FF2B5EF4-FFF2-40B4-BE49-F238E27FC236}">
                  <a16:creationId xmlns:a16="http://schemas.microsoft.com/office/drawing/2014/main" id="{6FCB1298-1394-7357-4B9F-83A17F2F6751}"/>
                </a:ext>
              </a:extLst>
            </xdr14:cNvPr>
            <xdr14:cNvContentPartPr/>
          </xdr14:nvContentPartPr>
          <xdr14:nvPr macro=""/>
          <xdr14:xfrm>
            <a:off x="4716255" y="6522527"/>
            <a:ext cx="2991600" cy="1532160"/>
          </xdr14:xfrm>
        </xdr:contentPart>
      </mc:Choice>
      <mc:Fallback xmlns="">
        <xdr:pic>
          <xdr:nvPicPr>
            <xdr:cNvPr id="92" name="Ink 91">
              <a:extLst>
                <a:ext uri="{FF2B5EF4-FFF2-40B4-BE49-F238E27FC236}">
                  <a16:creationId xmlns:a16="http://schemas.microsoft.com/office/drawing/2014/main" id="{6FCB1298-1394-7357-4B9F-83A17F2F6751}"/>
                </a:ext>
              </a:extLst>
            </xdr:cNvPr>
            <xdr:cNvPicPr/>
          </xdr:nvPicPr>
          <xdr:blipFill>
            <a:blip xmlns:r="http://schemas.openxmlformats.org/officeDocument/2006/relationships" r:embed="rId31"/>
            <a:stretch>
              <a:fillRect/>
            </a:stretch>
          </xdr:blipFill>
          <xdr:spPr>
            <a:xfrm>
              <a:off x="4711934" y="6518207"/>
              <a:ext cx="3000241" cy="1540800"/>
            </a:xfrm>
            <a:prstGeom prst="rect">
              <a:avLst/>
            </a:prstGeom>
          </xdr:spPr>
        </xdr:pic>
      </mc:Fallback>
    </mc:AlternateContent>
    <xdr:clientData/>
  </xdr:twoCellAnchor>
  <xdr:twoCellAnchor editAs="oneCell">
    <xdr:from>
      <xdr:col>13</xdr:col>
      <xdr:colOff>67317</xdr:colOff>
      <xdr:row>33</xdr:row>
      <xdr:rowOff>171287</xdr:rowOff>
    </xdr:from>
    <xdr:to>
      <xdr:col>15</xdr:col>
      <xdr:colOff>532619</xdr:colOff>
      <xdr:row>39</xdr:row>
      <xdr:rowOff>139323</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93" name="Ink 92">
              <a:extLst>
                <a:ext uri="{FF2B5EF4-FFF2-40B4-BE49-F238E27FC236}">
                  <a16:creationId xmlns:a16="http://schemas.microsoft.com/office/drawing/2014/main" id="{92D0A000-0BB7-B317-AAC1-C8C83D0BC6AB}"/>
                </a:ext>
              </a:extLst>
            </xdr14:cNvPr>
            <xdr14:cNvContentPartPr/>
          </xdr14:nvContentPartPr>
          <xdr14:nvPr macro=""/>
          <xdr14:xfrm>
            <a:off x="8022135" y="6267287"/>
            <a:ext cx="1689120" cy="1076400"/>
          </xdr14:xfrm>
        </xdr:contentPart>
      </mc:Choice>
      <mc:Fallback xmlns="">
        <xdr:pic>
          <xdr:nvPicPr>
            <xdr:cNvPr id="93" name="Ink 92">
              <a:extLst>
                <a:ext uri="{FF2B5EF4-FFF2-40B4-BE49-F238E27FC236}">
                  <a16:creationId xmlns:a16="http://schemas.microsoft.com/office/drawing/2014/main" id="{92D0A000-0BB7-B317-AAC1-C8C83D0BC6AB}"/>
                </a:ext>
              </a:extLst>
            </xdr:cNvPr>
            <xdr:cNvPicPr/>
          </xdr:nvPicPr>
          <xdr:blipFill>
            <a:blip xmlns:r="http://schemas.openxmlformats.org/officeDocument/2006/relationships" r:embed="rId33"/>
            <a:stretch>
              <a:fillRect/>
            </a:stretch>
          </xdr:blipFill>
          <xdr:spPr>
            <a:xfrm>
              <a:off x="8017815" y="6262967"/>
              <a:ext cx="1697760" cy="1085040"/>
            </a:xfrm>
            <a:prstGeom prst="rect">
              <a:avLst/>
            </a:prstGeom>
          </xdr:spPr>
        </xdr:pic>
      </mc:Fallback>
    </mc:AlternateContent>
    <xdr:clientData/>
  </xdr:twoCellAnchor>
  <xdr:twoCellAnchor editAs="oneCell">
    <xdr:from>
      <xdr:col>21</xdr:col>
      <xdr:colOff>125284</xdr:colOff>
      <xdr:row>33</xdr:row>
      <xdr:rowOff>115487</xdr:rowOff>
    </xdr:from>
    <xdr:to>
      <xdr:col>23</xdr:col>
      <xdr:colOff>232746</xdr:colOff>
      <xdr:row>39</xdr:row>
      <xdr:rowOff>58683</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94" name="Ink 93">
              <a:extLst>
                <a:ext uri="{FF2B5EF4-FFF2-40B4-BE49-F238E27FC236}">
                  <a16:creationId xmlns:a16="http://schemas.microsoft.com/office/drawing/2014/main" id="{EBBA99CE-ACA8-0D97-2B46-84FAD9827872}"/>
                </a:ext>
              </a:extLst>
            </xdr14:cNvPr>
            <xdr14:cNvContentPartPr/>
          </xdr14:nvContentPartPr>
          <xdr14:nvPr macro=""/>
          <xdr14:xfrm>
            <a:off x="12975375" y="6211487"/>
            <a:ext cx="1331280" cy="1051560"/>
          </xdr14:xfrm>
        </xdr:contentPart>
      </mc:Choice>
      <mc:Fallback xmlns="">
        <xdr:pic>
          <xdr:nvPicPr>
            <xdr:cNvPr id="94" name="Ink 93">
              <a:extLst>
                <a:ext uri="{FF2B5EF4-FFF2-40B4-BE49-F238E27FC236}">
                  <a16:creationId xmlns:a16="http://schemas.microsoft.com/office/drawing/2014/main" id="{EBBA99CE-ACA8-0D97-2B46-84FAD9827872}"/>
                </a:ext>
              </a:extLst>
            </xdr:cNvPr>
            <xdr:cNvPicPr/>
          </xdr:nvPicPr>
          <xdr:blipFill>
            <a:blip xmlns:r="http://schemas.openxmlformats.org/officeDocument/2006/relationships" r:embed="rId35"/>
            <a:stretch>
              <a:fillRect/>
            </a:stretch>
          </xdr:blipFill>
          <xdr:spPr>
            <a:xfrm>
              <a:off x="12971055" y="6207167"/>
              <a:ext cx="1339920" cy="1060200"/>
            </a:xfrm>
            <a:prstGeom prst="rect">
              <a:avLst/>
            </a:prstGeom>
          </xdr:spPr>
        </xdr:pic>
      </mc:Fallback>
    </mc:AlternateContent>
    <xdr:clientData/>
  </xdr:twoCellAnchor>
  <xdr:twoCellAnchor editAs="oneCell">
    <xdr:from>
      <xdr:col>23</xdr:col>
      <xdr:colOff>307996</xdr:colOff>
      <xdr:row>34</xdr:row>
      <xdr:rowOff>150360</xdr:rowOff>
    </xdr:from>
    <xdr:to>
      <xdr:col>24</xdr:col>
      <xdr:colOff>81287</xdr:colOff>
      <xdr:row>36</xdr:row>
      <xdr:rowOff>76105</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8" name="Ink 7">
              <a:extLst>
                <a:ext uri="{FF2B5EF4-FFF2-40B4-BE49-F238E27FC236}">
                  <a16:creationId xmlns:a16="http://schemas.microsoft.com/office/drawing/2014/main" id="{EACD211D-66E9-EF15-287B-6D48280AD643}"/>
                </a:ext>
              </a:extLst>
            </xdr14:cNvPr>
            <xdr14:cNvContentPartPr/>
          </xdr14:nvContentPartPr>
          <xdr14:nvPr macro=""/>
          <xdr14:xfrm>
            <a:off x="14381905" y="6431087"/>
            <a:ext cx="385200" cy="295200"/>
          </xdr14:xfrm>
        </xdr:contentPart>
      </mc:Choice>
      <mc:Fallback xmlns="">
        <xdr:pic>
          <xdr:nvPicPr>
            <xdr:cNvPr id="8" name="Ink 7">
              <a:extLst>
                <a:ext uri="{FF2B5EF4-FFF2-40B4-BE49-F238E27FC236}">
                  <a16:creationId xmlns:a16="http://schemas.microsoft.com/office/drawing/2014/main" id="{EACD211D-66E9-EF15-287B-6D48280AD643}"/>
                </a:ext>
              </a:extLst>
            </xdr:cNvPr>
            <xdr:cNvPicPr/>
          </xdr:nvPicPr>
          <xdr:blipFill>
            <a:blip xmlns:r="http://schemas.openxmlformats.org/officeDocument/2006/relationships" r:embed="rId37"/>
            <a:stretch>
              <a:fillRect/>
            </a:stretch>
          </xdr:blipFill>
          <xdr:spPr>
            <a:xfrm>
              <a:off x="14377585" y="6426767"/>
              <a:ext cx="393840" cy="303840"/>
            </a:xfrm>
            <a:prstGeom prst="rect">
              <a:avLst/>
            </a:prstGeom>
          </xdr:spPr>
        </xdr:pic>
      </mc:Fallback>
    </mc:AlternateContent>
    <xdr:clientData/>
  </xdr:twoCellAnchor>
  <xdr:twoCellAnchor editAs="oneCell">
    <xdr:from>
      <xdr:col>4</xdr:col>
      <xdr:colOff>230404</xdr:colOff>
      <xdr:row>45</xdr:row>
      <xdr:rowOff>69171</xdr:rowOff>
    </xdr:from>
    <xdr:to>
      <xdr:col>4</xdr:col>
      <xdr:colOff>230764</xdr:colOff>
      <xdr:row>45</xdr:row>
      <xdr:rowOff>78531</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29" name="Ink 28">
              <a:extLst>
                <a:ext uri="{FF2B5EF4-FFF2-40B4-BE49-F238E27FC236}">
                  <a16:creationId xmlns:a16="http://schemas.microsoft.com/office/drawing/2014/main" id="{F0DA531C-A825-990F-4720-6597B7456964}"/>
                </a:ext>
              </a:extLst>
            </xdr14:cNvPr>
            <xdr14:cNvContentPartPr/>
          </xdr14:nvContentPartPr>
          <xdr14:nvPr macro=""/>
          <xdr14:xfrm>
            <a:off x="2678040" y="8381898"/>
            <a:ext cx="360" cy="9360"/>
          </xdr14:xfrm>
        </xdr:contentPart>
      </mc:Choice>
      <mc:Fallback xmlns="">
        <xdr:pic>
          <xdr:nvPicPr>
            <xdr:cNvPr id="29" name="Ink 28">
              <a:extLst>
                <a:ext uri="{FF2B5EF4-FFF2-40B4-BE49-F238E27FC236}">
                  <a16:creationId xmlns:a16="http://schemas.microsoft.com/office/drawing/2014/main" id="{F0DA531C-A825-990F-4720-6597B7456964}"/>
                </a:ext>
              </a:extLst>
            </xdr:cNvPr>
            <xdr:cNvPicPr/>
          </xdr:nvPicPr>
          <xdr:blipFill>
            <a:blip xmlns:r="http://schemas.openxmlformats.org/officeDocument/2006/relationships" r:embed="rId39"/>
            <a:stretch>
              <a:fillRect/>
            </a:stretch>
          </xdr:blipFill>
          <xdr:spPr>
            <a:xfrm>
              <a:off x="2673720" y="8377578"/>
              <a:ext cx="9000" cy="18000"/>
            </a:xfrm>
            <a:prstGeom prst="rect">
              <a:avLst/>
            </a:prstGeom>
          </xdr:spPr>
        </xdr:pic>
      </mc:Fallback>
    </mc:AlternateContent>
    <xdr:clientData/>
  </xdr:twoCellAnchor>
  <xdr:twoCellAnchor editAs="oneCell">
    <xdr:from>
      <xdr:col>5</xdr:col>
      <xdr:colOff>68855</xdr:colOff>
      <xdr:row>39</xdr:row>
      <xdr:rowOff>127054</xdr:rowOff>
    </xdr:from>
    <xdr:to>
      <xdr:col>5</xdr:col>
      <xdr:colOff>69215</xdr:colOff>
      <xdr:row>39</xdr:row>
      <xdr:rowOff>127414</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32" name="Ink 31">
              <a:extLst>
                <a:ext uri="{FF2B5EF4-FFF2-40B4-BE49-F238E27FC236}">
                  <a16:creationId xmlns:a16="http://schemas.microsoft.com/office/drawing/2014/main" id="{3325D634-7A9A-991B-2222-FE3507424CCC}"/>
                </a:ext>
              </a:extLst>
            </xdr14:cNvPr>
            <xdr14:cNvContentPartPr/>
          </xdr14:nvContentPartPr>
          <xdr14:nvPr macro=""/>
          <xdr14:xfrm>
            <a:off x="3128400" y="7331418"/>
            <a:ext cx="360" cy="360"/>
          </xdr14:xfrm>
        </xdr:contentPart>
      </mc:Choice>
      <mc:Fallback xmlns="">
        <xdr:pic>
          <xdr:nvPicPr>
            <xdr:cNvPr id="32" name="Ink 31">
              <a:extLst>
                <a:ext uri="{FF2B5EF4-FFF2-40B4-BE49-F238E27FC236}">
                  <a16:creationId xmlns:a16="http://schemas.microsoft.com/office/drawing/2014/main" id="{3325D634-7A9A-991B-2222-FE3507424CCC}"/>
                </a:ext>
              </a:extLst>
            </xdr:cNvPr>
            <xdr:cNvPicPr/>
          </xdr:nvPicPr>
          <xdr:blipFill>
            <a:blip xmlns:r="http://schemas.openxmlformats.org/officeDocument/2006/relationships" r:embed="rId41"/>
            <a:stretch>
              <a:fillRect/>
            </a:stretch>
          </xdr:blipFill>
          <xdr:spPr>
            <a:xfrm>
              <a:off x="3122280" y="7325298"/>
              <a:ext cx="12600" cy="12600"/>
            </a:xfrm>
            <a:prstGeom prst="rect">
              <a:avLst/>
            </a:prstGeom>
          </xdr:spPr>
        </xdr:pic>
      </mc:Fallback>
    </mc:AlternateContent>
    <xdr:clientData/>
  </xdr:twoCellAnchor>
  <xdr:twoCellAnchor editAs="oneCell">
    <xdr:from>
      <xdr:col>3</xdr:col>
      <xdr:colOff>79530</xdr:colOff>
      <xdr:row>53</xdr:row>
      <xdr:rowOff>190165</xdr:rowOff>
    </xdr:from>
    <xdr:to>
      <xdr:col>3</xdr:col>
      <xdr:colOff>86010</xdr:colOff>
      <xdr:row>54</xdr:row>
      <xdr:rowOff>51505</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158" name="Ink 157">
              <a:extLst>
                <a:ext uri="{FF2B5EF4-FFF2-40B4-BE49-F238E27FC236}">
                  <a16:creationId xmlns:a16="http://schemas.microsoft.com/office/drawing/2014/main" id="{C5CACCAA-CD55-560A-AE7B-EB481BAB18AA}"/>
                </a:ext>
              </a:extLst>
            </xdr14:cNvPr>
            <xdr14:cNvContentPartPr/>
          </xdr14:nvContentPartPr>
          <xdr14:nvPr macro=""/>
          <xdr14:xfrm>
            <a:off x="1889280" y="10286665"/>
            <a:ext cx="6480" cy="51840"/>
          </xdr14:xfrm>
        </xdr:contentPart>
      </mc:Choice>
      <mc:Fallback xmlns="">
        <xdr:pic>
          <xdr:nvPicPr>
            <xdr:cNvPr id="158" name="Ink 157">
              <a:extLst>
                <a:ext uri="{FF2B5EF4-FFF2-40B4-BE49-F238E27FC236}">
                  <a16:creationId xmlns:a16="http://schemas.microsoft.com/office/drawing/2014/main" id="{C5CACCAA-CD55-560A-AE7B-EB481BAB18AA}"/>
                </a:ext>
              </a:extLst>
            </xdr:cNvPr>
            <xdr:cNvPicPr/>
          </xdr:nvPicPr>
          <xdr:blipFill>
            <a:blip xmlns:r="http://schemas.openxmlformats.org/officeDocument/2006/relationships" r:embed="rId43"/>
            <a:stretch>
              <a:fillRect/>
            </a:stretch>
          </xdr:blipFill>
          <xdr:spPr>
            <a:xfrm>
              <a:off x="1880280" y="10277665"/>
              <a:ext cx="24120" cy="69480"/>
            </a:xfrm>
            <a:prstGeom prst="rect">
              <a:avLst/>
            </a:prstGeom>
          </xdr:spPr>
        </xdr:pic>
      </mc:Fallback>
    </mc:AlternateContent>
    <xdr:clientData/>
  </xdr:twoCellAnchor>
  <xdr:twoCellAnchor editAs="oneCell">
    <xdr:from>
      <xdr:col>43</xdr:col>
      <xdr:colOff>600180</xdr:colOff>
      <xdr:row>74</xdr:row>
      <xdr:rowOff>13220</xdr:rowOff>
    </xdr:from>
    <xdr:to>
      <xdr:col>44</xdr:col>
      <xdr:colOff>75180</xdr:colOff>
      <xdr:row>74</xdr:row>
      <xdr:rowOff>39860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206" name="Ink 205">
              <a:extLst>
                <a:ext uri="{FF2B5EF4-FFF2-40B4-BE49-F238E27FC236}">
                  <a16:creationId xmlns:a16="http://schemas.microsoft.com/office/drawing/2014/main" id="{89329D0E-91EF-46DA-51B1-CEA840DD543B}"/>
                </a:ext>
              </a:extLst>
            </xdr14:cNvPr>
            <xdr14:cNvContentPartPr/>
          </xdr14:nvContentPartPr>
          <xdr14:nvPr macro=""/>
          <xdr14:xfrm>
            <a:off x="26812980" y="13119620"/>
            <a:ext cx="84600" cy="26640"/>
          </xdr14:xfrm>
        </xdr:contentPart>
      </mc:Choice>
      <mc:Fallback xmlns="">
        <xdr:pic>
          <xdr:nvPicPr>
            <xdr:cNvPr id="206" name="Ink 205">
              <a:extLst>
                <a:ext uri="{FF2B5EF4-FFF2-40B4-BE49-F238E27FC236}">
                  <a16:creationId xmlns:a16="http://schemas.microsoft.com/office/drawing/2014/main" id="{89329D0E-91EF-46DA-51B1-CEA840DD543B}"/>
                </a:ext>
              </a:extLst>
            </xdr:cNvPr>
            <xdr:cNvPicPr/>
          </xdr:nvPicPr>
          <xdr:blipFill>
            <a:blip xmlns:r="http://schemas.openxmlformats.org/officeDocument/2006/relationships" r:embed="rId45"/>
            <a:stretch>
              <a:fillRect/>
            </a:stretch>
          </xdr:blipFill>
          <xdr:spPr>
            <a:xfrm>
              <a:off x="26804340" y="13110980"/>
              <a:ext cx="102240" cy="44280"/>
            </a:xfrm>
            <a:prstGeom prst="rect">
              <a:avLst/>
            </a:prstGeom>
          </xdr:spPr>
        </xdr:pic>
      </mc:Fallback>
    </mc:AlternateContent>
    <xdr:clientData/>
  </xdr:twoCellAnchor>
  <xdr:twoCellAnchor editAs="oneCell">
    <xdr:from>
      <xdr:col>33</xdr:col>
      <xdr:colOff>278710</xdr:colOff>
      <xdr:row>34</xdr:row>
      <xdr:rowOff>34475</xdr:rowOff>
    </xdr:from>
    <xdr:to>
      <xdr:col>36</xdr:col>
      <xdr:colOff>353626</xdr:colOff>
      <xdr:row>39</xdr:row>
      <xdr:rowOff>103251</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227" name="Ink 226">
              <a:extLst>
                <a:ext uri="{FF2B5EF4-FFF2-40B4-BE49-F238E27FC236}">
                  <a16:creationId xmlns:a16="http://schemas.microsoft.com/office/drawing/2014/main" id="{9D4FFEE0-EC5B-5D19-1FFE-D8558C10DB14}"/>
                </a:ext>
              </a:extLst>
            </xdr14:cNvPr>
            <xdr14:cNvContentPartPr/>
          </xdr14:nvContentPartPr>
          <xdr14:nvPr macro=""/>
          <xdr14:xfrm>
            <a:off x="20494122" y="6384475"/>
            <a:ext cx="1912680" cy="1002600"/>
          </xdr14:xfrm>
        </xdr:contentPart>
      </mc:Choice>
      <mc:Fallback xmlns="">
        <xdr:pic>
          <xdr:nvPicPr>
            <xdr:cNvPr id="227" name="Ink 226">
              <a:extLst>
                <a:ext uri="{FF2B5EF4-FFF2-40B4-BE49-F238E27FC236}">
                  <a16:creationId xmlns:a16="http://schemas.microsoft.com/office/drawing/2014/main" id="{9D4FFEE0-EC5B-5D19-1FFE-D8558C10DB14}"/>
                </a:ext>
              </a:extLst>
            </xdr:cNvPr>
            <xdr:cNvPicPr/>
          </xdr:nvPicPr>
          <xdr:blipFill>
            <a:blip xmlns:r="http://schemas.openxmlformats.org/officeDocument/2006/relationships" r:embed="rId47"/>
            <a:stretch>
              <a:fillRect/>
            </a:stretch>
          </xdr:blipFill>
          <xdr:spPr>
            <a:xfrm>
              <a:off x="20487996" y="6378293"/>
              <a:ext cx="1924932" cy="1014964"/>
            </a:xfrm>
            <a:prstGeom prst="rect">
              <a:avLst/>
            </a:prstGeom>
          </xdr:spPr>
        </xdr:pic>
      </mc:Fallback>
    </mc:AlternateContent>
    <xdr:clientData/>
  </xdr:twoCellAnchor>
  <xdr:twoCellAnchor editAs="oneCell">
    <xdr:from>
      <xdr:col>27</xdr:col>
      <xdr:colOff>383579</xdr:colOff>
      <xdr:row>35</xdr:row>
      <xdr:rowOff>105000</xdr:rowOff>
    </xdr:from>
    <xdr:to>
      <xdr:col>28</xdr:col>
      <xdr:colOff>69389</xdr:colOff>
      <xdr:row>38</xdr:row>
      <xdr:rowOff>21339</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228" name="Ink 227">
              <a:extLst>
                <a:ext uri="{FF2B5EF4-FFF2-40B4-BE49-F238E27FC236}">
                  <a16:creationId xmlns:a16="http://schemas.microsoft.com/office/drawing/2014/main" id="{D69448AB-E80A-4B7A-AEF2-5AE671C3E512}"/>
                </a:ext>
              </a:extLst>
            </xdr14:cNvPr>
            <xdr14:cNvContentPartPr/>
          </xdr14:nvContentPartPr>
          <xdr14:nvPr macro=""/>
          <xdr14:xfrm>
            <a:off x="16905124" y="6570455"/>
            <a:ext cx="297720" cy="470520"/>
          </xdr14:xfrm>
        </xdr:contentPart>
      </mc:Choice>
      <mc:Fallback xmlns="">
        <xdr:pic>
          <xdr:nvPicPr>
            <xdr:cNvPr id="228" name="Ink 227">
              <a:extLst>
                <a:ext uri="{FF2B5EF4-FFF2-40B4-BE49-F238E27FC236}">
                  <a16:creationId xmlns:a16="http://schemas.microsoft.com/office/drawing/2014/main" id="{D69448AB-E80A-4B7A-AEF2-5AE671C3E512}"/>
                </a:ext>
              </a:extLst>
            </xdr:cNvPr>
            <xdr:cNvPicPr/>
          </xdr:nvPicPr>
          <xdr:blipFill>
            <a:blip xmlns:r="http://schemas.openxmlformats.org/officeDocument/2006/relationships" r:embed="rId49"/>
            <a:stretch>
              <a:fillRect/>
            </a:stretch>
          </xdr:blipFill>
          <xdr:spPr>
            <a:xfrm>
              <a:off x="16869484" y="6498815"/>
              <a:ext cx="369360" cy="614160"/>
            </a:xfrm>
            <a:prstGeom prst="rect">
              <a:avLst/>
            </a:prstGeom>
          </xdr:spPr>
        </xdr:pic>
      </mc:Fallback>
    </mc:AlternateContent>
    <xdr:clientData/>
  </xdr:twoCellAnchor>
  <xdr:twoCellAnchor editAs="oneCell">
    <xdr:from>
      <xdr:col>41</xdr:col>
      <xdr:colOff>357851</xdr:colOff>
      <xdr:row>35</xdr:row>
      <xdr:rowOff>90960</xdr:rowOff>
    </xdr:from>
    <xdr:to>
      <xdr:col>42</xdr:col>
      <xdr:colOff>127182</xdr:colOff>
      <xdr:row>37</xdr:row>
      <xdr:rowOff>143426</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229" name="Ink 228">
              <a:extLst>
                <a:ext uri="{FF2B5EF4-FFF2-40B4-BE49-F238E27FC236}">
                  <a16:creationId xmlns:a16="http://schemas.microsoft.com/office/drawing/2014/main" id="{83AB8730-9E78-E7F6-25A1-81826C261965}"/>
                </a:ext>
              </a:extLst>
            </xdr14:cNvPr>
            <xdr14:cNvContentPartPr/>
          </xdr14:nvContentPartPr>
          <xdr14:nvPr macro=""/>
          <xdr14:xfrm>
            <a:off x="25446124" y="6556415"/>
            <a:ext cx="381240" cy="421920"/>
          </xdr14:xfrm>
        </xdr:contentPart>
      </mc:Choice>
      <mc:Fallback xmlns="">
        <xdr:pic>
          <xdr:nvPicPr>
            <xdr:cNvPr id="229" name="Ink 228">
              <a:extLst>
                <a:ext uri="{FF2B5EF4-FFF2-40B4-BE49-F238E27FC236}">
                  <a16:creationId xmlns:a16="http://schemas.microsoft.com/office/drawing/2014/main" id="{83AB8730-9E78-E7F6-25A1-81826C261965}"/>
                </a:ext>
              </a:extLst>
            </xdr:cNvPr>
            <xdr:cNvPicPr/>
          </xdr:nvPicPr>
          <xdr:blipFill>
            <a:blip xmlns:r="http://schemas.openxmlformats.org/officeDocument/2006/relationships" r:embed="rId51"/>
            <a:stretch>
              <a:fillRect/>
            </a:stretch>
          </xdr:blipFill>
          <xdr:spPr>
            <a:xfrm>
              <a:off x="25410484" y="6484775"/>
              <a:ext cx="452880" cy="565560"/>
            </a:xfrm>
            <a:prstGeom prst="rect">
              <a:avLst/>
            </a:prstGeom>
          </xdr:spPr>
        </xdr:pic>
      </mc:Fallback>
    </mc:AlternateContent>
    <xdr:clientData/>
  </xdr:twoCellAnchor>
  <xdr:twoCellAnchor editAs="oneCell">
    <xdr:from>
      <xdr:col>16</xdr:col>
      <xdr:colOff>364939</xdr:colOff>
      <xdr:row>35</xdr:row>
      <xdr:rowOff>95640</xdr:rowOff>
    </xdr:from>
    <xdr:to>
      <xdr:col>17</xdr:col>
      <xdr:colOff>68749</xdr:colOff>
      <xdr:row>37</xdr:row>
      <xdr:rowOff>57746</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230" name="Ink 229">
              <a:extLst>
                <a:ext uri="{FF2B5EF4-FFF2-40B4-BE49-F238E27FC236}">
                  <a16:creationId xmlns:a16="http://schemas.microsoft.com/office/drawing/2014/main" id="{F43B1A07-6EE0-163C-1822-62CE97A18391}"/>
                </a:ext>
              </a:extLst>
            </xdr14:cNvPr>
            <xdr14:cNvContentPartPr/>
          </xdr14:nvContentPartPr>
          <xdr14:nvPr macro=""/>
          <xdr14:xfrm>
            <a:off x="10155484" y="6561095"/>
            <a:ext cx="315720" cy="331560"/>
          </xdr14:xfrm>
        </xdr:contentPart>
      </mc:Choice>
      <mc:Fallback xmlns="">
        <xdr:pic>
          <xdr:nvPicPr>
            <xdr:cNvPr id="230" name="Ink 229">
              <a:extLst>
                <a:ext uri="{FF2B5EF4-FFF2-40B4-BE49-F238E27FC236}">
                  <a16:creationId xmlns:a16="http://schemas.microsoft.com/office/drawing/2014/main" id="{F43B1A07-6EE0-163C-1822-62CE97A18391}"/>
                </a:ext>
              </a:extLst>
            </xdr:cNvPr>
            <xdr:cNvPicPr/>
          </xdr:nvPicPr>
          <xdr:blipFill>
            <a:blip xmlns:r="http://schemas.openxmlformats.org/officeDocument/2006/relationships" r:embed="rId53"/>
            <a:stretch>
              <a:fillRect/>
            </a:stretch>
          </xdr:blipFill>
          <xdr:spPr>
            <a:xfrm>
              <a:off x="10119844" y="6489455"/>
              <a:ext cx="387360" cy="475200"/>
            </a:xfrm>
            <a:prstGeom prst="rect">
              <a:avLst/>
            </a:prstGeom>
          </xdr:spPr>
        </xdr:pic>
      </mc:Fallback>
    </mc:AlternateContent>
    <xdr:clientData/>
  </xdr:twoCellAnchor>
  <xdr:twoCellAnchor editAs="oneCell">
    <xdr:from>
      <xdr:col>49</xdr:col>
      <xdr:colOff>99019</xdr:colOff>
      <xdr:row>35</xdr:row>
      <xdr:rowOff>184560</xdr:rowOff>
    </xdr:from>
    <xdr:to>
      <xdr:col>49</xdr:col>
      <xdr:colOff>440299</xdr:colOff>
      <xdr:row>37</xdr:row>
      <xdr:rowOff>115346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231" name="Ink 230">
              <a:extLst>
                <a:ext uri="{FF2B5EF4-FFF2-40B4-BE49-F238E27FC236}">
                  <a16:creationId xmlns:a16="http://schemas.microsoft.com/office/drawing/2014/main" id="{1B3F7720-35BF-F19B-9670-21FDD25B416A}"/>
                </a:ext>
              </a:extLst>
            </xdr14:cNvPr>
            <xdr14:cNvContentPartPr/>
          </xdr14:nvContentPartPr>
          <xdr14:nvPr macro=""/>
          <xdr14:xfrm>
            <a:off x="30082564" y="6650015"/>
            <a:ext cx="341280" cy="300240"/>
          </xdr14:xfrm>
        </xdr:contentPart>
      </mc:Choice>
      <mc:Fallback xmlns="">
        <xdr:pic>
          <xdr:nvPicPr>
            <xdr:cNvPr id="231" name="Ink 230">
              <a:extLst>
                <a:ext uri="{FF2B5EF4-FFF2-40B4-BE49-F238E27FC236}">
                  <a16:creationId xmlns:a16="http://schemas.microsoft.com/office/drawing/2014/main" id="{1B3F7720-35BF-F19B-9670-21FDD25B416A}"/>
                </a:ext>
              </a:extLst>
            </xdr:cNvPr>
            <xdr:cNvPicPr/>
          </xdr:nvPicPr>
          <xdr:blipFill>
            <a:blip xmlns:r="http://schemas.openxmlformats.org/officeDocument/2006/relationships" r:embed="rId55"/>
            <a:stretch>
              <a:fillRect/>
            </a:stretch>
          </xdr:blipFill>
          <xdr:spPr>
            <a:xfrm>
              <a:off x="30046564" y="6578015"/>
              <a:ext cx="412920" cy="443880"/>
            </a:xfrm>
            <a:prstGeom prst="rect">
              <a:avLst/>
            </a:prstGeom>
          </xdr:spPr>
        </xdr:pic>
      </mc:Fallback>
    </mc:AlternateContent>
    <xdr:clientData/>
  </xdr:twoCellAnchor>
  <xdr:twoCellAnchor editAs="oneCell">
    <xdr:from>
      <xdr:col>26</xdr:col>
      <xdr:colOff>449368</xdr:colOff>
      <xdr:row>37</xdr:row>
      <xdr:rowOff>143066</xdr:rowOff>
    </xdr:from>
    <xdr:to>
      <xdr:col>29</xdr:col>
      <xdr:colOff>527040</xdr:colOff>
      <xdr:row>47</xdr:row>
      <xdr:rowOff>38913</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245" name="Ink 244">
              <a:extLst>
                <a:ext uri="{FF2B5EF4-FFF2-40B4-BE49-F238E27FC236}">
                  <a16:creationId xmlns:a16="http://schemas.microsoft.com/office/drawing/2014/main" id="{F342708E-5E4A-C39E-BC36-9E158F55A02E}"/>
                </a:ext>
              </a:extLst>
            </xdr14:cNvPr>
            <xdr14:cNvContentPartPr/>
          </xdr14:nvContentPartPr>
          <xdr14:nvPr macro=""/>
          <xdr14:xfrm>
            <a:off x="16359004" y="6977975"/>
            <a:ext cx="1913400" cy="1743120"/>
          </xdr14:xfrm>
        </xdr:contentPart>
      </mc:Choice>
      <mc:Fallback xmlns="">
        <xdr:pic>
          <xdr:nvPicPr>
            <xdr:cNvPr id="245" name="Ink 244">
              <a:extLst>
                <a:ext uri="{FF2B5EF4-FFF2-40B4-BE49-F238E27FC236}">
                  <a16:creationId xmlns:a16="http://schemas.microsoft.com/office/drawing/2014/main" id="{F342708E-5E4A-C39E-BC36-9E158F55A02E}"/>
                </a:ext>
              </a:extLst>
            </xdr:cNvPr>
            <xdr:cNvPicPr/>
          </xdr:nvPicPr>
          <xdr:blipFill>
            <a:blip xmlns:r="http://schemas.openxmlformats.org/officeDocument/2006/relationships" r:embed="rId57"/>
            <a:stretch>
              <a:fillRect/>
            </a:stretch>
          </xdr:blipFill>
          <xdr:spPr>
            <a:xfrm>
              <a:off x="16352884" y="6971855"/>
              <a:ext cx="1925640" cy="1755360"/>
            </a:xfrm>
            <a:prstGeom prst="rect">
              <a:avLst/>
            </a:prstGeom>
          </xdr:spPr>
        </xdr:pic>
      </mc:Fallback>
    </mc:AlternateContent>
    <xdr:clientData/>
  </xdr:twoCellAnchor>
  <xdr:twoCellAnchor editAs="oneCell">
    <xdr:from>
      <xdr:col>7</xdr:col>
      <xdr:colOff>23920</xdr:colOff>
      <xdr:row>41</xdr:row>
      <xdr:rowOff>55367</xdr:rowOff>
    </xdr:from>
    <xdr:to>
      <xdr:col>13</xdr:col>
      <xdr:colOff>453946</xdr:colOff>
      <xdr:row>55</xdr:row>
      <xdr:rowOff>4665</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255" name="Ink 254">
              <a:extLst>
                <a:ext uri="{FF2B5EF4-FFF2-40B4-BE49-F238E27FC236}">
                  <a16:creationId xmlns:a16="http://schemas.microsoft.com/office/drawing/2014/main" id="{FDA6F46D-3288-7FEA-ADA3-80F9E62F8A9D}"/>
                </a:ext>
              </a:extLst>
            </xdr14:cNvPr>
            <xdr14:cNvContentPartPr/>
          </xdr14:nvContentPartPr>
          <xdr14:nvPr macro=""/>
          <xdr14:xfrm>
            <a:off x="4307284" y="7629185"/>
            <a:ext cx="4101480" cy="2535480"/>
          </xdr14:xfrm>
        </xdr:contentPart>
      </mc:Choice>
      <mc:Fallback xmlns="">
        <xdr:pic>
          <xdr:nvPicPr>
            <xdr:cNvPr id="255" name="Ink 254">
              <a:extLst>
                <a:ext uri="{FF2B5EF4-FFF2-40B4-BE49-F238E27FC236}">
                  <a16:creationId xmlns:a16="http://schemas.microsoft.com/office/drawing/2014/main" id="{FDA6F46D-3288-7FEA-ADA3-80F9E62F8A9D}"/>
                </a:ext>
              </a:extLst>
            </xdr:cNvPr>
            <xdr:cNvPicPr/>
          </xdr:nvPicPr>
          <xdr:blipFill>
            <a:blip xmlns:r="http://schemas.openxmlformats.org/officeDocument/2006/relationships" r:embed="rId59"/>
            <a:stretch>
              <a:fillRect/>
            </a:stretch>
          </xdr:blipFill>
          <xdr:spPr>
            <a:xfrm>
              <a:off x="4301164" y="7623065"/>
              <a:ext cx="4113720" cy="2547720"/>
            </a:xfrm>
            <a:prstGeom prst="rect">
              <a:avLst/>
            </a:prstGeom>
          </xdr:spPr>
        </xdr:pic>
      </mc:Fallback>
    </mc:AlternateContent>
    <xdr:clientData/>
  </xdr:twoCellAnchor>
  <xdr:twoCellAnchor editAs="oneCell">
    <xdr:from>
      <xdr:col>19</xdr:col>
      <xdr:colOff>497331</xdr:colOff>
      <xdr:row>38</xdr:row>
      <xdr:rowOff>79629</xdr:rowOff>
    </xdr:from>
    <xdr:to>
      <xdr:col>21</xdr:col>
      <xdr:colOff>320753</xdr:colOff>
      <xdr:row>44</xdr:row>
      <xdr:rowOff>124345</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259" name="Ink 258">
              <a:extLst>
                <a:ext uri="{FF2B5EF4-FFF2-40B4-BE49-F238E27FC236}">
                  <a16:creationId xmlns:a16="http://schemas.microsoft.com/office/drawing/2014/main" id="{76FA4A0A-08C8-532B-BE50-4B203E21FFCA}"/>
                </a:ext>
              </a:extLst>
            </xdr14:cNvPr>
            <xdr14:cNvContentPartPr/>
          </xdr14:nvContentPartPr>
          <xdr14:nvPr macro=""/>
          <xdr14:xfrm>
            <a:off x="12123604" y="7099265"/>
            <a:ext cx="1047240" cy="1153080"/>
          </xdr14:xfrm>
        </xdr:contentPart>
      </mc:Choice>
      <mc:Fallback xmlns="">
        <xdr:pic>
          <xdr:nvPicPr>
            <xdr:cNvPr id="259" name="Ink 258">
              <a:extLst>
                <a:ext uri="{FF2B5EF4-FFF2-40B4-BE49-F238E27FC236}">
                  <a16:creationId xmlns:a16="http://schemas.microsoft.com/office/drawing/2014/main" id="{76FA4A0A-08C8-532B-BE50-4B203E21FFCA}"/>
                </a:ext>
              </a:extLst>
            </xdr:cNvPr>
            <xdr:cNvPicPr/>
          </xdr:nvPicPr>
          <xdr:blipFill>
            <a:blip xmlns:r="http://schemas.openxmlformats.org/officeDocument/2006/relationships" r:embed="rId61"/>
            <a:stretch>
              <a:fillRect/>
            </a:stretch>
          </xdr:blipFill>
          <xdr:spPr>
            <a:xfrm>
              <a:off x="12117484" y="7093145"/>
              <a:ext cx="1059480" cy="1165320"/>
            </a:xfrm>
            <a:prstGeom prst="rect">
              <a:avLst/>
            </a:prstGeom>
          </xdr:spPr>
        </xdr:pic>
      </mc:Fallback>
    </mc:AlternateContent>
    <xdr:clientData/>
  </xdr:twoCellAnchor>
  <xdr:twoCellAnchor editAs="oneCell">
    <xdr:from>
      <xdr:col>35</xdr:col>
      <xdr:colOff>73626</xdr:colOff>
      <xdr:row>41</xdr:row>
      <xdr:rowOff>67967</xdr:rowOff>
    </xdr:from>
    <xdr:to>
      <xdr:col>40</xdr:col>
      <xdr:colOff>322840</xdr:colOff>
      <xdr:row>47</xdr:row>
      <xdr:rowOff>183603</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267" name="Ink 266">
              <a:extLst>
                <a:ext uri="{FF2B5EF4-FFF2-40B4-BE49-F238E27FC236}">
                  <a16:creationId xmlns:a16="http://schemas.microsoft.com/office/drawing/2014/main" id="{B6B069FD-F9FC-B9D2-E8D1-D2EC5A1EEE46}"/>
                </a:ext>
              </a:extLst>
            </xdr14:cNvPr>
            <xdr14:cNvContentPartPr/>
          </xdr14:nvContentPartPr>
          <xdr14:nvPr macro=""/>
          <xdr14:xfrm>
            <a:off x="21490444" y="7641785"/>
            <a:ext cx="3308760" cy="1224000"/>
          </xdr14:xfrm>
        </xdr:contentPart>
      </mc:Choice>
      <mc:Fallback xmlns="">
        <xdr:pic>
          <xdr:nvPicPr>
            <xdr:cNvPr id="267" name="Ink 266">
              <a:extLst>
                <a:ext uri="{FF2B5EF4-FFF2-40B4-BE49-F238E27FC236}">
                  <a16:creationId xmlns:a16="http://schemas.microsoft.com/office/drawing/2014/main" id="{B6B069FD-F9FC-B9D2-E8D1-D2EC5A1EEE46}"/>
                </a:ext>
              </a:extLst>
            </xdr:cNvPr>
            <xdr:cNvPicPr/>
          </xdr:nvPicPr>
          <xdr:blipFill>
            <a:blip xmlns:r="http://schemas.openxmlformats.org/officeDocument/2006/relationships" r:embed="rId63"/>
            <a:stretch>
              <a:fillRect/>
            </a:stretch>
          </xdr:blipFill>
          <xdr:spPr>
            <a:xfrm>
              <a:off x="21484324" y="7635665"/>
              <a:ext cx="3321000" cy="1236240"/>
            </a:xfrm>
            <a:prstGeom prst="rect">
              <a:avLst/>
            </a:prstGeom>
          </xdr:spPr>
        </xdr:pic>
      </mc:Fallback>
    </mc:AlternateContent>
    <xdr:clientData/>
  </xdr:twoCellAnchor>
  <xdr:twoCellAnchor editAs="oneCell">
    <xdr:from>
      <xdr:col>18</xdr:col>
      <xdr:colOff>50120</xdr:colOff>
      <xdr:row>138</xdr:row>
      <xdr:rowOff>138993</xdr:rowOff>
    </xdr:from>
    <xdr:to>
      <xdr:col>24</xdr:col>
      <xdr:colOff>308426</xdr:colOff>
      <xdr:row>157</xdr:row>
      <xdr:rowOff>93455</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275" name="Ink 274">
              <a:extLst>
                <a:ext uri="{FF2B5EF4-FFF2-40B4-BE49-F238E27FC236}">
                  <a16:creationId xmlns:a16="http://schemas.microsoft.com/office/drawing/2014/main" id="{369D9038-3CA6-B0E7-BC7B-9DB798A3F976}"/>
                </a:ext>
              </a:extLst>
            </xdr14:cNvPr>
            <xdr14:cNvContentPartPr/>
          </xdr14:nvContentPartPr>
          <xdr14:nvPr macro=""/>
          <xdr14:xfrm>
            <a:off x="11064484" y="25562084"/>
            <a:ext cx="3929760" cy="3464280"/>
          </xdr14:xfrm>
        </xdr:contentPart>
      </mc:Choice>
      <mc:Fallback xmlns="">
        <xdr:pic>
          <xdr:nvPicPr>
            <xdr:cNvPr id="275" name="Ink 274">
              <a:extLst>
                <a:ext uri="{FF2B5EF4-FFF2-40B4-BE49-F238E27FC236}">
                  <a16:creationId xmlns:a16="http://schemas.microsoft.com/office/drawing/2014/main" id="{369D9038-3CA6-B0E7-BC7B-9DB798A3F976}"/>
                </a:ext>
              </a:extLst>
            </xdr:cNvPr>
            <xdr:cNvPicPr/>
          </xdr:nvPicPr>
          <xdr:blipFill>
            <a:blip xmlns:r="http://schemas.openxmlformats.org/officeDocument/2006/relationships" r:embed="rId65"/>
            <a:stretch>
              <a:fillRect/>
            </a:stretch>
          </xdr:blipFill>
          <xdr:spPr>
            <a:xfrm>
              <a:off x="11058364" y="25555964"/>
              <a:ext cx="3942000" cy="3476520"/>
            </a:xfrm>
            <a:prstGeom prst="rect">
              <a:avLst/>
            </a:prstGeom>
          </xdr:spPr>
        </xdr:pic>
      </mc:Fallback>
    </mc:AlternateContent>
    <xdr:clientData/>
  </xdr:twoCellAnchor>
  <xdr:twoCellAnchor editAs="oneCell">
    <xdr:from>
      <xdr:col>21</xdr:col>
      <xdr:colOff>246593</xdr:colOff>
      <xdr:row>143</xdr:row>
      <xdr:rowOff>78997</xdr:rowOff>
    </xdr:from>
    <xdr:to>
      <xdr:col>29</xdr:col>
      <xdr:colOff>389880</xdr:colOff>
      <xdr:row>165</xdr:row>
      <xdr:rowOff>115037</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292" name="Ink 291">
              <a:extLst>
                <a:ext uri="{FF2B5EF4-FFF2-40B4-BE49-F238E27FC236}">
                  <a16:creationId xmlns:a16="http://schemas.microsoft.com/office/drawing/2014/main" id="{65185F47-80B1-6F43-AB53-75C64F18CCDB}"/>
                </a:ext>
              </a:extLst>
            </xdr14:cNvPr>
            <xdr14:cNvContentPartPr/>
          </xdr14:nvContentPartPr>
          <xdr14:nvPr macro=""/>
          <xdr14:xfrm>
            <a:off x="13096684" y="26425724"/>
            <a:ext cx="5038560" cy="4100040"/>
          </xdr14:xfrm>
        </xdr:contentPart>
      </mc:Choice>
      <mc:Fallback xmlns="">
        <xdr:pic>
          <xdr:nvPicPr>
            <xdr:cNvPr id="292" name="Ink 291">
              <a:extLst>
                <a:ext uri="{FF2B5EF4-FFF2-40B4-BE49-F238E27FC236}">
                  <a16:creationId xmlns:a16="http://schemas.microsoft.com/office/drawing/2014/main" id="{65185F47-80B1-6F43-AB53-75C64F18CCDB}"/>
                </a:ext>
              </a:extLst>
            </xdr:cNvPr>
            <xdr:cNvPicPr/>
          </xdr:nvPicPr>
          <xdr:blipFill>
            <a:blip xmlns:r="http://schemas.openxmlformats.org/officeDocument/2006/relationships" r:embed="rId67"/>
            <a:stretch>
              <a:fillRect/>
            </a:stretch>
          </xdr:blipFill>
          <xdr:spPr>
            <a:xfrm>
              <a:off x="13090564" y="26419604"/>
              <a:ext cx="5050800" cy="4112280"/>
            </a:xfrm>
            <a:prstGeom prst="rect">
              <a:avLst/>
            </a:prstGeom>
          </xdr:spPr>
        </xdr:pic>
      </mc:Fallback>
    </mc:AlternateContent>
    <xdr:clientData/>
  </xdr:twoCellAnchor>
  <xdr:twoCellAnchor editAs="oneCell">
    <xdr:from>
      <xdr:col>80</xdr:col>
      <xdr:colOff>436688</xdr:colOff>
      <xdr:row>150</xdr:row>
      <xdr:rowOff>116826</xdr:rowOff>
    </xdr:from>
    <xdr:to>
      <xdr:col>84</xdr:col>
      <xdr:colOff>393851</xdr:colOff>
      <xdr:row>165</xdr:row>
      <xdr:rowOff>115757</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300" name="Ink 299">
              <a:extLst>
                <a:ext uri="{FF2B5EF4-FFF2-40B4-BE49-F238E27FC236}">
                  <a16:creationId xmlns:a16="http://schemas.microsoft.com/office/drawing/2014/main" id="{5849C841-18FE-9453-F8CE-84E936F2CFEF}"/>
                </a:ext>
              </a:extLst>
            </xdr14:cNvPr>
            <xdr14:cNvContentPartPr/>
          </xdr14:nvContentPartPr>
          <xdr14:nvPr macro=""/>
          <xdr14:xfrm>
            <a:off x="49389415" y="27756644"/>
            <a:ext cx="2404800" cy="2769840"/>
          </xdr14:xfrm>
        </xdr:contentPart>
      </mc:Choice>
      <mc:Fallback xmlns="">
        <xdr:pic>
          <xdr:nvPicPr>
            <xdr:cNvPr id="300" name="Ink 299">
              <a:extLst>
                <a:ext uri="{FF2B5EF4-FFF2-40B4-BE49-F238E27FC236}">
                  <a16:creationId xmlns:a16="http://schemas.microsoft.com/office/drawing/2014/main" id="{5849C841-18FE-9453-F8CE-84E936F2CFEF}"/>
                </a:ext>
              </a:extLst>
            </xdr:cNvPr>
            <xdr:cNvPicPr/>
          </xdr:nvPicPr>
          <xdr:blipFill>
            <a:blip xmlns:r="http://schemas.openxmlformats.org/officeDocument/2006/relationships" r:embed="rId69"/>
            <a:stretch>
              <a:fillRect/>
            </a:stretch>
          </xdr:blipFill>
          <xdr:spPr>
            <a:xfrm>
              <a:off x="49383295" y="27750524"/>
              <a:ext cx="2417040" cy="2782080"/>
            </a:xfrm>
            <a:prstGeom prst="rect">
              <a:avLst/>
            </a:prstGeom>
          </xdr:spPr>
        </xdr:pic>
      </mc:Fallback>
    </mc:AlternateContent>
    <xdr:clientData/>
  </xdr:twoCellAnchor>
  <xdr:twoCellAnchor editAs="oneCell">
    <xdr:from>
      <xdr:col>79</xdr:col>
      <xdr:colOff>182437</xdr:colOff>
      <xdr:row>149</xdr:row>
      <xdr:rowOff>176993</xdr:rowOff>
    </xdr:from>
    <xdr:to>
      <xdr:col>80</xdr:col>
      <xdr:colOff>473408</xdr:colOff>
      <xdr:row>160</xdr:row>
      <xdr:rowOff>173593</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301" name="Ink 300">
              <a:extLst>
                <a:ext uri="{FF2B5EF4-FFF2-40B4-BE49-F238E27FC236}">
                  <a16:creationId xmlns:a16="http://schemas.microsoft.com/office/drawing/2014/main" id="{E2A4408E-36E9-03DC-BE08-4C2B81AE6E79}"/>
                </a:ext>
              </a:extLst>
            </xdr14:cNvPr>
            <xdr14:cNvContentPartPr/>
          </xdr14:nvContentPartPr>
          <xdr14:nvPr macro=""/>
          <xdr14:xfrm>
            <a:off x="48523255" y="27632084"/>
            <a:ext cx="902880" cy="2028600"/>
          </xdr14:xfrm>
        </xdr:contentPart>
      </mc:Choice>
      <mc:Fallback xmlns="">
        <xdr:pic>
          <xdr:nvPicPr>
            <xdr:cNvPr id="301" name="Ink 300">
              <a:extLst>
                <a:ext uri="{FF2B5EF4-FFF2-40B4-BE49-F238E27FC236}">
                  <a16:creationId xmlns:a16="http://schemas.microsoft.com/office/drawing/2014/main" id="{E2A4408E-36E9-03DC-BE08-4C2B81AE6E79}"/>
                </a:ext>
              </a:extLst>
            </xdr:cNvPr>
            <xdr:cNvPicPr/>
          </xdr:nvPicPr>
          <xdr:blipFill>
            <a:blip xmlns:r="http://schemas.openxmlformats.org/officeDocument/2006/relationships" r:embed="rId71"/>
            <a:stretch>
              <a:fillRect/>
            </a:stretch>
          </xdr:blipFill>
          <xdr:spPr>
            <a:xfrm>
              <a:off x="48517135" y="27625964"/>
              <a:ext cx="915120" cy="2040840"/>
            </a:xfrm>
            <a:prstGeom prst="rect">
              <a:avLst/>
            </a:prstGeom>
          </xdr:spPr>
        </xdr:pic>
      </mc:Fallback>
    </mc:AlternateContent>
    <xdr:clientData/>
  </xdr:twoCellAnchor>
  <xdr:twoCellAnchor editAs="oneCell">
    <xdr:from>
      <xdr:col>76</xdr:col>
      <xdr:colOff>600484</xdr:colOff>
      <xdr:row>137</xdr:row>
      <xdr:rowOff>164960</xdr:rowOff>
    </xdr:from>
    <xdr:to>
      <xdr:col>79</xdr:col>
      <xdr:colOff>321757</xdr:colOff>
      <xdr:row>146</xdr:row>
      <xdr:rowOff>33495</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310" name="Ink 309">
              <a:extLst>
                <a:ext uri="{FF2B5EF4-FFF2-40B4-BE49-F238E27FC236}">
                  <a16:creationId xmlns:a16="http://schemas.microsoft.com/office/drawing/2014/main" id="{B43B659D-D73B-8716-7491-C9DB8838F972}"/>
                </a:ext>
              </a:extLst>
            </xdr14:cNvPr>
            <xdr14:cNvContentPartPr/>
          </xdr14:nvContentPartPr>
          <xdr14:nvPr macro=""/>
          <xdr14:xfrm>
            <a:off x="47105575" y="25403324"/>
            <a:ext cx="1557000" cy="1531080"/>
          </xdr14:xfrm>
        </xdr:contentPart>
      </mc:Choice>
      <mc:Fallback xmlns="">
        <xdr:pic>
          <xdr:nvPicPr>
            <xdr:cNvPr id="310" name="Ink 309">
              <a:extLst>
                <a:ext uri="{FF2B5EF4-FFF2-40B4-BE49-F238E27FC236}">
                  <a16:creationId xmlns:a16="http://schemas.microsoft.com/office/drawing/2014/main" id="{B43B659D-D73B-8716-7491-C9DB8838F972}"/>
                </a:ext>
              </a:extLst>
            </xdr:cNvPr>
            <xdr:cNvPicPr/>
          </xdr:nvPicPr>
          <xdr:blipFill>
            <a:blip xmlns:r="http://schemas.openxmlformats.org/officeDocument/2006/relationships" r:embed="rId73"/>
            <a:stretch>
              <a:fillRect/>
            </a:stretch>
          </xdr:blipFill>
          <xdr:spPr>
            <a:xfrm>
              <a:off x="47099455" y="25397204"/>
              <a:ext cx="1569240" cy="1543320"/>
            </a:xfrm>
            <a:prstGeom prst="rect">
              <a:avLst/>
            </a:prstGeom>
          </xdr:spPr>
        </xdr:pic>
      </mc:Fallback>
    </mc:AlternateContent>
    <xdr:clientData/>
  </xdr:twoCellAnchor>
  <xdr:twoCellAnchor editAs="oneCell">
    <xdr:from>
      <xdr:col>82</xdr:col>
      <xdr:colOff>392230</xdr:colOff>
      <xdr:row>146</xdr:row>
      <xdr:rowOff>56895</xdr:rowOff>
    </xdr:from>
    <xdr:to>
      <xdr:col>84</xdr:col>
      <xdr:colOff>326891</xdr:colOff>
      <xdr:row>166</xdr:row>
      <xdr:rowOff>149</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314" name="Ink 313">
              <a:extLst>
                <a:ext uri="{FF2B5EF4-FFF2-40B4-BE49-F238E27FC236}">
                  <a16:creationId xmlns:a16="http://schemas.microsoft.com/office/drawing/2014/main" id="{30F8A494-8502-761B-2DFB-F7022DAC7FFC}"/>
                </a:ext>
              </a:extLst>
            </xdr14:cNvPr>
            <xdr14:cNvContentPartPr/>
          </xdr14:nvContentPartPr>
          <xdr14:nvPr macro=""/>
          <xdr14:xfrm>
            <a:off x="50568775" y="26957804"/>
            <a:ext cx="1158480" cy="3637800"/>
          </xdr14:xfrm>
        </xdr:contentPart>
      </mc:Choice>
      <mc:Fallback xmlns="">
        <xdr:pic>
          <xdr:nvPicPr>
            <xdr:cNvPr id="314" name="Ink 313">
              <a:extLst>
                <a:ext uri="{FF2B5EF4-FFF2-40B4-BE49-F238E27FC236}">
                  <a16:creationId xmlns:a16="http://schemas.microsoft.com/office/drawing/2014/main" id="{30F8A494-8502-761B-2DFB-F7022DAC7FFC}"/>
                </a:ext>
              </a:extLst>
            </xdr:cNvPr>
            <xdr:cNvPicPr/>
          </xdr:nvPicPr>
          <xdr:blipFill>
            <a:blip xmlns:r="http://schemas.openxmlformats.org/officeDocument/2006/relationships" r:embed="rId75"/>
            <a:stretch>
              <a:fillRect/>
            </a:stretch>
          </xdr:blipFill>
          <xdr:spPr>
            <a:xfrm>
              <a:off x="50562655" y="26951684"/>
              <a:ext cx="1170720" cy="3650040"/>
            </a:xfrm>
            <a:prstGeom prst="rect">
              <a:avLst/>
            </a:prstGeom>
          </xdr:spPr>
        </xdr:pic>
      </mc:Fallback>
    </mc:AlternateContent>
    <xdr:clientData/>
  </xdr:twoCellAnchor>
  <xdr:twoCellAnchor editAs="oneCell">
    <xdr:from>
      <xdr:col>84</xdr:col>
      <xdr:colOff>150491</xdr:colOff>
      <xdr:row>133</xdr:row>
      <xdr:rowOff>164789</xdr:rowOff>
    </xdr:from>
    <xdr:to>
      <xdr:col>86</xdr:col>
      <xdr:colOff>479353</xdr:colOff>
      <xdr:row>144</xdr:row>
      <xdr:rowOff>96589</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322" name="Ink 321">
              <a:extLst>
                <a:ext uri="{FF2B5EF4-FFF2-40B4-BE49-F238E27FC236}">
                  <a16:creationId xmlns:a16="http://schemas.microsoft.com/office/drawing/2014/main" id="{91FDD6C3-2982-BA09-740E-9B2B056473B2}"/>
                </a:ext>
              </a:extLst>
            </xdr14:cNvPr>
            <xdr14:cNvContentPartPr/>
          </xdr14:nvContentPartPr>
          <xdr14:nvPr macro=""/>
          <xdr14:xfrm>
            <a:off x="51550855" y="24664244"/>
            <a:ext cx="1552680" cy="1963800"/>
          </xdr14:xfrm>
        </xdr:contentPart>
      </mc:Choice>
      <mc:Fallback xmlns="">
        <xdr:pic>
          <xdr:nvPicPr>
            <xdr:cNvPr id="322" name="Ink 321">
              <a:extLst>
                <a:ext uri="{FF2B5EF4-FFF2-40B4-BE49-F238E27FC236}">
                  <a16:creationId xmlns:a16="http://schemas.microsoft.com/office/drawing/2014/main" id="{91FDD6C3-2982-BA09-740E-9B2B056473B2}"/>
                </a:ext>
              </a:extLst>
            </xdr:cNvPr>
            <xdr:cNvPicPr/>
          </xdr:nvPicPr>
          <xdr:blipFill>
            <a:blip xmlns:r="http://schemas.openxmlformats.org/officeDocument/2006/relationships" r:embed="rId77"/>
            <a:stretch>
              <a:fillRect/>
            </a:stretch>
          </xdr:blipFill>
          <xdr:spPr>
            <a:xfrm>
              <a:off x="51544735" y="24658124"/>
              <a:ext cx="1564920" cy="1976040"/>
            </a:xfrm>
            <a:prstGeom prst="rect">
              <a:avLst/>
            </a:prstGeom>
          </xdr:spPr>
        </xdr:pic>
      </mc:Fallback>
    </mc:AlternateContent>
    <xdr:clientData/>
  </xdr:twoCellAnchor>
  <xdr:twoCellAnchor editAs="oneCell">
    <xdr:from>
      <xdr:col>84</xdr:col>
      <xdr:colOff>611651</xdr:colOff>
      <xdr:row>146</xdr:row>
      <xdr:rowOff>97575</xdr:rowOff>
    </xdr:from>
    <xdr:to>
      <xdr:col>90</xdr:col>
      <xdr:colOff>385757</xdr:colOff>
      <xdr:row>166</xdr:row>
      <xdr:rowOff>46229</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335" name="Ink 334">
              <a:extLst>
                <a:ext uri="{FF2B5EF4-FFF2-40B4-BE49-F238E27FC236}">
                  <a16:creationId xmlns:a16="http://schemas.microsoft.com/office/drawing/2014/main" id="{0710CC2B-C93C-69A9-A774-92012AD3AE6C}"/>
                </a:ext>
              </a:extLst>
            </xdr14:cNvPr>
            <xdr14:cNvContentPartPr/>
          </xdr14:nvContentPartPr>
          <xdr14:nvPr macro=""/>
          <xdr14:xfrm>
            <a:off x="52012015" y="26998484"/>
            <a:ext cx="3445560" cy="3643200"/>
          </xdr14:xfrm>
        </xdr:contentPart>
      </mc:Choice>
      <mc:Fallback xmlns="">
        <xdr:pic>
          <xdr:nvPicPr>
            <xdr:cNvPr id="335" name="Ink 334">
              <a:extLst>
                <a:ext uri="{FF2B5EF4-FFF2-40B4-BE49-F238E27FC236}">
                  <a16:creationId xmlns:a16="http://schemas.microsoft.com/office/drawing/2014/main" id="{0710CC2B-C93C-69A9-A774-92012AD3AE6C}"/>
                </a:ext>
              </a:extLst>
            </xdr:cNvPr>
            <xdr:cNvPicPr/>
          </xdr:nvPicPr>
          <xdr:blipFill>
            <a:blip xmlns:r="http://schemas.openxmlformats.org/officeDocument/2006/relationships" r:embed="rId79"/>
            <a:stretch>
              <a:fillRect/>
            </a:stretch>
          </xdr:blipFill>
          <xdr:spPr>
            <a:xfrm>
              <a:off x="52005895" y="26992364"/>
              <a:ext cx="3457800" cy="3655440"/>
            </a:xfrm>
            <a:prstGeom prst="rect">
              <a:avLst/>
            </a:prstGeom>
          </xdr:spPr>
        </xdr:pic>
      </mc:Fallback>
    </mc:AlternateContent>
    <xdr:clientData/>
  </xdr:twoCellAnchor>
  <xdr:twoCellAnchor editAs="oneCell">
    <xdr:from>
      <xdr:col>65</xdr:col>
      <xdr:colOff>340644</xdr:colOff>
      <xdr:row>137</xdr:row>
      <xdr:rowOff>121040</xdr:rowOff>
    </xdr:from>
    <xdr:to>
      <xdr:col>66</xdr:col>
      <xdr:colOff>301495</xdr:colOff>
      <xdr:row>158</xdr:row>
      <xdr:rowOff>175488</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336" name="Ink 335">
              <a:extLst>
                <a:ext uri="{FF2B5EF4-FFF2-40B4-BE49-F238E27FC236}">
                  <a16:creationId xmlns:a16="http://schemas.microsoft.com/office/drawing/2014/main" id="{A1CCD7D6-4F7E-0531-AD08-22D633DA3F5E}"/>
                </a:ext>
              </a:extLst>
            </xdr14:cNvPr>
            <xdr14:cNvContentPartPr/>
          </xdr14:nvContentPartPr>
          <xdr14:nvPr macro=""/>
          <xdr14:xfrm>
            <a:off x="40114735" y="25359404"/>
            <a:ext cx="572760" cy="3933720"/>
          </xdr14:xfrm>
        </xdr:contentPart>
      </mc:Choice>
      <mc:Fallback xmlns="">
        <xdr:pic>
          <xdr:nvPicPr>
            <xdr:cNvPr id="336" name="Ink 335">
              <a:extLst>
                <a:ext uri="{FF2B5EF4-FFF2-40B4-BE49-F238E27FC236}">
                  <a16:creationId xmlns:a16="http://schemas.microsoft.com/office/drawing/2014/main" id="{A1CCD7D6-4F7E-0531-AD08-22D633DA3F5E}"/>
                </a:ext>
              </a:extLst>
            </xdr:cNvPr>
            <xdr:cNvPicPr/>
          </xdr:nvPicPr>
          <xdr:blipFill>
            <a:blip xmlns:r="http://schemas.openxmlformats.org/officeDocument/2006/relationships" r:embed="rId81"/>
            <a:stretch>
              <a:fillRect/>
            </a:stretch>
          </xdr:blipFill>
          <xdr:spPr>
            <a:xfrm>
              <a:off x="40105735" y="25350404"/>
              <a:ext cx="590400" cy="3951360"/>
            </a:xfrm>
            <a:prstGeom prst="rect">
              <a:avLst/>
            </a:prstGeom>
          </xdr:spPr>
        </xdr:pic>
      </mc:Fallback>
    </mc:AlternateContent>
    <xdr:clientData/>
  </xdr:twoCellAnchor>
  <xdr:twoCellAnchor editAs="oneCell">
    <xdr:from>
      <xdr:col>73</xdr:col>
      <xdr:colOff>495811</xdr:colOff>
      <xdr:row>112</xdr:row>
      <xdr:rowOff>107462</xdr:rowOff>
    </xdr:from>
    <xdr:to>
      <xdr:col>90</xdr:col>
      <xdr:colOff>242837</xdr:colOff>
      <xdr:row>115</xdr:row>
      <xdr:rowOff>81400</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337" name="Ink 336">
              <a:extLst>
                <a:ext uri="{FF2B5EF4-FFF2-40B4-BE49-F238E27FC236}">
                  <a16:creationId xmlns:a16="http://schemas.microsoft.com/office/drawing/2014/main" id="{ADD91120-340C-EAEC-3F9D-8D556B455102}"/>
                </a:ext>
              </a:extLst>
            </xdr14:cNvPr>
            <xdr14:cNvContentPartPr/>
          </xdr14:nvContentPartPr>
          <xdr14:nvPr macro=""/>
          <xdr14:xfrm>
            <a:off x="45165175" y="20727644"/>
            <a:ext cx="10149480" cy="528120"/>
          </xdr14:xfrm>
        </xdr:contentPart>
      </mc:Choice>
      <mc:Fallback xmlns="">
        <xdr:pic>
          <xdr:nvPicPr>
            <xdr:cNvPr id="337" name="Ink 336">
              <a:extLst>
                <a:ext uri="{FF2B5EF4-FFF2-40B4-BE49-F238E27FC236}">
                  <a16:creationId xmlns:a16="http://schemas.microsoft.com/office/drawing/2014/main" id="{ADD91120-340C-EAEC-3F9D-8D556B455102}"/>
                </a:ext>
              </a:extLst>
            </xdr:cNvPr>
            <xdr:cNvPicPr/>
          </xdr:nvPicPr>
          <xdr:blipFill>
            <a:blip xmlns:r="http://schemas.openxmlformats.org/officeDocument/2006/relationships" r:embed="rId83"/>
            <a:stretch>
              <a:fillRect/>
            </a:stretch>
          </xdr:blipFill>
          <xdr:spPr>
            <a:xfrm>
              <a:off x="45156535" y="20718644"/>
              <a:ext cx="10167120" cy="545760"/>
            </a:xfrm>
            <a:prstGeom prst="rect">
              <a:avLst/>
            </a:prstGeom>
          </xdr:spPr>
        </xdr:pic>
      </mc:Fallback>
    </mc:AlternateContent>
    <xdr:clientData/>
  </xdr:twoCellAnchor>
  <xdr:twoCellAnchor editAs="oneCell">
    <xdr:from>
      <xdr:col>65</xdr:col>
      <xdr:colOff>115284</xdr:colOff>
      <xdr:row>113</xdr:row>
      <xdr:rowOff>17415</xdr:rowOff>
    </xdr:from>
    <xdr:to>
      <xdr:col>69</xdr:col>
      <xdr:colOff>128608</xdr:colOff>
      <xdr:row>126</xdr:row>
      <xdr:rowOff>67200</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344" name="Ink 343">
              <a:extLst>
                <a:ext uri="{FF2B5EF4-FFF2-40B4-BE49-F238E27FC236}">
                  <a16:creationId xmlns:a16="http://schemas.microsoft.com/office/drawing/2014/main" id="{72DA8B12-26FF-7BB6-1F2F-BCEC42AFDD27}"/>
                </a:ext>
              </a:extLst>
            </xdr14:cNvPr>
            <xdr14:cNvContentPartPr/>
          </xdr14:nvContentPartPr>
          <xdr14:nvPr macro=""/>
          <xdr14:xfrm>
            <a:off x="39889375" y="20822324"/>
            <a:ext cx="2460960" cy="2451240"/>
          </xdr14:xfrm>
        </xdr:contentPart>
      </mc:Choice>
      <mc:Fallback xmlns="">
        <xdr:pic>
          <xdr:nvPicPr>
            <xdr:cNvPr id="344" name="Ink 343">
              <a:extLst>
                <a:ext uri="{FF2B5EF4-FFF2-40B4-BE49-F238E27FC236}">
                  <a16:creationId xmlns:a16="http://schemas.microsoft.com/office/drawing/2014/main" id="{72DA8B12-26FF-7BB6-1F2F-BCEC42AFDD27}"/>
                </a:ext>
              </a:extLst>
            </xdr:cNvPr>
            <xdr:cNvPicPr/>
          </xdr:nvPicPr>
          <xdr:blipFill>
            <a:blip xmlns:r="http://schemas.openxmlformats.org/officeDocument/2006/relationships" r:embed="rId85"/>
            <a:stretch>
              <a:fillRect/>
            </a:stretch>
          </xdr:blipFill>
          <xdr:spPr>
            <a:xfrm>
              <a:off x="39880735" y="20813684"/>
              <a:ext cx="2478600" cy="2468880"/>
            </a:xfrm>
            <a:prstGeom prst="rect">
              <a:avLst/>
            </a:prstGeom>
          </xdr:spPr>
        </xdr:pic>
      </mc:Fallback>
    </mc:AlternateContent>
    <xdr:clientData/>
  </xdr:twoCellAnchor>
  <xdr:twoCellAnchor editAs="oneCell">
    <xdr:from>
      <xdr:col>85</xdr:col>
      <xdr:colOff>473862</xdr:colOff>
      <xdr:row>168</xdr:row>
      <xdr:rowOff>22375</xdr:rowOff>
    </xdr:from>
    <xdr:to>
      <xdr:col>91</xdr:col>
      <xdr:colOff>173808</xdr:colOff>
      <xdr:row>170</xdr:row>
      <xdr:rowOff>111560</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345" name="Ink 344">
              <a:extLst>
                <a:ext uri="{FF2B5EF4-FFF2-40B4-BE49-F238E27FC236}">
                  <a16:creationId xmlns:a16="http://schemas.microsoft.com/office/drawing/2014/main" id="{9339751A-4139-2BED-17FC-98C66052ED37}"/>
                </a:ext>
              </a:extLst>
            </xdr14:cNvPr>
            <xdr14:cNvContentPartPr/>
          </xdr14:nvContentPartPr>
          <xdr14:nvPr macro=""/>
          <xdr14:xfrm>
            <a:off x="52486135" y="30987284"/>
            <a:ext cx="3371400" cy="458640"/>
          </xdr14:xfrm>
        </xdr:contentPart>
      </mc:Choice>
      <mc:Fallback xmlns="">
        <xdr:pic>
          <xdr:nvPicPr>
            <xdr:cNvPr id="345" name="Ink 344">
              <a:extLst>
                <a:ext uri="{FF2B5EF4-FFF2-40B4-BE49-F238E27FC236}">
                  <a16:creationId xmlns:a16="http://schemas.microsoft.com/office/drawing/2014/main" id="{9339751A-4139-2BED-17FC-98C66052ED37}"/>
                </a:ext>
              </a:extLst>
            </xdr:cNvPr>
            <xdr:cNvPicPr/>
          </xdr:nvPicPr>
          <xdr:blipFill>
            <a:blip xmlns:r="http://schemas.openxmlformats.org/officeDocument/2006/relationships" r:embed="rId87"/>
            <a:stretch>
              <a:fillRect/>
            </a:stretch>
          </xdr:blipFill>
          <xdr:spPr>
            <a:xfrm>
              <a:off x="52477460" y="30978378"/>
              <a:ext cx="3389112" cy="476822"/>
            </a:xfrm>
            <a:prstGeom prst="rect">
              <a:avLst/>
            </a:prstGeom>
          </xdr:spPr>
        </xdr:pic>
      </mc:Fallback>
    </mc:AlternateContent>
    <xdr:clientData/>
  </xdr:twoCellAnchor>
  <xdr:twoCellAnchor editAs="oneCell">
    <xdr:from>
      <xdr:col>92</xdr:col>
      <xdr:colOff>165619</xdr:colOff>
      <xdr:row>161</xdr:row>
      <xdr:rowOff>167091</xdr:rowOff>
    </xdr:from>
    <xdr:to>
      <xdr:col>94</xdr:col>
      <xdr:colOff>275240</xdr:colOff>
      <xdr:row>167</xdr:row>
      <xdr:rowOff>46567</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349" name="Ink 348">
              <a:extLst>
                <a:ext uri="{FF2B5EF4-FFF2-40B4-BE49-F238E27FC236}">
                  <a16:creationId xmlns:a16="http://schemas.microsoft.com/office/drawing/2014/main" id="{FCBBCBEE-8A15-12FC-AAB8-B01F95D2D6A9}"/>
                </a:ext>
              </a:extLst>
            </xdr14:cNvPr>
            <xdr14:cNvContentPartPr/>
          </xdr14:nvContentPartPr>
          <xdr14:nvPr macro=""/>
          <xdr14:xfrm>
            <a:off x="56461255" y="29838909"/>
            <a:ext cx="1333440" cy="987840"/>
          </xdr14:xfrm>
        </xdr:contentPart>
      </mc:Choice>
      <mc:Fallback xmlns="">
        <xdr:pic>
          <xdr:nvPicPr>
            <xdr:cNvPr id="349" name="Ink 348">
              <a:extLst>
                <a:ext uri="{FF2B5EF4-FFF2-40B4-BE49-F238E27FC236}">
                  <a16:creationId xmlns:a16="http://schemas.microsoft.com/office/drawing/2014/main" id="{FCBBCBEE-8A15-12FC-AAB8-B01F95D2D6A9}"/>
                </a:ext>
              </a:extLst>
            </xdr:cNvPr>
            <xdr:cNvPicPr/>
          </xdr:nvPicPr>
          <xdr:blipFill>
            <a:blip xmlns:r="http://schemas.openxmlformats.org/officeDocument/2006/relationships" r:embed="rId89"/>
            <a:stretch>
              <a:fillRect/>
            </a:stretch>
          </xdr:blipFill>
          <xdr:spPr>
            <a:xfrm>
              <a:off x="56452615" y="29830269"/>
              <a:ext cx="1351080" cy="1005480"/>
            </a:xfrm>
            <a:prstGeom prst="rect">
              <a:avLst/>
            </a:prstGeom>
          </xdr:spPr>
        </xdr:pic>
      </mc:Fallback>
    </mc:AlternateContent>
    <xdr:clientData/>
  </xdr:twoCellAnchor>
  <xdr:twoCellAnchor editAs="oneCell">
    <xdr:from>
      <xdr:col>5</xdr:col>
      <xdr:colOff>398953</xdr:colOff>
      <xdr:row>115</xdr:row>
      <xdr:rowOff>70119</xdr:rowOff>
    </xdr:from>
    <xdr:to>
      <xdr:col>5</xdr:col>
      <xdr:colOff>408673</xdr:colOff>
      <xdr:row>115</xdr:row>
      <xdr:rowOff>70479</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350" name="Ink 349">
              <a:extLst>
                <a:ext uri="{FF2B5EF4-FFF2-40B4-BE49-F238E27FC236}">
                  <a16:creationId xmlns:a16="http://schemas.microsoft.com/office/drawing/2014/main" id="{FC62AA7F-3BE4-92AA-464D-A3E1B5F620C5}"/>
                </a:ext>
              </a:extLst>
            </xdr14:cNvPr>
            <xdr14:cNvContentPartPr/>
          </xdr14:nvContentPartPr>
          <xdr14:nvPr macro=""/>
          <xdr14:xfrm>
            <a:off x="3456360" y="21636600"/>
            <a:ext cx="9720" cy="360"/>
          </xdr14:xfrm>
        </xdr:contentPart>
      </mc:Choice>
      <mc:Fallback xmlns="">
        <xdr:pic>
          <xdr:nvPicPr>
            <xdr:cNvPr id="350" name="Ink 349">
              <a:extLst>
                <a:ext uri="{FF2B5EF4-FFF2-40B4-BE49-F238E27FC236}">
                  <a16:creationId xmlns:a16="http://schemas.microsoft.com/office/drawing/2014/main" id="{FC62AA7F-3BE4-92AA-464D-A3E1B5F620C5}"/>
                </a:ext>
              </a:extLst>
            </xdr:cNvPr>
            <xdr:cNvPicPr/>
          </xdr:nvPicPr>
          <xdr:blipFill>
            <a:blip xmlns:r="http://schemas.openxmlformats.org/officeDocument/2006/relationships" r:embed="rId91"/>
            <a:stretch>
              <a:fillRect/>
            </a:stretch>
          </xdr:blipFill>
          <xdr:spPr>
            <a:xfrm>
              <a:off x="3447720" y="21627960"/>
              <a:ext cx="27360" cy="18000"/>
            </a:xfrm>
            <a:prstGeom prst="rect">
              <a:avLst/>
            </a:prstGeom>
          </xdr:spPr>
        </xdr:pic>
      </mc:Fallback>
    </mc:AlternateContent>
    <xdr:clientData/>
  </xdr:twoCellAnchor>
  <xdr:twoCellAnchor editAs="oneCell">
    <xdr:from>
      <xdr:col>89</xdr:col>
      <xdr:colOff>71564</xdr:colOff>
      <xdr:row>170</xdr:row>
      <xdr:rowOff>115480</xdr:rowOff>
    </xdr:from>
    <xdr:to>
      <xdr:col>95</xdr:col>
      <xdr:colOff>400069</xdr:colOff>
      <xdr:row>182</xdr:row>
      <xdr:rowOff>177913</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374" name="Ink 373">
              <a:extLst>
                <a:ext uri="{FF2B5EF4-FFF2-40B4-BE49-F238E27FC236}">
                  <a16:creationId xmlns:a16="http://schemas.microsoft.com/office/drawing/2014/main" id="{6BDDB5E3-87F3-9893-ABE2-24C86BDB93B2}"/>
                </a:ext>
              </a:extLst>
            </xdr14:cNvPr>
            <xdr14:cNvContentPartPr/>
          </xdr14:nvContentPartPr>
          <xdr14:nvPr macro=""/>
          <xdr14:xfrm>
            <a:off x="54531473" y="31449844"/>
            <a:ext cx="3999960" cy="2279160"/>
          </xdr14:xfrm>
        </xdr:contentPart>
      </mc:Choice>
      <mc:Fallback xmlns="">
        <xdr:pic>
          <xdr:nvPicPr>
            <xdr:cNvPr id="374" name="Ink 373">
              <a:extLst>
                <a:ext uri="{FF2B5EF4-FFF2-40B4-BE49-F238E27FC236}">
                  <a16:creationId xmlns:a16="http://schemas.microsoft.com/office/drawing/2014/main" id="{6BDDB5E3-87F3-9893-ABE2-24C86BDB93B2}"/>
                </a:ext>
              </a:extLst>
            </xdr:cNvPr>
            <xdr:cNvPicPr/>
          </xdr:nvPicPr>
          <xdr:blipFill>
            <a:blip xmlns:r="http://schemas.openxmlformats.org/officeDocument/2006/relationships" r:embed="rId93"/>
            <a:stretch>
              <a:fillRect/>
            </a:stretch>
          </xdr:blipFill>
          <xdr:spPr>
            <a:xfrm>
              <a:off x="54522473" y="31440844"/>
              <a:ext cx="4017600" cy="2296800"/>
            </a:xfrm>
            <a:prstGeom prst="rect">
              <a:avLst/>
            </a:prstGeom>
          </xdr:spPr>
        </xdr:pic>
      </mc:Fallback>
    </mc:AlternateContent>
    <xdr:clientData/>
  </xdr:twoCellAnchor>
  <xdr:twoCellAnchor editAs="oneCell">
    <xdr:from>
      <xdr:col>83</xdr:col>
      <xdr:colOff>562418</xdr:colOff>
      <xdr:row>174</xdr:row>
      <xdr:rowOff>166051</xdr:rowOff>
    </xdr:from>
    <xdr:to>
      <xdr:col>87</xdr:col>
      <xdr:colOff>336702</xdr:colOff>
      <xdr:row>182</xdr:row>
      <xdr:rowOff>47593</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375" name="Ink 374">
              <a:extLst>
                <a:ext uri="{FF2B5EF4-FFF2-40B4-BE49-F238E27FC236}">
                  <a16:creationId xmlns:a16="http://schemas.microsoft.com/office/drawing/2014/main" id="{79254978-09A7-9909-3A90-2F1477AB17C7}"/>
                </a:ext>
              </a:extLst>
            </xdr14:cNvPr>
            <xdr14:cNvContentPartPr/>
          </xdr14:nvContentPartPr>
          <xdr14:nvPr macro=""/>
          <xdr14:xfrm>
            <a:off x="51350873" y="32239324"/>
            <a:ext cx="2221920" cy="1359360"/>
          </xdr14:xfrm>
        </xdr:contentPart>
      </mc:Choice>
      <mc:Fallback xmlns="">
        <xdr:pic>
          <xdr:nvPicPr>
            <xdr:cNvPr id="375" name="Ink 374">
              <a:extLst>
                <a:ext uri="{FF2B5EF4-FFF2-40B4-BE49-F238E27FC236}">
                  <a16:creationId xmlns:a16="http://schemas.microsoft.com/office/drawing/2014/main" id="{79254978-09A7-9909-3A90-2F1477AB17C7}"/>
                </a:ext>
              </a:extLst>
            </xdr:cNvPr>
            <xdr:cNvPicPr/>
          </xdr:nvPicPr>
          <xdr:blipFill>
            <a:blip xmlns:r="http://schemas.openxmlformats.org/officeDocument/2006/relationships" r:embed="rId95"/>
            <a:stretch>
              <a:fillRect/>
            </a:stretch>
          </xdr:blipFill>
          <xdr:spPr>
            <a:xfrm>
              <a:off x="51341873" y="32230684"/>
              <a:ext cx="2239560" cy="1377000"/>
            </a:xfrm>
            <a:prstGeom prst="rect">
              <a:avLst/>
            </a:prstGeom>
          </xdr:spPr>
        </xdr:pic>
      </mc:Fallback>
    </mc:AlternateContent>
    <xdr:clientData/>
  </xdr:twoCellAnchor>
  <xdr:twoCellAnchor editAs="oneCell">
    <xdr:from>
      <xdr:col>89</xdr:col>
      <xdr:colOff>303044</xdr:colOff>
      <xdr:row>180</xdr:row>
      <xdr:rowOff>168</xdr:rowOff>
    </xdr:from>
    <xdr:to>
      <xdr:col>96</xdr:col>
      <xdr:colOff>411320</xdr:colOff>
      <xdr:row>189</xdr:row>
      <xdr:rowOff>73902</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385" name="Ink 384">
              <a:extLst>
                <a:ext uri="{FF2B5EF4-FFF2-40B4-BE49-F238E27FC236}">
                  <a16:creationId xmlns:a16="http://schemas.microsoft.com/office/drawing/2014/main" id="{5BEBD823-D317-0D13-7D77-A7A37BF80940}"/>
                </a:ext>
              </a:extLst>
            </xdr14:cNvPr>
            <xdr14:cNvContentPartPr/>
          </xdr14:nvContentPartPr>
          <xdr14:nvPr macro=""/>
          <xdr14:xfrm>
            <a:off x="54762953" y="33181804"/>
            <a:ext cx="4391640" cy="1736280"/>
          </xdr14:xfrm>
        </xdr:contentPart>
      </mc:Choice>
      <mc:Fallback xmlns="">
        <xdr:pic>
          <xdr:nvPicPr>
            <xdr:cNvPr id="385" name="Ink 384">
              <a:extLst>
                <a:ext uri="{FF2B5EF4-FFF2-40B4-BE49-F238E27FC236}">
                  <a16:creationId xmlns:a16="http://schemas.microsoft.com/office/drawing/2014/main" id="{5BEBD823-D317-0D13-7D77-A7A37BF80940}"/>
                </a:ext>
              </a:extLst>
            </xdr:cNvPr>
            <xdr:cNvPicPr/>
          </xdr:nvPicPr>
          <xdr:blipFill>
            <a:blip xmlns:r="http://schemas.openxmlformats.org/officeDocument/2006/relationships" r:embed="rId97"/>
            <a:stretch>
              <a:fillRect/>
            </a:stretch>
          </xdr:blipFill>
          <xdr:spPr>
            <a:xfrm>
              <a:off x="54754313" y="33173164"/>
              <a:ext cx="4409280" cy="1753920"/>
            </a:xfrm>
            <a:prstGeom prst="rect">
              <a:avLst/>
            </a:prstGeom>
          </xdr:spPr>
        </xdr:pic>
      </mc:Fallback>
    </mc:AlternateContent>
    <xdr:clientData/>
  </xdr:twoCellAnchor>
  <xdr:twoCellAnchor editAs="oneCell">
    <xdr:from>
      <xdr:col>16</xdr:col>
      <xdr:colOff>459375</xdr:colOff>
      <xdr:row>53</xdr:row>
      <xdr:rowOff>100160</xdr:rowOff>
    </xdr:from>
    <xdr:to>
      <xdr:col>17</xdr:col>
      <xdr:colOff>238425</xdr:colOff>
      <xdr:row>58</xdr:row>
      <xdr:rowOff>26483</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389" name="Ink 388">
              <a:extLst>
                <a:ext uri="{FF2B5EF4-FFF2-40B4-BE49-F238E27FC236}">
                  <a16:creationId xmlns:a16="http://schemas.microsoft.com/office/drawing/2014/main" id="{AC3E4CDC-00E7-CE41-7235-971C33485BC3}"/>
                </a:ext>
              </a:extLst>
            </xdr14:cNvPr>
            <xdr14:cNvContentPartPr/>
          </xdr14:nvContentPartPr>
          <xdr14:nvPr macro=""/>
          <xdr14:xfrm>
            <a:off x="10249920" y="9890705"/>
            <a:ext cx="390960" cy="849960"/>
          </xdr14:xfrm>
        </xdr:contentPart>
      </mc:Choice>
      <mc:Fallback xmlns="">
        <xdr:pic>
          <xdr:nvPicPr>
            <xdr:cNvPr id="389" name="Ink 388">
              <a:extLst>
                <a:ext uri="{FF2B5EF4-FFF2-40B4-BE49-F238E27FC236}">
                  <a16:creationId xmlns:a16="http://schemas.microsoft.com/office/drawing/2014/main" id="{AC3E4CDC-00E7-CE41-7235-971C33485BC3}"/>
                </a:ext>
              </a:extLst>
            </xdr:cNvPr>
            <xdr:cNvPicPr/>
          </xdr:nvPicPr>
          <xdr:blipFill>
            <a:blip xmlns:r="http://schemas.openxmlformats.org/officeDocument/2006/relationships" r:embed="rId99"/>
            <a:stretch>
              <a:fillRect/>
            </a:stretch>
          </xdr:blipFill>
          <xdr:spPr>
            <a:xfrm>
              <a:off x="10240920" y="9881705"/>
              <a:ext cx="408600" cy="867600"/>
            </a:xfrm>
            <a:prstGeom prst="rect">
              <a:avLst/>
            </a:prstGeom>
          </xdr:spPr>
        </xdr:pic>
      </mc:Fallback>
    </mc:AlternateContent>
    <xdr:clientData/>
  </xdr:twoCellAnchor>
  <xdr:twoCellAnchor editAs="oneCell">
    <xdr:from>
      <xdr:col>19</xdr:col>
      <xdr:colOff>274967</xdr:colOff>
      <xdr:row>53</xdr:row>
      <xdr:rowOff>119240</xdr:rowOff>
    </xdr:from>
    <xdr:to>
      <xdr:col>20</xdr:col>
      <xdr:colOff>70578</xdr:colOff>
      <xdr:row>57</xdr:row>
      <xdr:rowOff>103570</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390" name="Ink 389">
              <a:extLst>
                <a:ext uri="{FF2B5EF4-FFF2-40B4-BE49-F238E27FC236}">
                  <a16:creationId xmlns:a16="http://schemas.microsoft.com/office/drawing/2014/main" id="{A15BF409-D5A3-0693-6A77-C2859CED53B1}"/>
                </a:ext>
              </a:extLst>
            </xdr14:cNvPr>
            <xdr14:cNvContentPartPr/>
          </xdr14:nvContentPartPr>
          <xdr14:nvPr macro=""/>
          <xdr14:xfrm>
            <a:off x="11901240" y="9909785"/>
            <a:ext cx="407520" cy="723240"/>
          </xdr14:xfrm>
        </xdr:contentPart>
      </mc:Choice>
      <mc:Fallback xmlns="">
        <xdr:pic>
          <xdr:nvPicPr>
            <xdr:cNvPr id="390" name="Ink 389">
              <a:extLst>
                <a:ext uri="{FF2B5EF4-FFF2-40B4-BE49-F238E27FC236}">
                  <a16:creationId xmlns:a16="http://schemas.microsoft.com/office/drawing/2014/main" id="{A15BF409-D5A3-0693-6A77-C2859CED53B1}"/>
                </a:ext>
              </a:extLst>
            </xdr:cNvPr>
            <xdr:cNvPicPr/>
          </xdr:nvPicPr>
          <xdr:blipFill>
            <a:blip xmlns:r="http://schemas.openxmlformats.org/officeDocument/2006/relationships" r:embed="rId101"/>
            <a:stretch>
              <a:fillRect/>
            </a:stretch>
          </xdr:blipFill>
          <xdr:spPr>
            <a:xfrm>
              <a:off x="11892240" y="9901145"/>
              <a:ext cx="425160" cy="740880"/>
            </a:xfrm>
            <a:prstGeom prst="rect">
              <a:avLst/>
            </a:prstGeom>
          </xdr:spPr>
        </xdr:pic>
      </mc:Fallback>
    </mc:AlternateContent>
    <xdr:clientData/>
  </xdr:twoCellAnchor>
  <xdr:twoCellAnchor editAs="oneCell">
    <xdr:from>
      <xdr:col>22</xdr:col>
      <xdr:colOff>429320</xdr:colOff>
      <xdr:row>54</xdr:row>
      <xdr:rowOff>181112</xdr:rowOff>
    </xdr:from>
    <xdr:to>
      <xdr:col>23</xdr:col>
      <xdr:colOff>121971</xdr:colOff>
      <xdr:row>58</xdr:row>
      <xdr:rowOff>11723</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391" name="Ink 390">
              <a:extLst>
                <a:ext uri="{FF2B5EF4-FFF2-40B4-BE49-F238E27FC236}">
                  <a16:creationId xmlns:a16="http://schemas.microsoft.com/office/drawing/2014/main" id="{4C651ED2-D5B3-9CB5-1677-B71F5153A07C}"/>
                </a:ext>
              </a:extLst>
            </xdr14:cNvPr>
            <xdr14:cNvContentPartPr/>
          </xdr14:nvContentPartPr>
          <xdr14:nvPr macro=""/>
          <xdr14:xfrm>
            <a:off x="13891320" y="10156385"/>
            <a:ext cx="304560" cy="569520"/>
          </xdr14:xfrm>
        </xdr:contentPart>
      </mc:Choice>
      <mc:Fallback xmlns="">
        <xdr:pic>
          <xdr:nvPicPr>
            <xdr:cNvPr id="391" name="Ink 390">
              <a:extLst>
                <a:ext uri="{FF2B5EF4-FFF2-40B4-BE49-F238E27FC236}">
                  <a16:creationId xmlns:a16="http://schemas.microsoft.com/office/drawing/2014/main" id="{4C651ED2-D5B3-9CB5-1677-B71F5153A07C}"/>
                </a:ext>
              </a:extLst>
            </xdr:cNvPr>
            <xdr:cNvPicPr/>
          </xdr:nvPicPr>
          <xdr:blipFill>
            <a:blip xmlns:r="http://schemas.openxmlformats.org/officeDocument/2006/relationships" r:embed="rId103"/>
            <a:stretch>
              <a:fillRect/>
            </a:stretch>
          </xdr:blipFill>
          <xdr:spPr>
            <a:xfrm>
              <a:off x="13882680" y="10147385"/>
              <a:ext cx="322200" cy="587160"/>
            </a:xfrm>
            <a:prstGeom prst="rect">
              <a:avLst/>
            </a:prstGeom>
          </xdr:spPr>
        </xdr:pic>
      </mc:Fallback>
    </mc:AlternateContent>
    <xdr:clientData/>
  </xdr:twoCellAnchor>
  <xdr:twoCellAnchor editAs="oneCell">
    <xdr:from>
      <xdr:col>14</xdr:col>
      <xdr:colOff>193513</xdr:colOff>
      <xdr:row>54</xdr:row>
      <xdr:rowOff>90392</xdr:rowOff>
    </xdr:from>
    <xdr:to>
      <xdr:col>14</xdr:col>
      <xdr:colOff>570073</xdr:colOff>
      <xdr:row>58</xdr:row>
      <xdr:rowOff>173003</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392" name="Ink 391">
              <a:extLst>
                <a:ext uri="{FF2B5EF4-FFF2-40B4-BE49-F238E27FC236}">
                  <a16:creationId xmlns:a16="http://schemas.microsoft.com/office/drawing/2014/main" id="{F0A2FAB4-C2A0-015F-1F55-AC632F1E6C45}"/>
                </a:ext>
              </a:extLst>
            </xdr14:cNvPr>
            <xdr14:cNvContentPartPr/>
          </xdr14:nvContentPartPr>
          <xdr14:nvPr macro=""/>
          <xdr14:xfrm>
            <a:off x="8760240" y="10065665"/>
            <a:ext cx="376560" cy="821520"/>
          </xdr14:xfrm>
        </xdr:contentPart>
      </mc:Choice>
      <mc:Fallback xmlns="">
        <xdr:pic>
          <xdr:nvPicPr>
            <xdr:cNvPr id="392" name="Ink 391">
              <a:extLst>
                <a:ext uri="{FF2B5EF4-FFF2-40B4-BE49-F238E27FC236}">
                  <a16:creationId xmlns:a16="http://schemas.microsoft.com/office/drawing/2014/main" id="{F0A2FAB4-C2A0-015F-1F55-AC632F1E6C45}"/>
                </a:ext>
              </a:extLst>
            </xdr:cNvPr>
            <xdr:cNvPicPr/>
          </xdr:nvPicPr>
          <xdr:blipFill>
            <a:blip xmlns:r="http://schemas.openxmlformats.org/officeDocument/2006/relationships" r:embed="rId105"/>
            <a:stretch>
              <a:fillRect/>
            </a:stretch>
          </xdr:blipFill>
          <xdr:spPr>
            <a:xfrm>
              <a:off x="8751600" y="10056665"/>
              <a:ext cx="394200" cy="839160"/>
            </a:xfrm>
            <a:prstGeom prst="rect">
              <a:avLst/>
            </a:prstGeom>
          </xdr:spPr>
        </xdr:pic>
      </mc:Fallback>
    </mc:AlternateContent>
    <xdr:clientData/>
  </xdr:twoCellAnchor>
  <xdr:twoCellAnchor editAs="oneCell">
    <xdr:from>
      <xdr:col>13</xdr:col>
      <xdr:colOff>57342</xdr:colOff>
      <xdr:row>60</xdr:row>
      <xdr:rowOff>103429</xdr:rowOff>
    </xdr:from>
    <xdr:to>
      <xdr:col>13</xdr:col>
      <xdr:colOff>384942</xdr:colOff>
      <xdr:row>61</xdr:row>
      <xdr:rowOff>105901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397" name="Ink 396">
              <a:extLst>
                <a:ext uri="{FF2B5EF4-FFF2-40B4-BE49-F238E27FC236}">
                  <a16:creationId xmlns:a16="http://schemas.microsoft.com/office/drawing/2014/main" id="{AD1B6E12-CA31-CC0C-1F31-4B097A12AFBC}"/>
                </a:ext>
              </a:extLst>
            </xdr14:cNvPr>
            <xdr14:cNvContentPartPr/>
          </xdr14:nvContentPartPr>
          <xdr14:nvPr macro=""/>
          <xdr14:xfrm>
            <a:off x="8012160" y="11187065"/>
            <a:ext cx="327600" cy="187200"/>
          </xdr14:xfrm>
        </xdr:contentPart>
      </mc:Choice>
      <mc:Fallback xmlns="">
        <xdr:pic>
          <xdr:nvPicPr>
            <xdr:cNvPr id="397" name="Ink 396">
              <a:extLst>
                <a:ext uri="{FF2B5EF4-FFF2-40B4-BE49-F238E27FC236}">
                  <a16:creationId xmlns:a16="http://schemas.microsoft.com/office/drawing/2014/main" id="{AD1B6E12-CA31-CC0C-1F31-4B097A12AFBC}"/>
                </a:ext>
              </a:extLst>
            </xdr:cNvPr>
            <xdr:cNvPicPr/>
          </xdr:nvPicPr>
          <xdr:blipFill>
            <a:blip xmlns:r="http://schemas.openxmlformats.org/officeDocument/2006/relationships" r:embed="rId107"/>
            <a:stretch>
              <a:fillRect/>
            </a:stretch>
          </xdr:blipFill>
          <xdr:spPr>
            <a:xfrm>
              <a:off x="8003520" y="11178065"/>
              <a:ext cx="345240" cy="204840"/>
            </a:xfrm>
            <a:prstGeom prst="rect">
              <a:avLst/>
            </a:prstGeom>
          </xdr:spPr>
        </xdr:pic>
      </mc:Fallback>
    </mc:AlternateContent>
    <xdr:clientData/>
  </xdr:twoCellAnchor>
  <xdr:twoCellAnchor editAs="oneCell">
    <xdr:from>
      <xdr:col>13</xdr:col>
      <xdr:colOff>13422</xdr:colOff>
      <xdr:row>64</xdr:row>
      <xdr:rowOff>92080</xdr:rowOff>
    </xdr:from>
    <xdr:to>
      <xdr:col>13</xdr:col>
      <xdr:colOff>302862</xdr:colOff>
      <xdr:row>66</xdr:row>
      <xdr:rowOff>35825</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398" name="Ink 397">
              <a:extLst>
                <a:ext uri="{FF2B5EF4-FFF2-40B4-BE49-F238E27FC236}">
                  <a16:creationId xmlns:a16="http://schemas.microsoft.com/office/drawing/2014/main" id="{2E3571AC-1EE8-51D9-1FAE-F44B5C1311FC}"/>
                </a:ext>
              </a:extLst>
            </xdr14:cNvPr>
            <xdr14:cNvContentPartPr/>
          </xdr14:nvContentPartPr>
          <xdr14:nvPr macro=""/>
          <xdr14:xfrm>
            <a:off x="7968240" y="11914625"/>
            <a:ext cx="289440" cy="313200"/>
          </xdr14:xfrm>
        </xdr:contentPart>
      </mc:Choice>
      <mc:Fallback xmlns="">
        <xdr:pic>
          <xdr:nvPicPr>
            <xdr:cNvPr id="398" name="Ink 397">
              <a:extLst>
                <a:ext uri="{FF2B5EF4-FFF2-40B4-BE49-F238E27FC236}">
                  <a16:creationId xmlns:a16="http://schemas.microsoft.com/office/drawing/2014/main" id="{2E3571AC-1EE8-51D9-1FAE-F44B5C1311FC}"/>
                </a:ext>
              </a:extLst>
            </xdr:cNvPr>
            <xdr:cNvPicPr/>
          </xdr:nvPicPr>
          <xdr:blipFill>
            <a:blip xmlns:r="http://schemas.openxmlformats.org/officeDocument/2006/relationships" r:embed="rId109"/>
            <a:stretch>
              <a:fillRect/>
            </a:stretch>
          </xdr:blipFill>
          <xdr:spPr>
            <a:xfrm>
              <a:off x="7959600" y="11905985"/>
              <a:ext cx="307080" cy="330840"/>
            </a:xfrm>
            <a:prstGeom prst="rect">
              <a:avLst/>
            </a:prstGeom>
          </xdr:spPr>
        </xdr:pic>
      </mc:Fallback>
    </mc:AlternateContent>
    <xdr:clientData/>
  </xdr:twoCellAnchor>
  <xdr:twoCellAnchor editAs="oneCell">
    <xdr:from>
      <xdr:col>13</xdr:col>
      <xdr:colOff>27102</xdr:colOff>
      <xdr:row>68</xdr:row>
      <xdr:rowOff>11763</xdr:rowOff>
    </xdr:from>
    <xdr:to>
      <xdr:col>13</xdr:col>
      <xdr:colOff>387102</xdr:colOff>
      <xdr:row>69</xdr:row>
      <xdr:rowOff>123676</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401" name="Ink 400">
              <a:extLst>
                <a:ext uri="{FF2B5EF4-FFF2-40B4-BE49-F238E27FC236}">
                  <a16:creationId xmlns:a16="http://schemas.microsoft.com/office/drawing/2014/main" id="{295A6A9A-BEA8-9621-F8F9-ACFDC0750FEC}"/>
                </a:ext>
              </a:extLst>
            </xdr14:cNvPr>
            <xdr14:cNvContentPartPr/>
          </xdr14:nvContentPartPr>
          <xdr14:nvPr macro=""/>
          <xdr14:xfrm>
            <a:off x="7981920" y="12503945"/>
            <a:ext cx="360000" cy="296640"/>
          </xdr14:xfrm>
        </xdr:contentPart>
      </mc:Choice>
      <mc:Fallback xmlns="">
        <xdr:pic>
          <xdr:nvPicPr>
            <xdr:cNvPr id="401" name="Ink 400">
              <a:extLst>
                <a:ext uri="{FF2B5EF4-FFF2-40B4-BE49-F238E27FC236}">
                  <a16:creationId xmlns:a16="http://schemas.microsoft.com/office/drawing/2014/main" id="{295A6A9A-BEA8-9621-F8F9-ACFDC0750FEC}"/>
                </a:ext>
              </a:extLst>
            </xdr:cNvPr>
            <xdr:cNvPicPr/>
          </xdr:nvPicPr>
          <xdr:blipFill>
            <a:blip xmlns:r="http://schemas.openxmlformats.org/officeDocument/2006/relationships" r:embed="rId111"/>
            <a:stretch>
              <a:fillRect/>
            </a:stretch>
          </xdr:blipFill>
          <xdr:spPr>
            <a:xfrm>
              <a:off x="7973280" y="12494945"/>
              <a:ext cx="377640" cy="314280"/>
            </a:xfrm>
            <a:prstGeom prst="rect">
              <a:avLst/>
            </a:prstGeom>
          </xdr:spPr>
        </xdr:pic>
      </mc:Fallback>
    </mc:AlternateContent>
    <xdr:clientData/>
  </xdr:twoCellAnchor>
  <xdr:twoCellAnchor editAs="oneCell">
    <xdr:from>
      <xdr:col>13</xdr:col>
      <xdr:colOff>18822</xdr:colOff>
      <xdr:row>54</xdr:row>
      <xdr:rowOff>43952</xdr:rowOff>
    </xdr:from>
    <xdr:to>
      <xdr:col>13</xdr:col>
      <xdr:colOff>424542</xdr:colOff>
      <xdr:row>58</xdr:row>
      <xdr:rowOff>85163</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402" name="Ink 401">
              <a:extLst>
                <a:ext uri="{FF2B5EF4-FFF2-40B4-BE49-F238E27FC236}">
                  <a16:creationId xmlns:a16="http://schemas.microsoft.com/office/drawing/2014/main" id="{ADAE42C9-0765-C1D3-224C-925D3DBE97F9}"/>
                </a:ext>
              </a:extLst>
            </xdr14:cNvPr>
            <xdr14:cNvContentPartPr/>
          </xdr14:nvContentPartPr>
          <xdr14:nvPr macro=""/>
          <xdr14:xfrm>
            <a:off x="7973640" y="10019225"/>
            <a:ext cx="405720" cy="780120"/>
          </xdr14:xfrm>
        </xdr:contentPart>
      </mc:Choice>
      <mc:Fallback xmlns="">
        <xdr:pic>
          <xdr:nvPicPr>
            <xdr:cNvPr id="402" name="Ink 401">
              <a:extLst>
                <a:ext uri="{FF2B5EF4-FFF2-40B4-BE49-F238E27FC236}">
                  <a16:creationId xmlns:a16="http://schemas.microsoft.com/office/drawing/2014/main" id="{ADAE42C9-0765-C1D3-224C-925D3DBE97F9}"/>
                </a:ext>
              </a:extLst>
            </xdr:cNvPr>
            <xdr:cNvPicPr/>
          </xdr:nvPicPr>
          <xdr:blipFill>
            <a:blip xmlns:r="http://schemas.openxmlformats.org/officeDocument/2006/relationships" r:embed="rId113"/>
            <a:stretch>
              <a:fillRect/>
            </a:stretch>
          </xdr:blipFill>
          <xdr:spPr>
            <a:xfrm>
              <a:off x="7964640" y="10010585"/>
              <a:ext cx="423360" cy="797760"/>
            </a:xfrm>
            <a:prstGeom prst="rect">
              <a:avLst/>
            </a:prstGeom>
          </xdr:spPr>
        </xdr:pic>
      </mc:Fallback>
    </mc:AlternateContent>
    <xdr:clientData/>
  </xdr:twoCellAnchor>
  <xdr:twoCellAnchor editAs="oneCell">
    <xdr:from>
      <xdr:col>14</xdr:col>
      <xdr:colOff>472153</xdr:colOff>
      <xdr:row>61</xdr:row>
      <xdr:rowOff>145501</xdr:rowOff>
    </xdr:from>
    <xdr:to>
      <xdr:col>16</xdr:col>
      <xdr:colOff>426975</xdr:colOff>
      <xdr:row>64</xdr:row>
      <xdr:rowOff>184240</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5" name="Ink 404">
              <a:extLst>
                <a:ext uri="{FF2B5EF4-FFF2-40B4-BE49-F238E27FC236}">
                  <a16:creationId xmlns:a16="http://schemas.microsoft.com/office/drawing/2014/main" id="{38FFDA1C-3D33-952A-EEA4-47E203986A63}"/>
                </a:ext>
              </a:extLst>
            </xdr14:cNvPr>
            <xdr14:cNvContentPartPr/>
          </xdr14:nvContentPartPr>
          <xdr14:nvPr macro=""/>
          <xdr14:xfrm>
            <a:off x="9038880" y="11413865"/>
            <a:ext cx="1178640" cy="592920"/>
          </xdr14:xfrm>
        </xdr:contentPart>
      </mc:Choice>
      <mc:Fallback xmlns="">
        <xdr:pic>
          <xdr:nvPicPr>
            <xdr:cNvPr id="405" name="Ink 404">
              <a:extLst>
                <a:ext uri="{FF2B5EF4-FFF2-40B4-BE49-F238E27FC236}">
                  <a16:creationId xmlns:a16="http://schemas.microsoft.com/office/drawing/2014/main" id="{38FFDA1C-3D33-952A-EEA4-47E203986A63}"/>
                </a:ext>
              </a:extLst>
            </xdr:cNvPr>
            <xdr:cNvPicPr/>
          </xdr:nvPicPr>
          <xdr:blipFill>
            <a:blip xmlns:r="http://schemas.openxmlformats.org/officeDocument/2006/relationships" r:embed="rId115"/>
            <a:stretch>
              <a:fillRect/>
            </a:stretch>
          </xdr:blipFill>
          <xdr:spPr>
            <a:xfrm>
              <a:off x="9030240" y="11405225"/>
              <a:ext cx="1196280" cy="610560"/>
            </a:xfrm>
            <a:prstGeom prst="rect">
              <a:avLst/>
            </a:prstGeom>
          </xdr:spPr>
        </xdr:pic>
      </mc:Fallback>
    </mc:AlternateContent>
    <xdr:clientData/>
  </xdr:twoCellAnchor>
  <xdr:twoCellAnchor editAs="oneCell">
    <xdr:from>
      <xdr:col>24</xdr:col>
      <xdr:colOff>221062</xdr:colOff>
      <xdr:row>54</xdr:row>
      <xdr:rowOff>66632</xdr:rowOff>
    </xdr:from>
    <xdr:to>
      <xdr:col>27</xdr:col>
      <xdr:colOff>59695</xdr:colOff>
      <xdr:row>57</xdr:row>
      <xdr:rowOff>69010</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8" name="Ink 407">
              <a:extLst>
                <a:ext uri="{FF2B5EF4-FFF2-40B4-BE49-F238E27FC236}">
                  <a16:creationId xmlns:a16="http://schemas.microsoft.com/office/drawing/2014/main" id="{615EF656-0395-E7C7-A518-535D9212CA85}"/>
                </a:ext>
              </a:extLst>
            </xdr14:cNvPr>
            <xdr14:cNvContentPartPr/>
          </xdr14:nvContentPartPr>
          <xdr14:nvPr macro=""/>
          <xdr14:xfrm>
            <a:off x="14906880" y="10041905"/>
            <a:ext cx="1674360" cy="556560"/>
          </xdr14:xfrm>
        </xdr:contentPart>
      </mc:Choice>
      <mc:Fallback xmlns="">
        <xdr:pic>
          <xdr:nvPicPr>
            <xdr:cNvPr id="408" name="Ink 407">
              <a:extLst>
                <a:ext uri="{FF2B5EF4-FFF2-40B4-BE49-F238E27FC236}">
                  <a16:creationId xmlns:a16="http://schemas.microsoft.com/office/drawing/2014/main" id="{615EF656-0395-E7C7-A518-535D9212CA85}"/>
                </a:ext>
              </a:extLst>
            </xdr:cNvPr>
            <xdr:cNvPicPr/>
          </xdr:nvPicPr>
          <xdr:blipFill>
            <a:blip xmlns:r="http://schemas.openxmlformats.org/officeDocument/2006/relationships" r:embed="rId117"/>
            <a:stretch>
              <a:fillRect/>
            </a:stretch>
          </xdr:blipFill>
          <xdr:spPr>
            <a:xfrm>
              <a:off x="14898240" y="10032905"/>
              <a:ext cx="1692000" cy="574200"/>
            </a:xfrm>
            <a:prstGeom prst="rect">
              <a:avLst/>
            </a:prstGeom>
          </xdr:spPr>
        </xdr:pic>
      </mc:Fallback>
    </mc:AlternateContent>
    <xdr:clientData/>
  </xdr:twoCellAnchor>
  <xdr:twoCellAnchor editAs="oneCell">
    <xdr:from>
      <xdr:col>14</xdr:col>
      <xdr:colOff>397273</xdr:colOff>
      <xdr:row>66</xdr:row>
      <xdr:rowOff>81545</xdr:rowOff>
    </xdr:from>
    <xdr:to>
      <xdr:col>18</xdr:col>
      <xdr:colOff>514276</xdr:colOff>
      <xdr:row>72</xdr:row>
      <xdr:rowOff>112734</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22" name="Ink 421">
              <a:extLst>
                <a:ext uri="{FF2B5EF4-FFF2-40B4-BE49-F238E27FC236}">
                  <a16:creationId xmlns:a16="http://schemas.microsoft.com/office/drawing/2014/main" id="{1528EE83-E065-79E3-94EF-B899F941B973}"/>
                </a:ext>
              </a:extLst>
            </xdr14:cNvPr>
            <xdr14:cNvContentPartPr/>
          </xdr14:nvContentPartPr>
          <xdr14:nvPr macro=""/>
          <xdr14:xfrm>
            <a:off x="8964000" y="12273545"/>
            <a:ext cx="2564640" cy="1070280"/>
          </xdr14:xfrm>
        </xdr:contentPart>
      </mc:Choice>
      <mc:Fallback xmlns="">
        <xdr:pic>
          <xdr:nvPicPr>
            <xdr:cNvPr id="422" name="Ink 421">
              <a:extLst>
                <a:ext uri="{FF2B5EF4-FFF2-40B4-BE49-F238E27FC236}">
                  <a16:creationId xmlns:a16="http://schemas.microsoft.com/office/drawing/2014/main" id="{1528EE83-E065-79E3-94EF-B899F941B973}"/>
                </a:ext>
              </a:extLst>
            </xdr:cNvPr>
            <xdr:cNvPicPr/>
          </xdr:nvPicPr>
          <xdr:blipFill>
            <a:blip xmlns:r="http://schemas.openxmlformats.org/officeDocument/2006/relationships" r:embed="rId119"/>
            <a:stretch>
              <a:fillRect/>
            </a:stretch>
          </xdr:blipFill>
          <xdr:spPr>
            <a:xfrm>
              <a:off x="8955000" y="12264905"/>
              <a:ext cx="2582280" cy="1087920"/>
            </a:xfrm>
            <a:prstGeom prst="rect">
              <a:avLst/>
            </a:prstGeom>
          </xdr:spPr>
        </xdr:pic>
      </mc:Fallback>
    </mc:AlternateContent>
    <xdr:clientData/>
  </xdr:twoCellAnchor>
  <xdr:twoCellAnchor editAs="oneCell">
    <xdr:from>
      <xdr:col>28</xdr:col>
      <xdr:colOff>31345</xdr:colOff>
      <xdr:row>54</xdr:row>
      <xdr:rowOff>164552</xdr:rowOff>
    </xdr:from>
    <xdr:to>
      <xdr:col>31</xdr:col>
      <xdr:colOff>304498</xdr:colOff>
      <xdr:row>58</xdr:row>
      <xdr:rowOff>116123</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0" name="Ink 429">
              <a:extLst>
                <a:ext uri="{FF2B5EF4-FFF2-40B4-BE49-F238E27FC236}">
                  <a16:creationId xmlns:a16="http://schemas.microsoft.com/office/drawing/2014/main" id="{BF50324C-DCDD-46B5-433E-D5B36DC96B05}"/>
                </a:ext>
              </a:extLst>
            </xdr14:cNvPr>
            <xdr14:cNvContentPartPr/>
          </xdr14:nvContentPartPr>
          <xdr14:nvPr macro=""/>
          <xdr14:xfrm>
            <a:off x="17164800" y="10139825"/>
            <a:ext cx="2108880" cy="690480"/>
          </xdr14:xfrm>
        </xdr:contentPart>
      </mc:Choice>
      <mc:Fallback xmlns="">
        <xdr:pic>
          <xdr:nvPicPr>
            <xdr:cNvPr id="430" name="Ink 429">
              <a:extLst>
                <a:ext uri="{FF2B5EF4-FFF2-40B4-BE49-F238E27FC236}">
                  <a16:creationId xmlns:a16="http://schemas.microsoft.com/office/drawing/2014/main" id="{BF50324C-DCDD-46B5-433E-D5B36DC96B05}"/>
                </a:ext>
              </a:extLst>
            </xdr:cNvPr>
            <xdr:cNvPicPr/>
          </xdr:nvPicPr>
          <xdr:blipFill>
            <a:blip xmlns:r="http://schemas.openxmlformats.org/officeDocument/2006/relationships" r:embed="rId121"/>
            <a:stretch>
              <a:fillRect/>
            </a:stretch>
          </xdr:blipFill>
          <xdr:spPr>
            <a:xfrm>
              <a:off x="17156160" y="10131185"/>
              <a:ext cx="2126520" cy="708120"/>
            </a:xfrm>
            <a:prstGeom prst="rect">
              <a:avLst/>
            </a:prstGeom>
          </xdr:spPr>
        </xdr:pic>
      </mc:Fallback>
    </mc:AlternateContent>
    <xdr:clientData/>
  </xdr:twoCellAnchor>
  <xdr:twoCellAnchor editAs="oneCell">
    <xdr:from>
      <xdr:col>27</xdr:col>
      <xdr:colOff>530575</xdr:colOff>
      <xdr:row>75</xdr:row>
      <xdr:rowOff>85592</xdr:rowOff>
    </xdr:from>
    <xdr:to>
      <xdr:col>29</xdr:col>
      <xdr:colOff>242036</xdr:colOff>
      <xdr:row>76</xdr:row>
      <xdr:rowOff>101385</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433" name="Ink 432">
              <a:extLst>
                <a:ext uri="{FF2B5EF4-FFF2-40B4-BE49-F238E27FC236}">
                  <a16:creationId xmlns:a16="http://schemas.microsoft.com/office/drawing/2014/main" id="{0D84D11A-01FE-3CAC-464A-46F3EC044E1E}"/>
                </a:ext>
              </a:extLst>
            </xdr14:cNvPr>
            <xdr14:cNvContentPartPr/>
          </xdr14:nvContentPartPr>
          <xdr14:nvPr macro=""/>
          <xdr14:xfrm>
            <a:off x="17052120" y="13870865"/>
            <a:ext cx="935280" cy="200520"/>
          </xdr14:xfrm>
        </xdr:contentPart>
      </mc:Choice>
      <mc:Fallback xmlns="">
        <xdr:pic>
          <xdr:nvPicPr>
            <xdr:cNvPr id="433" name="Ink 432">
              <a:extLst>
                <a:ext uri="{FF2B5EF4-FFF2-40B4-BE49-F238E27FC236}">
                  <a16:creationId xmlns:a16="http://schemas.microsoft.com/office/drawing/2014/main" id="{0D84D11A-01FE-3CAC-464A-46F3EC044E1E}"/>
                </a:ext>
              </a:extLst>
            </xdr:cNvPr>
            <xdr:cNvPicPr/>
          </xdr:nvPicPr>
          <xdr:blipFill>
            <a:blip xmlns:r="http://schemas.openxmlformats.org/officeDocument/2006/relationships" r:embed="rId123"/>
            <a:stretch>
              <a:fillRect/>
            </a:stretch>
          </xdr:blipFill>
          <xdr:spPr>
            <a:xfrm>
              <a:off x="17043440" y="13861920"/>
              <a:ext cx="953002" cy="218783"/>
            </a:xfrm>
            <a:prstGeom prst="rect">
              <a:avLst/>
            </a:prstGeom>
          </xdr:spPr>
        </xdr:pic>
      </mc:Fallback>
    </mc:AlternateContent>
    <xdr:clientData/>
  </xdr:twoCellAnchor>
  <xdr:twoCellAnchor editAs="oneCell">
    <xdr:from>
      <xdr:col>23</xdr:col>
      <xdr:colOff>232131</xdr:colOff>
      <xdr:row>56</xdr:row>
      <xdr:rowOff>88138</xdr:rowOff>
    </xdr:from>
    <xdr:to>
      <xdr:col>35</xdr:col>
      <xdr:colOff>28022</xdr:colOff>
      <xdr:row>79</xdr:row>
      <xdr:rowOff>171803</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465" name="Ink 464">
              <a:extLst>
                <a:ext uri="{FF2B5EF4-FFF2-40B4-BE49-F238E27FC236}">
                  <a16:creationId xmlns:a16="http://schemas.microsoft.com/office/drawing/2014/main" id="{CE0DD50B-1AA8-C61F-A43C-28964E31955B}"/>
                </a:ext>
              </a:extLst>
            </xdr14:cNvPr>
            <xdr14:cNvContentPartPr/>
          </xdr14:nvContentPartPr>
          <xdr14:nvPr macro=""/>
          <xdr14:xfrm>
            <a:off x="14306040" y="10432865"/>
            <a:ext cx="7138800" cy="4263120"/>
          </xdr14:xfrm>
        </xdr:contentPart>
      </mc:Choice>
      <mc:Fallback xmlns="">
        <xdr:pic>
          <xdr:nvPicPr>
            <xdr:cNvPr id="465" name="Ink 464">
              <a:extLst>
                <a:ext uri="{FF2B5EF4-FFF2-40B4-BE49-F238E27FC236}">
                  <a16:creationId xmlns:a16="http://schemas.microsoft.com/office/drawing/2014/main" id="{CE0DD50B-1AA8-C61F-A43C-28964E31955B}"/>
                </a:ext>
              </a:extLst>
            </xdr:cNvPr>
            <xdr:cNvPicPr/>
          </xdr:nvPicPr>
          <xdr:blipFill>
            <a:blip xmlns:r="http://schemas.openxmlformats.org/officeDocument/2006/relationships" r:embed="rId125"/>
            <a:stretch>
              <a:fillRect/>
            </a:stretch>
          </xdr:blipFill>
          <xdr:spPr>
            <a:xfrm>
              <a:off x="14297040" y="10424225"/>
              <a:ext cx="7156440" cy="4280760"/>
            </a:xfrm>
            <a:prstGeom prst="rect">
              <a:avLst/>
            </a:prstGeom>
          </xdr:spPr>
        </xdr:pic>
      </mc:Fallback>
    </mc:AlternateContent>
    <xdr:clientData/>
  </xdr:twoCellAnchor>
  <xdr:twoCellAnchor editAs="oneCell">
    <xdr:from>
      <xdr:col>25</xdr:col>
      <xdr:colOff>527513</xdr:colOff>
      <xdr:row>64</xdr:row>
      <xdr:rowOff>95680</xdr:rowOff>
    </xdr:from>
    <xdr:to>
      <xdr:col>34</xdr:col>
      <xdr:colOff>137011</xdr:colOff>
      <xdr:row>71</xdr:row>
      <xdr:rowOff>91181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472" name="Ink 471">
              <a:extLst>
                <a:ext uri="{FF2B5EF4-FFF2-40B4-BE49-F238E27FC236}">
                  <a16:creationId xmlns:a16="http://schemas.microsoft.com/office/drawing/2014/main" id="{CCDAC951-BF80-EE3C-7DA5-B7AD5BF96F26}"/>
                </a:ext>
              </a:extLst>
            </xdr14:cNvPr>
            <xdr14:cNvContentPartPr/>
          </xdr14:nvContentPartPr>
          <xdr14:nvPr macro=""/>
          <xdr14:xfrm>
            <a:off x="15825240" y="11918225"/>
            <a:ext cx="5116680" cy="1219320"/>
          </xdr14:xfrm>
        </xdr:contentPart>
      </mc:Choice>
      <mc:Fallback xmlns="">
        <xdr:pic>
          <xdr:nvPicPr>
            <xdr:cNvPr id="472" name="Ink 471">
              <a:extLst>
                <a:ext uri="{FF2B5EF4-FFF2-40B4-BE49-F238E27FC236}">
                  <a16:creationId xmlns:a16="http://schemas.microsoft.com/office/drawing/2014/main" id="{CCDAC951-BF80-EE3C-7DA5-B7AD5BF96F26}"/>
                </a:ext>
              </a:extLst>
            </xdr:cNvPr>
            <xdr:cNvPicPr/>
          </xdr:nvPicPr>
          <xdr:blipFill>
            <a:blip xmlns:r="http://schemas.openxmlformats.org/officeDocument/2006/relationships" r:embed="rId127"/>
            <a:stretch>
              <a:fillRect/>
            </a:stretch>
          </xdr:blipFill>
          <xdr:spPr>
            <a:xfrm>
              <a:off x="15816240" y="11909585"/>
              <a:ext cx="5134320" cy="1236960"/>
            </a:xfrm>
            <a:prstGeom prst="rect">
              <a:avLst/>
            </a:prstGeom>
          </xdr:spPr>
        </xdr:pic>
      </mc:Fallback>
    </mc:AlternateContent>
    <xdr:clientData/>
  </xdr:twoCellAnchor>
  <xdr:twoCellAnchor editAs="oneCell">
    <xdr:from>
      <xdr:col>36</xdr:col>
      <xdr:colOff>166713</xdr:colOff>
      <xdr:row>61</xdr:row>
      <xdr:rowOff>152701</xdr:rowOff>
    </xdr:from>
    <xdr:to>
      <xdr:col>37</xdr:col>
      <xdr:colOff>240244</xdr:colOff>
      <xdr:row>68</xdr:row>
      <xdr:rowOff>138843</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480" name="Ink 479">
              <a:extLst>
                <a:ext uri="{FF2B5EF4-FFF2-40B4-BE49-F238E27FC236}">
                  <a16:creationId xmlns:a16="http://schemas.microsoft.com/office/drawing/2014/main" id="{A8812D59-166F-FDC2-D92C-3844A36EA448}"/>
                </a:ext>
              </a:extLst>
            </xdr14:cNvPr>
            <xdr14:cNvContentPartPr/>
          </xdr14:nvContentPartPr>
          <xdr14:nvPr macro=""/>
          <xdr14:xfrm>
            <a:off x="22195440" y="11421065"/>
            <a:ext cx="685440" cy="1209960"/>
          </xdr14:xfrm>
        </xdr:contentPart>
      </mc:Choice>
      <mc:Fallback xmlns="">
        <xdr:pic>
          <xdr:nvPicPr>
            <xdr:cNvPr id="480" name="Ink 479">
              <a:extLst>
                <a:ext uri="{FF2B5EF4-FFF2-40B4-BE49-F238E27FC236}">
                  <a16:creationId xmlns:a16="http://schemas.microsoft.com/office/drawing/2014/main" id="{A8812D59-166F-FDC2-D92C-3844A36EA448}"/>
                </a:ext>
              </a:extLst>
            </xdr:cNvPr>
            <xdr:cNvPicPr/>
          </xdr:nvPicPr>
          <xdr:blipFill>
            <a:blip xmlns:r="http://schemas.openxmlformats.org/officeDocument/2006/relationships" r:embed="rId129"/>
            <a:stretch>
              <a:fillRect/>
            </a:stretch>
          </xdr:blipFill>
          <xdr:spPr>
            <a:xfrm>
              <a:off x="22186800" y="11412065"/>
              <a:ext cx="703080" cy="1227600"/>
            </a:xfrm>
            <a:prstGeom prst="rect">
              <a:avLst/>
            </a:prstGeom>
          </xdr:spPr>
        </xdr:pic>
      </mc:Fallback>
    </mc:AlternateContent>
    <xdr:clientData/>
  </xdr:twoCellAnchor>
  <xdr:twoCellAnchor editAs="oneCell">
    <xdr:from>
      <xdr:col>36</xdr:col>
      <xdr:colOff>501513</xdr:colOff>
      <xdr:row>55</xdr:row>
      <xdr:rowOff>137145</xdr:rowOff>
    </xdr:from>
    <xdr:to>
      <xdr:col>39</xdr:col>
      <xdr:colOff>137825</xdr:colOff>
      <xdr:row>60</xdr:row>
      <xdr:rowOff>72469</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483" name="Ink 482">
              <a:extLst>
                <a:ext uri="{FF2B5EF4-FFF2-40B4-BE49-F238E27FC236}">
                  <a16:creationId xmlns:a16="http://schemas.microsoft.com/office/drawing/2014/main" id="{B459891B-2BBC-0FA0-5CF9-70CEE0293B06}"/>
                </a:ext>
              </a:extLst>
            </xdr14:cNvPr>
            <xdr14:cNvContentPartPr/>
          </xdr14:nvContentPartPr>
          <xdr14:nvPr macro=""/>
          <xdr14:xfrm>
            <a:off x="22530240" y="10297145"/>
            <a:ext cx="1472040" cy="858960"/>
          </xdr14:xfrm>
        </xdr:contentPart>
      </mc:Choice>
      <mc:Fallback xmlns="">
        <xdr:pic>
          <xdr:nvPicPr>
            <xdr:cNvPr id="483" name="Ink 482">
              <a:extLst>
                <a:ext uri="{FF2B5EF4-FFF2-40B4-BE49-F238E27FC236}">
                  <a16:creationId xmlns:a16="http://schemas.microsoft.com/office/drawing/2014/main" id="{B459891B-2BBC-0FA0-5CF9-70CEE0293B06}"/>
                </a:ext>
              </a:extLst>
            </xdr:cNvPr>
            <xdr:cNvPicPr/>
          </xdr:nvPicPr>
          <xdr:blipFill>
            <a:blip xmlns:r="http://schemas.openxmlformats.org/officeDocument/2006/relationships" r:embed="rId131"/>
            <a:stretch>
              <a:fillRect/>
            </a:stretch>
          </xdr:blipFill>
          <xdr:spPr>
            <a:xfrm>
              <a:off x="22521240" y="10288505"/>
              <a:ext cx="1489680" cy="876600"/>
            </a:xfrm>
            <a:prstGeom prst="rect">
              <a:avLst/>
            </a:prstGeom>
          </xdr:spPr>
        </xdr:pic>
      </mc:Fallback>
    </mc:AlternateContent>
    <xdr:clientData/>
  </xdr:twoCellAnchor>
  <xdr:twoCellAnchor editAs="oneCell">
    <xdr:from>
      <xdr:col>37</xdr:col>
      <xdr:colOff>369484</xdr:colOff>
      <xdr:row>62</xdr:row>
      <xdr:rowOff>28814</xdr:rowOff>
    </xdr:from>
    <xdr:to>
      <xdr:col>40</xdr:col>
      <xdr:colOff>292716</xdr:colOff>
      <xdr:row>68</xdr:row>
      <xdr:rowOff>69363</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488" name="Ink 487">
              <a:extLst>
                <a:ext uri="{FF2B5EF4-FFF2-40B4-BE49-F238E27FC236}">
                  <a16:creationId xmlns:a16="http://schemas.microsoft.com/office/drawing/2014/main" id="{64B8AE31-D4AB-D583-ABB0-51AA95394E85}"/>
                </a:ext>
              </a:extLst>
            </xdr14:cNvPr>
            <xdr14:cNvContentPartPr/>
          </xdr14:nvContentPartPr>
          <xdr14:nvPr macro=""/>
          <xdr14:xfrm>
            <a:off x="23010120" y="11481905"/>
            <a:ext cx="1758960" cy="1079640"/>
          </xdr14:xfrm>
        </xdr:contentPart>
      </mc:Choice>
      <mc:Fallback xmlns="">
        <xdr:pic>
          <xdr:nvPicPr>
            <xdr:cNvPr id="488" name="Ink 487">
              <a:extLst>
                <a:ext uri="{FF2B5EF4-FFF2-40B4-BE49-F238E27FC236}">
                  <a16:creationId xmlns:a16="http://schemas.microsoft.com/office/drawing/2014/main" id="{64B8AE31-D4AB-D583-ABB0-51AA95394E85}"/>
                </a:ext>
              </a:extLst>
            </xdr:cNvPr>
            <xdr:cNvPicPr/>
          </xdr:nvPicPr>
          <xdr:blipFill>
            <a:blip xmlns:r="http://schemas.openxmlformats.org/officeDocument/2006/relationships" r:embed="rId133"/>
            <a:stretch>
              <a:fillRect/>
            </a:stretch>
          </xdr:blipFill>
          <xdr:spPr>
            <a:xfrm>
              <a:off x="23001120" y="11472905"/>
              <a:ext cx="1776600" cy="109728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69181</xdr:colOff>
      <xdr:row>0</xdr:row>
      <xdr:rowOff>77203</xdr:rowOff>
    </xdr:from>
    <xdr:to>
      <xdr:col>10</xdr:col>
      <xdr:colOff>73192</xdr:colOff>
      <xdr:row>8</xdr:row>
      <xdr:rowOff>106948</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E0572AB-9B15-0F4D-8413-74D6A251023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56392" y="77203"/>
              <a:ext cx="1828800" cy="150027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77536</xdr:colOff>
      <xdr:row>8</xdr:row>
      <xdr:rowOff>155743</xdr:rowOff>
    </xdr:from>
    <xdr:to>
      <xdr:col>10</xdr:col>
      <xdr:colOff>81547</xdr:colOff>
      <xdr:row>23</xdr:row>
      <xdr:rowOff>17878</xdr:rowOff>
    </xdr:to>
    <mc:AlternateContent xmlns:mc="http://schemas.openxmlformats.org/markup-compatibility/2006" xmlns:sle15="http://schemas.microsoft.com/office/drawing/2012/slicer">
      <mc:Choice Requires="sle15">
        <xdr:graphicFrame macro="">
          <xdr:nvGraphicFramePr>
            <xdr:cNvPr id="5" name="Region">
              <a:extLst>
                <a:ext uri="{FF2B5EF4-FFF2-40B4-BE49-F238E27FC236}">
                  <a16:creationId xmlns:a16="http://schemas.microsoft.com/office/drawing/2014/main" id="{D5DB85AC-2193-C7B1-8BDF-8DBDC8D183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64747" y="1626269"/>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19:42.346"/>
    </inkml:context>
    <inkml:brush xml:id="br0">
      <inkml:brushProperty name="width" value="0.025" units="cm"/>
      <inkml:brushProperty name="height" value="0.025" units="cm"/>
    </inkml:brush>
  </inkml:definitions>
  <inkml:trace contextRef="#ctx0" brushRef="#br0">12 0 24575,'-5'0'0,"-2"0"-8191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19:44.238"/>
    </inkml:context>
    <inkml:brush xml:id="br0">
      <inkml:brushProperty name="width" value="0.025" units="cm"/>
      <inkml:brushProperty name="height" value="0.025" units="cm"/>
    </inkml:brush>
  </inkml:definitions>
  <inkml:trace contextRef="#ctx0" brushRef="#br0">6017 4572 24575,'-15'-2'0,"0"0"0,1 0 0,-1-1 0,1-1 0,-14-5 0,-30-8 0,1 7 0,-98-5 0,-58 12 0,173 3 0,11 0 0,1 2 0,0 1 0,-30 6 0,42-5 0,2 0 0,-1 1 0,0 0 0,1 2 0,0-1 0,0 2 0,-15 10 0,-9 12 0,1 1 0,1 2 0,2 1 0,2 2 0,1 1 0,1 1 0,-27 49 0,14-11 0,3 2 0,3 1 0,-27 89 0,37-80 0,5 0 0,3 1 0,4 1 0,3 1 0,5-1 0,6 117 0,6-129-56,4-1-1,2 0 0,5-1 0,2 0 1,4-2-1,3 0 0,3-2 0,4-1 1,50 85-1,-50-104 57,2-2 0,1-1 0,3-1 0,2-2 0,2-2 0,75 60 0,-77-74 0,1-1 0,1-3 0,1-1 0,2-2 0,0-2 0,1-2 0,1-2 0,71 15 0,-11-13 0,2-5 0,-1-5 0,206-8 0,-246-5 0,1-3 0,-2-3 0,77-22 0,-102 20 0,0-2 0,-1-2 0,0-1 0,-1-3 0,73-47 0,-86 46 0,-1-2 0,-1 0 0,-1-2 0,-1-1 0,-2 0 0,0-2 0,-2 0 0,27-52 0,-1-16 0,50-149 0,-56 133 0,-5-1 0,-5-2 0,17-139 0,-34 134-82,-6 0 1,-5 1-1,-6-1 1,-25-156 0,13 182 13,-4 0 0,-4 2 0,-4 0 0,-4 2 0,-83-158 0,90 203 68,-1 0 0,-2 2 0,-2 2 0,-2 1 0,-2 1 0,-1 2 0,-2 1 0,-1 2 0,-2 2 0,-1 2 0,-56-31 0,37 30 7,-1 3-1,-1 2 1,-1 3 0,-1 3-1,-1 2 1,-1 4 0,-100-9-1,7 12 127,-234 15-1,372-3-136,0 2 0,1 1-1,-1 0 1,1 1 0,0 2 0,0 0-1,-27 14 1,22-7 38,2 1 1,-1 1-1,2 1 1,-43 40 0,32-23-155,1 2 0,2 1 0,-46 70 1,43-46-6668</inkml:trace>
  <inkml:trace contextRef="#ctx0" brushRef="#br0" timeOffset="691.92">4766 5373 24575,'-7'0'0,"1"-1"0,-1-1 0,1 1 0,-1-1 0,1 0 0,0-1 0,0 0 0,0 0 0,-9-5 0,-12-6 0,-96-52 0,-125-87 0,21 10 0,186 121 0,-1 2 0,0 2 0,-2 2 0,0 1 0,-86-15 0,29 15 0,-160-3 0,14 8 0,8-19 0,217 25 171,-41-14 0,56 15-327,1 1 1,0-1 0,1 0 0,-1 0 0,0-1 0,1 0 0,0 0-1,0 0 1,0-1 0,-5-5 0,7 6-983,0-1 0,0 0 1,0 0-1,0 0 0,-2-9 1</inkml:trace>
  <inkml:trace contextRef="#ctx0" brushRef="#br0" timeOffset="1628.07">20 4442 24575,'-18'-3'0,"18"3"0,0-1 0,0 1 0,0 0 0,0 0 0,-1-1 0,1 1 0,0 0 0,0 0 0,0-1 0,0 1 0,0 0 0,0 0 0,-1-1 0,1 1 0,0 0 0,0-1 0,0 1 0,0 0 0,0 0 0,0-1 0,0 1 0,0 0 0,0-1 0,1 1 0,-1 0 0,0 0 0,0-1 0,0 1 0,0 0 0,0 0 0,0-1 0,1 1 0,2-4 0,0 0 0,1 0 0,-1 0 0,8-5 0,-10 9 0,212-198 0,-198 183 0,-1-1 0,-1 0 0,0-1 0,-1 0 0,-1-1 0,-1 0 0,0-1 0,6-20 0,-13 30 0,0 1 0,-1-1 0,0 0 0,-1 0 0,0 0 0,0 0 0,-1 0 0,0 0 0,-1-11 0,0 15 0,-1-1 0,1 0 0,-1 1 0,0-1 0,-1 1 0,1-1 0,-1 1 0,0 0 0,0 0 0,0 0 0,-1 1 0,0-1 0,0 1 0,0 0 0,-6-5 0,8 7 0,0 1 0,-1-1 0,1 0 0,-1 0 0,0 1 0,1 0 0,-1-1 0,0 1 0,0 0 0,0 0 0,0 1 0,0-1 0,0 0 0,0 1 0,0 0 0,0 0 0,0 0 0,0 0 0,0 0 0,0 1 0,0-1 0,0 1 0,0 0 0,1 0 0,-1 0 0,0 0 0,0 0 0,1 1 0,-1-1 0,0 1 0,1 0 0,0 0 0,-1 0 0,1 0 0,0 0 0,-2 3 0,-5 4 0,2 1 0,-1 0 0,2 0 0,-1 1 0,1 0 0,1 0 0,-7 20 0,4-10 0,2 1 0,0 1 0,1-1 0,2 1 0,0 0 0,1 0 0,1 0 0,4 32 0,-3-48 0,2 0 0,-1-1 0,1 1 0,0-1 0,0 0 0,0 1 0,1-1 0,0 0 0,0 0 0,1-1 0,8 11 0,-6-10 0,0 0 0,0-1 0,1 0 0,0 0 0,0 0 0,0-1 0,0 0 0,1 0 0,8 2 0,5 1 0,0 0 0,1-2 0,-1-1 0,1 0 0,44 0 0,-49-3 0,1-2 0,-1 0 0,0-1 0,0-1 0,0-1 0,0 0 0,-1-1 0,18-8 0,-32 13 0,-1-1 0,1 0 0,-1 1 0,1-1 0,-1 0 0,1 0 0,-1 0 0,0 0 0,0 0 0,1 0 0,-1 0 0,0 0 0,0-1 0,0 1 0,1-2 0,-2 2 0,0 1 0,0-1 0,0 1 0,0-1 0,0 1 0,0-1 0,0 1 0,0-1 0,-1 1 0,1-1 0,0 1 0,0 0 0,0-1 0,-1 1 0,1-1 0,0 1 0,0 0 0,-1-1 0,1 1 0,0-1 0,-1 1 0,1 0 0,-1-1 0,1 1 0,0 0 0,-1 0 0,1-1 0,-1 1 0,1 0 0,-1 0 0,0 0 0,-3-2 0,-1 1 0,0-1 0,1 1 0,-1 1 0,0-1 0,0 1 0,1 0 0,-1 0 0,-7 1 0,3 0 0,-1 1 0,1 1 0,0 0 0,0 0 0,1 0 0,-1 1 0,1 1 0,-1 0 0,-11 9 0,8-5 0,1 1 0,1 1 0,-1-1 0,2 2 0,-14 18 0,5 0 0,2 1 0,1 0 0,1 1 0,-14 50 0,17-46 0,2 1 0,1 0 0,2 0 0,-1 54 0,7-71 0,0 1 0,1-1 0,2 0 0,0 0 0,1 0 0,1 0 0,0 0 0,2-1 0,16 34 0,-18-44 0,1 0 0,0 0 0,0-1 0,1 0 0,0 0 0,0 0 0,1-1 0,0 0 0,0 0 0,1-1 0,-1 0 0,12 5 0,-8-6 0,1 0 0,0 0 0,0-1 0,0-1 0,1 0 0,-1-1 0,0-1 0,21 1 0,-5-4 0,0-1 0,0-1 0,0-1 0,-1-1 0,1-2 0,-2-1 0,1-1 0,27-15 0,-24 9 0,-2-1 0,0-1 0,-1-1 0,49-45 0,-62 50 0,-1-1 0,0-1 0,-1 0 0,-1-1 0,0 0 0,-1-1 0,-1 0 0,-1 0 0,10-29 0,-12 23-682,4-30-1,-2-17-6143</inkml:trace>
  <inkml:trace contextRef="#ctx0" brushRef="#br0" timeOffset="1879.05">1109 3866 24575,'-21'0'0,"-8"5"0,18 2 0,21 22 0,21 27 0,15 16 0,11 6 0,12 1 0,6-14 0,-11-1 0,1-11 0,-12-4 0,-2-10 0,-12-17 0,-11-24 0,-11-10-8191</inkml:trace>
  <inkml:trace contextRef="#ctx0" brushRef="#br0" timeOffset="2127.83">1591 3707 24575,'-5'0'0,"-3"-11"0,-10-4 0,-18 7 0,-4 20 0,-10 30 0,2 30 0,-7 40 0,7 24 0,10 10 0,13 3 0,10-9 0,8-17 0,4-17 0,20-40 0,7-45 0,16-45 0,0-16-8191</inkml:trace>
  <inkml:trace contextRef="#ctx0" brushRef="#br0" timeOffset="2979.41">2104 3129 24575,'-22'0'0,"0"0"0,0 2 0,0 1 0,0 0 0,-33 11 0,40-8 0,0 0 0,1 1 0,-1 1 0,1 0 0,1 1 0,0 0 0,0 1 0,-14 14 0,6-2 0,1 0 0,1 2 0,0 0 0,2 1 0,1 1 0,1 0 0,1 1 0,2 1 0,0 0 0,2 0 0,1 1 0,2 1 0,1-1 0,-5 58 0,10-77 0,1-1 0,0 0 0,1 0 0,0 0 0,0 0 0,1-1 0,0 1 0,0-1 0,7 14 0,-6-16 0,1 0 0,-1 0 0,2 0 0,-1 0 0,1-1 0,-1 1 0,1-1 0,1-1 0,-1 1 0,1-1 0,0 0 0,10 6 0,-4-4 0,0-1 0,1 0 0,0-1 0,0 0 0,0-1 0,0 0 0,1-1 0,-1-1 0,1 0 0,-1 0 0,1-2 0,-1 0 0,1 0 0,-1-1 0,0-1 0,0 0 0,16-7 0,3-2 0,-1-1 0,0-2 0,-1-2 0,-1 0 0,45-36 0,-40 26 0,-1-2 0,59-64 0,-79 76 0,0 0 0,-1 0 0,-1-1 0,0 0 0,-1-1 0,-2 0 0,0-1 0,6-21 0,-11 29 0,-1 0 0,0 1 0,0-1 0,-2-19 0,0 26 0,0-1 0,-1 1 0,0 0 0,0-1 0,0 1 0,-1 0 0,1-1 0,-1 1 0,-1 0 0,1 0 0,-4-4 0,7 10 0,-1 0 0,0 0 0,1 0 0,-1 0 0,0 0 0,0 0 0,1 1 0,-1-1 0,0 0 0,0 0 0,0 0 0,-1 1 0,1-1 0,0 0 0,0 0 0,-1 0 0,1 0 0,0 0 0,-1 0 0,1 0 0,-1 0 0,1 0 0,-1 0 0,0 0 0,0 0 0,1 0 0,-1 0 0,0 0 0,0 0 0,0-1 0,0 1 0,0 0 0,0-1 0,0 1 0,0-1 0,0 1 0,0-1 0,0 1 0,0-1 0,0 0 0,0 1 0,-1-1 0,1 0 0,0 0 0,0 0 0,0 0 0,0 0 0,-1 0 0,1 0 0,0-1 0,0 1 0,0 0 0,0-1 0,0 1 0,0-1 0,-1 1 0,1-1 0,0 1 0,0-1 0,1 0 0,-1 1 0,0-1 0,-1-1 0,5 6 0,1-1 0,0 0 0,-1 0 0,1 0 0,0 0 0,1 0 0,-1-1 0,0 0 0,1 0 0,-1 0 0,1-1 0,0 1 0,0-1 0,-1 0 0,1 0 0,7 0 0,-4-1 0,0 1 0,-1-1 0,1-1 0,0 1 0,0-1 0,0-1 0,0 0 0,-1 0 0,13-5 0,-15 5 0,-1-1 0,1 1 0,0-1 0,-1 0 0,0-1 0,0 1 0,0-1 0,0 0 0,-1 0 0,1 0 0,-1 0 0,0-1 0,0 0 0,0 1 0,-1-1 0,3-7 0,-3 4 0,0 1 0,0-1 0,-1 1 0,0-1 0,-1 1 0,1-1 0,-1 0 0,-1 1 0,0-1 0,-3-14 0,2 13 0,-1 0 0,0 0 0,0 1 0,-1-1 0,0 1 0,-1 0 0,0 0 0,0 0 0,-6-7 0,7 11 0,-1-1 0,1 1 0,-1-1 0,0 1 0,0 1 0,-1-1 0,1 1 0,-1-1 0,1 2 0,-1-1 0,0 1 0,0 0 0,-8-2 0,9 3 0,0 1 0,-1 0 0,1 0 0,0 0 0,0 0 0,0 1 0,0 0 0,0 0 0,0 1 0,0-1 0,0 1 0,0 0 0,1 0 0,-1 1 0,1-1 0,-1 1 0,1 0 0,0 0 0,0 1 0,0-1 0,1 1 0,-1 0 0,-3 6 0,0-1 0,1 0 0,0 0 0,0 1 0,1 0 0,0 0 0,1 1 0,0-1 0,1 1 0,-4 21 0,6-24 0,0 0 0,1 0 0,0 0 0,0 0 0,1 0 0,0 0 0,0 0 0,1 0 0,0 0 0,1 0 0,0-1 0,0 1 0,0-1 0,1 0 0,0 1 0,0-2 0,1 1 0,0-1 0,0 1 0,1-1 0,0-1 0,0 1 0,11 8 0,-8-9 0,0 1 0,0-1 0,0-1 0,0 0 0,1 0 0,0-1 0,0 0 0,0-1 0,0 0 0,0 0 0,0-1 0,0-1 0,1 1 0,-1-2 0,0 1 0,0-2 0,0 1 0,17-6 0,-13 2 0,-1 0 0,1-1 0,-1-1 0,0 0 0,-1-1 0,19-15 0,-2-3 0,35-37 0,-47 45 0,-1-2 0,-1 0 0,-1-1 0,-1 0 0,0-1 0,-2 0 0,0-1 0,10-34 0,-15 36 0,-1 0 0,-1 0 0,-1 0 0,-1 0 0,-1-1 0,0 1 0,-2-1 0,0 1 0,-2 0 0,-6-27 0,-2 10 0,-1 0 0,-2 0 0,-2 2 0,-1 0 0,-2 1 0,-1 1 0,-2 0 0,-50-57 0,70 89 0,-5-6 0,0 1 0,-1-1 0,-9-6 0,16 13 0,0 0 0,0 0 0,-1 0 0,1 0 0,-1 0 0,1 0 0,0 1 0,-1-1 0,1 1 0,-1-1 0,0 1 0,1-1 0,-1 1 0,1 0 0,-1 0 0,0 0 0,1 0 0,-1 0 0,1 0 0,-1 0 0,0 0 0,1 1 0,-1-1 0,1 1 0,-1-1 0,1 1 0,-3 0 0,2 2 0,-1-1 0,1 1 0,0-1 0,0 1 0,0 0 0,0 0 0,0 0 0,1 0 0,-1 0 0,1 0 0,0 1 0,0-1 0,0 0 0,-1 7 0,0 5 0,0 0 0,1 21 0,3 10 0,2 0 0,2-1 0,2 1 0,2-2 0,22 62 0,3-13 0,68 127 0,-66-153 0,3-3 0,81 99 0,-87-119-682,38 62-1,-39-47-6143</inkml:trace>
  <inkml:trace contextRef="#ctx0" brushRef="#br0" timeOffset="3402.72">1366 5533 24575,'-11'0'0,"-3"-10"0,0 0 0,3 15 0,14 27 0,6 30 0,14 21 0,1 24 0,9 10 0,-2-4 0,5-11 0,7-6 0,19-19 0,14-34 0,-6-35 0,-14-18-8191</inkml:trace>
  <inkml:trace contextRef="#ctx0" brushRef="#br0" timeOffset="4186.87">1848 5757 24575,'-1'40'0,"0"-16"0,1-1 0,1 1 0,0-1 0,7 29 0,-6-46 0,-1-1 0,1 1 0,0-1 0,0 1 0,1-1 0,-1 0 0,1 0 0,0 0 0,0 0 0,1-1 0,0 1 0,0-1 0,0 0 0,0 0 0,0 0 0,1-1 0,0 0 0,0 1 0,0-2 0,0 1 0,0 0 0,7 1 0,-5-2 0,-1 0 0,1-1 0,0 1 0,0-1 0,0-1 0,-1 0 0,1 0 0,0 0 0,0-1 0,0 1 0,0-2 0,-1 1 0,1-1 0,9-4 0,-6 2 0,-1-1 0,0 0 0,0 0 0,-1-1 0,0 0 0,0-1 0,0 0 0,-1 0 0,9-10 0,-8 7 0,-1 1 0,0-1 0,-1-1 0,0 1 0,0-1 0,-1 0 0,-1 0 0,0 0 0,0-1 0,-1 1 0,0-1 0,-1 0 0,-1 0 0,0 0 0,0 0 0,-1 0 0,-3-18 0,0 18 0,0 1 0,-1 0 0,0-1 0,-1 1 0,0 1 0,-1-1 0,0 1 0,-1 0 0,0 0 0,-1 1 0,0 0 0,0 1 0,-1-1 0,-16-11 0,20 16 0,0 1 0,0-1 0,-1 1 0,1 0 0,-1 1 0,0-1 0,0 1 0,0 0 0,0 1 0,0 0 0,0 0 0,0 0 0,0 0 0,-1 1 0,1 0 0,0 0 0,-1 1 0,1 0 0,0 0 0,0 0 0,0 1 0,0 0 0,0 0 0,0 1 0,1-1 0,-1 1 0,1 0 0,-1 1 0,-4 4 0,2-1 0,0 0 0,1 1 0,0-1 0,0 2 0,1-1 0,0 1 0,0 0 0,-7 16 0,11-21 0,0-1 0,1 1 0,-1 0 0,1 0 0,0-1 0,0 1 0,0 0 0,1 0 0,0 0 0,-1 0 0,1 0 0,0 0 0,1 0 0,-1 0 0,1 0 0,0 0 0,0 0 0,0 0 0,0-1 0,1 1 0,0 0 0,-1-1 0,1 1 0,0-1 0,1 0 0,2 4 0,-2-4 0,0 0 0,0-1 0,0 1 0,1-1 0,-1 1 0,1-1 0,0-1 0,-1 1 0,1 0 0,0-1 0,0 0 0,0 0 0,7 1 0,-4-1 0,0-1 0,0 0 0,0 0 0,0-1 0,0 0 0,0 0 0,10-3 0,3-4 0,-1 0 0,0 0 0,0-2 0,27-19 0,-3-1 0,-1-1 0,-1-3 0,57-61 0,-73 66 0,0-1 0,-2-1 0,-2 0 0,0-2 0,26-58 0,-42 80 0,-1-1 0,0 1 0,0-1 0,-1 0 0,-1 0 0,0 0 0,0-20 0,-2 29 0,0 0 0,0 0 0,0 0 0,-1 0 0,1 0 0,-1 0 0,0 1 0,0-1 0,0 0 0,-1 0 0,1 1 0,0-1 0,-1 1 0,0-1 0,0 1 0,1 0 0,-1-1 0,-1 1 0,1 0 0,0 0 0,0 1 0,-1-1 0,1 0 0,-1 1 0,0-1 0,1 1 0,-1 0 0,0 0 0,0 0 0,0 0 0,1 1 0,-1-1 0,0 1 0,-6-1 0,2 1 0,-1 0 0,1 1 0,0 0 0,0 0 0,-1 0 0,1 1 0,0 0 0,1 0 0,-1 1 0,0 0 0,1 0 0,-1 1 0,1-1 0,0 1 0,0 1 0,0-1 0,1 1 0,0 0 0,-7 8 0,3-3 0,0 1 0,1 0 0,1 0 0,0 1 0,0-1 0,1 2 0,1-1 0,0 0 0,-5 22 0,9-30 0,0 0 0,1 0 0,-1 1 0,1-1 0,0 1 0,0-1 0,0 0 0,0 1 0,1-1 0,0 0 0,0 1 0,0-1 0,1 0 0,-1 0 0,1 0 0,4 8 0,-3-9 0,-1-1 0,1 1 0,-1 0 0,1-1 0,0 1 0,0-1 0,0 0 0,1 0 0,-1 0 0,0 0 0,1-1 0,-1 1 0,1-1 0,0 0 0,-1 0 0,1 0 0,0 0 0,0-1 0,6 0 0,-1 0 0,0 0 0,1-1 0,-1 0 0,0-1 0,0 0 0,0 0 0,0-1 0,0-1 0,-1 1 0,1-1 0,-1 0 0,0-1 0,0 0 0,-1-1 0,1 1 0,-1-1 0,0-1 0,-1 1 0,0-1 0,0 0 0,7-11 0,-1 0 0,-1 0 0,-1-1 0,-1-1 0,0 0 0,-2 0 0,0 0 0,-1-1 0,3-23 0,-5 13 0,-4 31 0,1 22 0,4 25 0,1-1 0,3 0 0,2 0 0,2-1 0,1-1 0,23 45 0,12 13 0,83 127 0,-118-206 0,3 1 0,-2 0 0,-2 1 0,0 0 0,-1 1 0,15 51 0,-26-72 0,0-1 0,0 1 0,0 0 0,-1 0 0,1 0 0,-1 0 0,-1 0 0,1 0 0,-1 0 0,0 0 0,0 0 0,-1 4 0,0-6 0,1-1 0,0 0 0,-1 1 0,1-1 0,-1 0 0,1 0 0,-1 0 0,0 0 0,0 0 0,0 0 0,0 0 0,0-1 0,-1 1 0,1-1 0,0 1 0,-1-1 0,1 0 0,-1 0 0,0 0 0,1-1 0,-1 1 0,-3 0 0,0 0 0,1-1 0,-1 0 0,0 0 0,1 0 0,-1 0 0,1-1 0,-1 0 0,0 0 0,1-1 0,0 0 0,-1 0 0,1 0 0,0 0 0,0-1 0,0 0 0,-6-5 0,0 0 0,1-1 0,0 0 0,1 0 0,0-1 0,-15-21 0,10 9-682,-21-46-1,-3-26-6143</inkml:trace>
  <inkml:trace contextRef="#ctx0" brushRef="#br0" timeOffset="4513.59">2746 5052 24575,'0'25'0,"1"1"0,5 36 0,-3-51 0,-1-1 0,1 0 0,1 0 0,0 0 0,0 0 0,1 0 0,0-1 0,10 13 0,-7-12 0,1 0 0,0-1 0,1 0 0,0 0 0,0-1 0,1 0 0,0-1 0,1 0 0,-1-1 0,1 0 0,0-1 0,1 0 0,23 5 0,-29-9 0,0 1 0,0-2 0,1 1 0,-1-1 0,0 0 0,0 0 0,1-1 0,-1 0 0,0 0 0,0-1 0,11-4 0,-13 3 0,1 1 0,-1-1 0,0-1 0,0 1 0,0-1 0,-1 0 0,1 0 0,-1 0 0,0 0 0,0-1 0,0 0 0,-1 0 0,0 0 0,0 0 0,4-9 0,-4 6 13,0 1 1,-1-1-1,0 0 0,0 0 0,-1 0 0,0 0 0,-1 0 0,0 0 0,0 0 1,0 0-1,-1 0 0,-2-10 0,0 7 6,0 1 0,0-1 0,-1 1 0,0 0 0,-1 0 0,0 0 0,-1 1 0,-12-17 0,13 20-46,0 0 1,0 1 0,-1-1 0,0 1-1,0 0 1,0 1 0,0 0 0,-1 0-1,0 0 1,0 0 0,0 1 0,-10-3-1,11 5-49,0 0 1,1 0-1,-1 0 0,0 1 0,0 0 0,0 0 0,1 1 0,-1 0 1,0 0-1,0 0 0,1 0 0,-1 1 0,1 0 0,-1 0 1,1 0-1,0 1 0,-9 6 0,-32 28-6750</inkml:trace>
  <inkml:trace contextRef="#ctx0" brushRef="#br0" timeOffset="7202.89">9383 2552 24575,'2'-10'0,"-4"10"0,1 12 0,-40 269 0,-107 569 0,122-691 0,24-137 0,-33 158 0,29-158 0,-1 0 0,-1 0 0,-1-1 0,-1 0 0,-22 34 0,23-43 0,-1-1 0,0-1 0,-1 0 0,0 0 0,0-1 0,-1-1 0,-1 0 0,1 0 0,-1-1 0,-1-1 0,-22 8 0,34-13 0,-1-1 0,0 1 0,1 0 0,-1-1 0,0 1 0,1-1 0,-1 0 0,0 0 0,0 0 0,1 0 0,-1-1 0,0 1 0,0-1 0,1 1 0,-1-1 0,0 0 0,1 0 0,-1 0 0,1-1 0,0 1 0,-1 0 0,1-1 0,0 0 0,0 1 0,0-1 0,0 0 0,0 0 0,0 0 0,0-1 0,1 1 0,-2-3 0,-4-7 0,0 0 0,1-1 0,1 0 0,0 0 0,-3-15 0,-18-97 0,2 5 0,23 114 0,-1 1 0,0-1 0,0 1 0,0-1 0,-6-8 0,8 14 0,-1 0 0,1 0 0,0-1 0,0 1 0,0 0 0,-1 0 0,1-1 0,0 1 0,0 0 0,-1 0 0,1 0 0,0-1 0,-1 1 0,1 0 0,0 0 0,0 0 0,-1 0 0,1 0 0,0 0 0,-1 0 0,1-1 0,0 1 0,-1 0 0,1 0 0,0 0 0,-1 0 0,1 0 0,0 1 0,-1-1 0,1 0 0,0 0 0,-1 0 0,1 0 0,0 0 0,-1 0 0,1 0 0,0 1 0,0-1 0,-1 0 0,1 0 0,0 1 0,0-1 0,-1 0 0,1 0 0,0 1 0,0-1 0,-1 0 0,1 0 0,0 1 0,0-1 0,0 0 0,0 1 0,0-1 0,0 0 0,-1 1 0,1-1 0,-3 11 0,-1 1 0,1-1 0,1 0 0,0 1 0,1-1 0,0 17 0,0-13 0,-8 213 0,10-192 0,1 1 0,2-1 0,2-1 0,12 46 0,-15-70 0,0-1 0,1 1 0,1-1 0,0 1 0,0-1 0,14 18 0,-16-24 0,1-1 0,-1 1 0,1-1 0,0 1 0,-1-1 0,2-1 0,-1 1 0,0 0 0,0-1 0,1 0 0,0 0 0,-1 0 0,1-1 0,0 1 0,0-1 0,0 0 0,-1-1 0,9 1 0,-1-1 0,0-1 0,0 0 0,1-1 0,-1 0 0,0-1 0,12-5 0,69-31 0,-48 18 0,25-6 0,0 3 0,104-22 0,-118 30-1365,-13 0-5461</inkml:trace>
  <inkml:trace contextRef="#ctx0" brushRef="#br0" timeOffset="8551.94">9929 2456 24575,'-1'56'0,"3"75"0,-1-126 0,-1-1 0,1 0 0,0 0 0,0 0 0,0 0 0,0 0 0,3 5 0,-4-9 0,0 1 0,1-1 0,-1 0 0,0 1 0,0-1 0,1 0 0,-1 1 0,0-1 0,1 0 0,-1 1 0,0-1 0,1 0 0,-1 0 0,1 1 0,-1-1 0,0 0 0,1 0 0,-1 0 0,1 0 0,-1 0 0,0 1 0,1-1 0,-1 0 0,1 0 0,-1 0 0,1 0 0,-1 0 0,0 0 0,1-1 0,-1 1 0,1 0 0,-1 0 0,1 0 0,-1 0 0,0 0 0,1-1 0,-1 1 0,1 0 0,-1 0 0,0-1 0,1 1 0,-1 0 0,0 0 0,1-1 0,-1 1 0,0-1 0,11-9 0,-1-1 0,-1 0 0,0-1 0,-1 0 0,0-1 0,11-22 0,-18 34 0,32-66 30,-2-2-1,43-142 0,8-156-469,-34 11-1289,-43 288 1720,-4-1 1,-2 1-1,-11-83 1,9 132 8,-8-30 0,10 46 0,0 0 0,0 0 0,0-1 0,-1 1 0,1 0 0,-1 0 0,1 0 0,-1 1 0,0-1 0,0 0 0,-1 1 0,1-1 0,0 1 0,-1 0 0,-4-4 0,6 6 0,0-1 0,0 1 0,1 0 0,-1 0 0,0 0 0,0-1 0,0 1 0,0 0 0,0 0 0,1 0 0,-1 0 0,0 0 0,0 0 0,0 1 0,0-1 0,0 0 0,1 0 0,-1 1 0,0-1 0,0 0 0,0 1 0,1-1 0,-1 1 0,0-1 0,1 1 0,-1-1 0,0 1 0,1-1 0,-1 1 0,0 0 0,1-1 0,-1 2 0,-1 1 0,0 1 0,0-1 0,0 0 0,0 1 0,1 0 0,-2 5 0,0 1 30,1 0 0,0 1 0,1-1 0,0 1 0,1-1 0,0 1 0,0-1 0,1 1 0,1-1 0,2 12 0,1-8 74,0 0 0,0 1 0,1-2 0,1 1 0,0-1 0,12 16-1,9 6 162,0-2-1,3-1 1,63 52-1,-53-50-264,124 113 0,-145-127 0,-2 0 0,0 2 0,-1 0 0,-1 1 0,22 45 0,-33-60 0,-2 1 0,1 0 0,-1 0 0,-1 0 0,1 0 0,-2 1 0,1-1 0,-1 1 0,-1-1 0,0 1 0,0-1 0,-1 1 0,0-1 0,0 1 0,-1-1 0,-1 0 0,1 0 0,-1 0 0,-1 0 0,0 0 0,0 0 0,-1-1 0,0 0 0,0 0 0,-1-1 0,0 1 0,0-1 0,-1 0 0,0-1 0,-13 11 0,7-8 0,0 0 0,0-1 0,0-1 0,-1 0 0,0 0 0,-1-2 0,0 1 0,1-2 0,-1 0 0,-1-1 0,-18 1 0,23-3 0,0 0 0,0-1 0,0-1 0,0 0 0,-1 0 0,2-1 0,-1-1 0,0 1 0,0-2 0,1 0 0,-1 0 0,1-1 0,0 0 0,1-1 0,-1 0 0,-12-10 0,5 0 0,1-1 0,1 0 0,1-1 0,0-1 0,1 0 0,-16-31 0,14 19 0,2 0 0,1-1 0,-14-58 0,23 79 0,1 0 0,0-1 0,1 1 0,0 0 0,0-1 0,2 1 0,-1-1 0,4-13 0,-4 21 0,1 1 0,1-1 0,-1 1 0,0-1 0,1 1 0,0-1 0,0 1 0,0 0 0,0 0 0,0 0 0,1 0 0,-1 0 0,1 1 0,0-1 0,0 1 0,0-1 0,0 1 0,0 0 0,0 0 0,1 1 0,-1-1 0,1 1 0,-1-1 0,1 1 0,-1 0 0,1 1 0,6-2 0,3 1 0,-1 1 0,0 0 0,1 0 0,-1 1 0,1 1 0,23 6 0,74 30 0,-77-26 0,101 42-1365,-77-32-5461</inkml:trace>
  <inkml:trace contextRef="#ctx0" brushRef="#br0" timeOffset="9816.79">11180 1492 24575,'5'-6'0,"0"0"0,0-1 0,-1 1 0,0-1 0,0 0 0,0-1 0,-1 1 0,0-1 0,-1 1 0,1-1 0,-2 0 0,1 0 0,0-13 0,-1 13 0,0-1 0,-1 0 0,-1 0 0,0 1 0,0-1 0,0 0 0,-1 1 0,0-1 0,-1 1 0,0-1 0,0 1 0,-5-8 0,4 10 0,0 1 0,1 0 0,-2 0 0,1 1 0,0-1 0,-1 1 0,0 0 0,-7-5 0,11 8 0,-1 0 0,1 0 0,-1 0 0,0 1 0,1-1 0,-1 0 0,0 1 0,0-1 0,1 1 0,-1-1 0,0 1 0,0 0 0,0 0 0,1 0 0,-1 0 0,0 0 0,0 0 0,0 0 0,0 1 0,1-1 0,-1 1 0,0-1 0,0 1 0,1 0 0,-1 0 0,1 0 0,-1-1 0,0 1 0,1 1 0,0-1 0,-1 0 0,1 0 0,-3 3 0,0 2 0,1 0 0,-1 0 0,1 0 0,0 0 0,0 0 0,1 1 0,-3 11 0,-9 54 0,8-26 0,1 1 0,2 1 0,3-1 0,1 0 0,13 79 0,-11-116 0,-1-1 0,1 0 0,1 0 0,0 0 0,0 0 0,1 0 0,0-1 0,0 0 0,1 0 0,0 0 0,0-1 0,9 7 0,-11-10 0,1 0 0,-1-1 0,1 1 0,0-1 0,-1 0 0,2-1 0,-1 1 0,0-1 0,0 0 0,1 0 0,-1-1 0,1 0 0,-1 0 0,1 0 0,0 0 0,-1-1 0,1 0 0,0 0 0,0-1 0,-1 1 0,9-3 0,-7 0 0,1 0 0,-1 0 0,0-1 0,0 0 0,-1 0 0,1 0 0,-1-1 0,0 0 0,0-1 0,-1 1 0,1-1 0,-1 0 0,-1 0 0,1 0 0,-1-1 0,0 0 0,0 0 0,3-9 0,2-7 0,-1-1 0,-1 1 0,-1-1 0,5-38 0,-6 29 0,-2 0 0,-1 0 0,-2-1 0,-1 1 0,-8-51 0,4 67 0,2 15 0,-1 24 0,5-4 0,0 1 0,0-2 0,2 1 0,0 0 0,1 0 0,1-1 0,12 28 0,-12-32 0,1 0 0,1-1 0,0 1 0,1-2 0,0 1 0,1-1 0,0 0 0,0-1 0,1 0 0,19 14 0,-18-17 0,0 0 0,1 0 0,0-1 0,23 8 0,-30-12 0,0-1 0,0 0 0,0 1 0,0-2 0,1 1 0,-1-1 0,0 0 0,1 0 0,-1 0 0,0-1 0,0 0 0,1 0 0,-1 0 0,0 0 0,7-4 0,-5 1 0,0 0 0,-1-1 0,1 0 0,-1 0 0,-1-1 0,1 1 0,-1-1 0,0-1 0,0 1 0,0-1 0,-1 1 0,0-1 0,-1-1 0,1 1 0,2-10 0,1-5 0,0 0 0,-2 0 0,-1-1 0,2-25 0,-3-1 0,-2 0 0,-2 0 0,-2 0 0,-12-61 0,9 94 0,3 31 0,3-2 0,0 0 0,2 0 0,-1-1 0,2 1 0,0 0 0,0-1 0,1 1 0,1-1 0,0 0 0,1 0 0,0-1 0,0 0 0,1 0 0,1 0 0,0-1 0,1 0 0,-1-1 0,2 1 0,-1-2 0,1 0 0,1 0 0,0 0 0,0-1 0,0-1 0,1 0 0,-1-1 0,1 0 0,1-1 0,-1 0 0,22 3 0,-27-5 0,0-2 0,0 1 0,1-1 0,-1 0 0,0 0 0,1-1 0,-1 0 0,0-1 0,0 1 0,0-1 0,0-1 0,0 1 0,13-8 0,-12 5 0,1-1 0,-1-1 0,0 1 0,-1-1 0,1 0 0,-1-1 0,-1 0 0,0 0 0,6-10 0,-1-2 0,0 1 0,-2-2 0,-1 1 0,-1-1 0,0-1 0,-1 1 0,-2-1 0,4-37 0,-7 32 0,-1 0 0,-6-48 0,5 70 0,0-7 0,6 17 0,0 1 0,19 23 0,25 30 0,-44-54 0,0 0 0,0-1 0,0 0 0,1 0 0,-1 0 0,1 0 0,0-1 0,12 4 0,-15-6 0,-1 0 0,1 0 0,0-1 0,0 0 0,0 1 0,0-1 0,0 0 0,0-1 0,-1 1 0,1 0 0,0-1 0,0 1 0,0-1 0,0 0 0,-1 0 0,1 0 0,0-1 0,-1 1 0,1 0 0,-1-1 0,1 0 0,-1 1 0,0-1 0,0 0 0,0 0 0,0-1 0,0 1 0,2-4 0,4-6 0,0-1 0,-1 1 0,-1-2 0,7-19 0,-10 25 0,4-9 0,-2 1 0,1 1 0,1 0 0,0 0 0,1 1 0,10-14 0,-15 24 0,0 1 0,0-1 0,1 1 0,-1 0 0,1 0 0,-1 0 0,1 1 0,0-1 0,0 1 0,0 0 0,0 0 0,1 0 0,-1 1 0,0-1 0,1 1 0,-1 0 0,1 0 0,0 1 0,-1 0 0,1-1 0,-1 1 0,1 1 0,5 0 0,21 5 0,-15-3 0,1 0 0,-1-1 0,24 0 0,-37-2 0,0 0 0,1 0 0,-1-1 0,0 1 0,0-1 0,0 0 0,0 1 0,0-1 0,0 0 0,0-1 0,0 1 0,-1-1 0,1 1 0,0-1 0,-1 0 0,1 0 0,-1 0 0,0 0 0,0 0 0,1 0 0,-2-1 0,1 1 0,0-1 0,1-2 0,-1 0 0,-1 0 0,0 1 0,0-1 0,0 0 0,0 0 0,-1 1 0,0-1 0,0 0 0,0 0 0,0 0 0,-1 1 0,0-1 0,0 0 0,0 0 0,-1 1 0,0-1 0,1 1 0,-2 0 0,1-1 0,0 1 0,-1 0 0,-5-6 0,3 3 0,-1 0 0,0 0 0,0 1 0,0 0 0,-1 0 0,0 1 0,0-1 0,0 2 0,-1-1 0,0 1 0,-13-5 0,16 7 0,0 1 0,0-1 0,0 1 0,-1 1 0,1-1 0,0 1 0,0 0 0,-1 0 0,1 1 0,0-1 0,0 1 0,-1 0 0,1 1 0,0-1 0,0 1 0,-5 2 0,3 1 0,0-1 0,0 1 0,0 0 0,1 0 0,0 0 0,0 1 0,0 0 0,1 1 0,-7 9 0,1 3 0,0 0 0,1 1 0,1 0 0,1 1 0,1 0 0,-8 39 0,12-44 0,1 1 0,0-1 0,1 1 0,1 0 0,0 0 0,1 0 0,1-1 0,1 1 0,0-1 0,7 19 0,-7-26 0,1 0 0,0-1 0,0 0 0,1 1 0,0-2 0,0 1 0,1 0 0,0-1 0,0 0 0,1-1 0,-1 1 0,2-1 0,-1-1 0,1 1 0,0-1 0,0 0 0,0-1 0,0 0 0,12 3 0,-7-3 31,0 0 0,0-2 0,1 1 0,-1-2 0,1 0 0,0 0 0,-1-2 0,1 1 1,0-2-1,25-5 0,-30 5-126,-1-1 0,1 1 0,-1-2 0,1 1 1,-1-1-1,0 0 0,0-1 0,-1 0 0,0 0 0,1-1 1,-2 0-1,1 0 0,-1 0 0,0-1 0,0 0 1,-1 0-1,6-9 0,6-24-6731</inkml:trace>
  <inkml:trace contextRef="#ctx0" brushRef="#br0" timeOffset="19449.37">12750 2360 24575,'0'7'0,"-1"1"0,0-1 0,-1 0 0,-4 14 0,2-5 0,-145 446-897,-21-7-442,96-257 1132,-266 663-1229,201-553 1342,112-257 212,-2-2-1,-3-1 0,-69 83 0,93-123 173,1-1 1,-1 0-1,-1 0 1,0 0-1,1-1 1,-11 4-1,17-8-239,-1-1 0,1 1-1,-1-1 1,1 0 0,-1 0 0,1 0-1,-1-1 1,1 1 0,-1-1-1,0 1 1,1-1 0,-1 0 0,0 0-1,1 0 1,-1 0 0,0 0 0,1-1-1,-1 1 1,1-1 0,-1 0-1,0 0 1,1 0 0,0 0 0,-1 0-1,1 0 1,-1-1 0,1 1 0,-4-4-1,3 1-50,0-1 0,-1 0 0,1 0 0,1 0 0,-1 0 0,1 0 0,0 0 0,0-1 0,1 1 0,-3-10 0,1-8 0,-1-30 0,3 42 0,5-312 0,-3 311 0,-1 14 0,1 20 0,-1 143 0,2 64 0,-2-218 0,0 1 0,2 0 0,-1-1 0,1 0 0,7 22 0,-8-30 0,1 0 0,-1-1 0,1 1 0,-1 0 0,1 0 0,0-1 0,0 1 0,0-1 0,0 1 0,1-1 0,-1 0 0,1 0 0,-1 0 0,1 0 0,0 0 0,0-1 0,-1 1 0,1-1 0,0 0 0,1 0 0,-1 0 0,0 0 0,0 0 0,0-1 0,5 1 0,4-1 0,1 0 0,-1-1 0,0-1 0,0 0 0,0 0 0,0-1 0,16-6 0,5-4 0,42-24 0,76-54-1365,-77 38-5461</inkml:trace>
  <inkml:trace contextRef="#ctx0" brushRef="#br0" timeOffset="20571.76">14932 2038 24575,'0'0'0,"-1"0"0,0 1 0,1-1 0,-1 0 0,0 1 0,1-1 0,-1 1 0,0-1 0,1 0 0,-1 1 0,1-1 0,-1 1 0,1 0 0,-1-1 0,1 1 0,-1-1 0,1 1 0,0 0 0,-1-1 0,1 1 0,0 0 0,0-1 0,-1 1 0,1 0 0,0 0 0,0-1 0,0 1 0,0 0 0,0 1 0,-1 1 0,-68 232 0,18-72 0,-151 507-1698,-41-12-206,192-545 1677,-4-2-1,-122 184 0,135-235 533,-103 139 2321,137-191-2468,1 0 1,-1 0 0,-1 0 0,0-2-1,-14 10 1,20-14-142,1 0 0,-1-1-1,0 1 1,0-1 0,0 0 0,0 0-1,0 0 1,0 0 0,0 0 0,0-1-1,0 1 1,-1-1 0,1 0 0,0 0-1,0 0 1,0 0 0,0-1 0,-1 1-1,1-1 1,0 0 0,0 0 0,0 0-1,-3-2 1,4 2-17,0-1 0,0 1 0,0-1 0,0 0 0,1 1 0,-1-1 0,1 0 0,-1 0 0,1 0 0,0 0 0,0-1 0,0 1 0,-1-4 0,-7-32 0,9 34 0,-6-43 0,3-1 0,2 0 0,2 1 0,2-1 0,2 0 0,12-53 0,-11 84 0,-6 17 0,0 0 0,0 0 0,1 0 0,-1 0 0,0 0 0,0 0 0,0 0 0,0 0 0,0 0 0,0 0 0,0 0 0,1 0 0,-1 0 0,0 0 0,0 0 0,0 0 0,0 0 0,0 1 0,0-1 0,0 0 0,1 0 0,-1 0 0,0 0 0,0 0 0,0 0 0,0 0 0,0 0 0,0 0 0,0 0 0,0 1 0,0-1 0,0 0 0,0 0 0,0 0 0,1 0 0,-1 0 0,0 0 0,0 0 0,0 1 0,0-1 0,0 0 0,0 0 0,0 0 0,0 0 0,0 0 0,0 0 0,0 1 0,0-1 0,0 0 0,0 0 0,-1 0 0,1 0 0,0 0 0,0 0 0,0 1 0,0 33 0,-5 21 0,-13 245 0,18-288 0,0 1 0,1 0 0,0 0 0,1-1 0,1 1 0,0-1 0,7 17 0,-9-25 0,1 0 0,1 0 0,-1 0 0,0 0 0,1-1 0,0 1 0,0-1 0,0 0 0,0 0 0,1 0 0,-1 0 0,1-1 0,0 1 0,-1-1 0,1 0 0,0 0 0,0 0 0,1-1 0,-1 1 0,0-1 0,0 0 0,1 0 0,-1-1 0,6 1 0,4-1 0,-1 0 0,0-1 0,0 0 0,0-1 0,0-1 0,14-4 0,73-30 0,34-30-1365,-85 38-5461</inkml:trace>
  <inkml:trace contextRef="#ctx0" brushRef="#br0" timeOffset="21864.95">14547 1012 24575,'0'0'0,"0"-1"0,-1 1 0,1-1 0,0 1 0,0-1 0,-1 0 0,1 1 0,0-1 0,-1 1 0,1-1 0,0 1 0,-1-1 0,1 1 0,-1 0 0,1-1 0,-1 1 0,1-1 0,-1 1 0,1 0 0,-1-1 0,1 1 0,-1 0 0,0 0 0,1 0 0,-1-1 0,1 1 0,-1 0 0,0 0 0,1 0 0,-1 0 0,1 0 0,-1 0 0,0 0 0,1 0 0,-1 0 0,0 0 0,1 1 0,-1-1 0,1 0 0,-1 0 0,1 0 0,-1 1 0,0-1 0,1 0 0,-1 1 0,1-1 0,-1 0 0,1 1 0,-1 0 0,-2 2 0,1 0 0,-1 0 0,1 0 0,0 0 0,0 0 0,0 1 0,0-1 0,1 1 0,-1-1 0,1 1 0,-1 7 0,-1 0 0,2 1 0,-2 20 0,3-11 0,2-1 0,-1 0 0,2 1 0,1-1 0,1 0 0,0-1 0,1 1 0,2-1 0,18 36 0,-19-42 0,1 0 0,0-1 0,1 0 0,1 0 0,0-1 0,0 0 0,1-1 0,0 0 0,1-1 0,0-1 0,1 1 0,0-2 0,0 0 0,21 8 0,-18-9 0,1-1 0,0-1 0,0-1 0,0 0 0,1-2 0,24 1 0,-35-2 0,-1 0 0,0-1 0,1 0 0,-1 0 0,0 0 0,0 0 0,0-1 0,0 0 0,0-1 0,0 1 0,0-1 0,-1 0 0,1-1 0,-1 1 0,0-1 0,0 0 0,0 0 0,0-1 0,-1 1 0,7-10 0,-4 1 0,-1 0 0,-1 0 0,0 0 0,-1-1 0,0 1 0,-1-1 0,0 0 0,-1 0 0,0-23 0,-2 12 0,-1 1 0,-1 0 0,-1 0 0,-12-44 0,9 43 0,-2 0 0,-1 1 0,0-1 0,-2 2 0,-1 0 0,-21-32 0,32 54 0,1 0 0,-1 0 0,1 0 0,-1 0 0,0 1 0,1-1 0,-1 0 0,0 0 0,0 1 0,0-1 0,1 0 0,-1 1 0,0-1 0,0 1 0,0-1 0,0 1 0,0-1 0,-1 1 0,2 0 0,0 1 0,0 0 0,0 0 0,0 0 0,0 0 0,0-1 0,0 1 0,1 0 0,-1 0 0,0 0 0,1-1 0,-1 1 0,0 0 0,1 0 0,-1-1 0,1 1 0,-1 0 0,1-1 0,1 2 0,27 29-1365,10 2-5461</inkml:trace>
  <inkml:trace contextRef="#ctx0" brushRef="#br0" timeOffset="22269.19">15220 1045 24575,'-1'0'0,"1"0"0,0 0 0,0-1 0,0 1 0,0 0 0,0 0 0,0-1 0,0 1 0,0 0 0,0 0 0,0-1 0,0 1 0,0 0 0,0 0 0,0 0 0,0-1 0,0 1 0,1 0 0,-1 0 0,0-1 0,0 1 0,0 0 0,0 0 0,0 0 0,0 0 0,1-1 0,-1 1 0,0 0 0,0 0 0,0 0 0,1 0 0,-1-1 0,0 1 0,0 0 0,0 0 0,1 0 0,-1 0 0,0 0 0,0 0 0,0 0 0,1 0 0,-1 0 0,0 0 0,0 0 0,1 0 0,-1 0 0,0 0 0,0 0 0,1 0 0,-1 0 0,15 10 0,15 22 0,-5 0 0,35 58 0,-52-77 0,-1 1 0,-1 0 0,0 0 0,0 1 0,-1-1 0,-1 1 0,3 21 0,-18-102 0,5-5 0,4-1 0,11-134 0,-7 195 0,0 1 0,0-1 0,1 1 0,0-1 0,1 1 0,0 0 0,7-12 0,-8 18 0,-1 1 0,0-1 0,1 1 0,0-1 0,0 1 0,0 0 0,0 0 0,0 0 0,1 1 0,-1-1 0,1 1 0,0 0 0,0 0 0,0 0 0,0 0 0,0 1 0,0 0 0,0 0 0,0 0 0,7-1 0,-4 2 0,1 0 0,-1 1 0,1 0 0,-1 0 0,1 1 0,-1 0 0,0 0 0,1 0 0,-1 1 0,-1 0 0,1 1 0,0 0 0,-1 0 0,0 0 0,0 0 0,0 1 0,0 0 0,-1 1 0,0-1 0,6 8 0,4 7 0,0 0 0,-2 1 0,-1 1 0,20 45 0,-14-23-682,42 75-1,-19-60-6143</inkml:trace>
  <inkml:trace contextRef="#ctx0" brushRef="#br0" timeOffset="23060.3">16407 723 24575,'-1'-4'0,"1"0"0,-1 0 0,0 0 0,0 0 0,-1 0 0,1 0 0,-1 0 0,0 0 0,0 1 0,0-1 0,0 0 0,-1 1 0,1 0 0,-1 0 0,0 0 0,0 0 0,0 0 0,-1 0 0,1 1 0,0 0 0,-1-1 0,0 1 0,0 0 0,1 1 0,-1-1 0,0 1 0,0 0 0,0 0 0,-1 0 0,1 0 0,0 1 0,0 0 0,-6 0 0,2 1 0,1 1 0,0 0 0,0 1 0,1-1 0,-1 1 0,0 1 0,1-1 0,0 1 0,0 0 0,0 1 0,0-1 0,1 1 0,0 0 0,0 1 0,0-1 0,-5 9 0,2-2 0,0 0 0,0 1 0,1 0 0,1 0 0,0 1 0,1-1 0,-4 18 0,7-22 0,1 0 0,0-1 0,0 1 0,1 0 0,0 0 0,1 0 0,0 0 0,0 0 0,1-1 0,0 1 0,0-1 0,1 1 0,1-1 0,-1 0 0,1 0 0,0 0 0,1 0 0,0-1 0,0 0 0,1 0 0,8 9 0,-6-8 0,1-1 0,-1 0 0,1 0 0,1 0 0,-1-1 0,1-1 0,0 0 0,0 0 0,1-1 0,-1 0 0,1-1 0,0 0 0,0-1 0,0 0 0,0 0 0,16-1 0,-23-1 0,1-1 0,-1 1 0,1-1 0,-1 0 0,1 0 0,-1-1 0,0 1 0,1-1 0,-1 0 0,0 0 0,0 0 0,0-1 0,-1 1 0,1-1 0,-1 0 0,1 0 0,-1-1 0,0 1 0,0 0 0,0-1 0,-1 0 0,1 0 0,-1 0 0,0 0 0,0 0 0,2-8 0,2-5 0,-1-1 0,-1 1 0,-1-1 0,-1 0 0,1-30 0,-5-16 0,-2 0 0,-26-125 0,14 104 0,5 19 0,-9-52 0,-38-127 0,55 234 0,-1 0 0,0 0 0,-7-12 0,11 24 0,0-1 0,0 0 0,0 0 0,-1 1 0,1-1 0,0 0 0,0 0 0,0 1 0,0-1 0,0 0 0,0 0 0,0 0 0,0 1 0,-1-1 0,1 0 0,0 0 0,0 0 0,0 1 0,-1-1 0,1 0 0,0 0 0,0 0 0,0 0 0,-1 0 0,1 0 0,0 1 0,0-1 0,-1 0 0,1 0 0,0 0 0,0 0 0,-1 0 0,1 0 0,0 0 0,0 0 0,-1 0 0,1 0 0,0 0 0,0 0 0,-1 0 0,1 0 0,0 0 0,0-1 0,-1 1 0,1 0 0,0 0 0,0 0 0,0 0 0,-1 0 0,1 0 0,0-1 0,0 1 0,0 0 0,-1 0 0,1 0 0,0-1 0,0 1 0,0 0 0,0 0 0,0 0 0,0-1 0,-1 1 0,0 12 0,1 0 0,0 0 0,0 0 0,1 0 0,1 0 0,0-1 0,5 20 0,-2-8 0,74 272 0,-62-245 0,3-1 0,2-1 0,50 81 0,-65-117 0,1 0 0,1-1 0,0-1 0,1 1 0,0-2 0,0 1 0,1-1 0,0-1 0,1 0 0,0-1 0,0 0 0,0 0 0,1-2 0,0 1 0,24 5 0,-33-10 0,1 0 0,0 0 0,0-1 0,0 0 0,-1 0 0,1 0 0,0 0 0,0-1 0,0 1 0,-1-1 0,1-1 0,0 1 0,-1-1 0,1 1 0,-1-1 0,1-1 0,-1 1 0,7-6 0,-5 3 0,0-1 0,-1 0 0,0 0 0,0 0 0,0-1 0,-1 0 0,0 0 0,0 0 0,-1 0 0,5-13 0,-2-1 0,0 0 0,3-33 0,6-25 0,-15 79 0,0-1 0,0 1 0,0-1 0,0 1 0,0 0 0,0-1 0,1 1 0,-1 0 0,0-1 0,0 1 0,0 0 0,0-1 0,0 1 0,1 0 0,-1-1 0,0 1 0,0 0 0,0-1 0,1 1 0,-1 0 0,0 0 0,1-1 0,-1 1 0,0 0 0,1 0 0,-1-1 0,0 1 0,1 0 0,-1 0 0,0 0 0,1 0 0,-1 0 0,0 0 0,1 0 0,-1 0 0,0 0 0,1 0 0,-1 0 0,1 0 0,-1 0 0,0 0 0,1 0 0,-1 0 0,0 0 0,1 0 0,-1 0 0,0 0 0,1 0 0,-1 1 0,0-1 0,1 0 0,-1 0 0,0 1 0,1-1 0,-1 0 0,0 0 0,0 1 0,1-1 0,-1 1 0,20 24 0,-12-14 0,5 3 0,0 1 0,0-2 0,2 0 0,-1-1 0,28 17 0,-31-22 0,1 0 0,-1-1 0,1-1 0,1 0 0,-1-1 0,1 0 0,-1-1 0,1 0 0,16 1 0,-25-4 0,0 0 0,-1 0 0,1 0 0,0-1 0,0 1 0,0-1 0,-1 0 0,1 0 0,0 0 0,-1-1 0,1 1 0,-1-1 0,1 0 0,-1 0 0,0 0 0,0 0 0,0 0 0,0-1 0,0 0 0,0 1 0,-1-1 0,1 0 0,-1 0 0,0-1 0,0 1 0,3-7 0,1-3 0,-1-1 0,-1 1 0,0-1 0,-1 0 0,2-28 0,-2 17 0,-2 0 0,-1 0 0,-1-1 0,-1 1 0,-7-36 0,7 50 0,-1 1 0,0-1 0,0 1 0,-1 0 0,0 0 0,-1 0 0,0 1 0,-1 0 0,0 0 0,0 0 0,-1 0 0,0 1 0,-1 0 0,0 1 0,-9-8 0,12 12 0,1 0 0,0 1 0,-1-1 0,1 1 0,-1 0 0,0 0 0,0 1 0,0-1 0,1 1 0,-2 0 0,1 0 0,0 1 0,-9 0 0,10 0 0,-1 1 0,1 0 0,-1 0 0,1 1 0,0-1 0,0 1 0,0 0 0,0 0 0,0 0 0,0 1 0,0 0 0,1-1 0,-1 1 0,1 0 0,0 1 0,-5 4 0,-3 8 43,-1 0 0,2 0-1,0 1 1,1 1 0,1 0-1,1 0 1,-10 33 0,7-10-612,2 0 0,-5 66 0,10-36-6257</inkml:trace>
  <inkml:trace contextRef="#ctx0" brushRef="#br0" timeOffset="23806.1">16214 1782 24575,'-2'0'0,"1"0"0,-1 0 0,0 1 0,0-1 0,1 1 0,-1 0 0,0-1 0,1 1 0,-1 0 0,1 0 0,-1 0 0,1 0 0,-1 0 0,1 0 0,0 1 0,0-1 0,-1 0 0,1 1 0,0-1 0,0 1 0,0-1 0,0 1 0,1-1 0,-2 4 0,-1 2 0,1-1 0,0 1 0,0 0 0,1-1 0,-2 12 0,3 20 0,2 0 0,1 0 0,13 61 0,-14-86 0,16 64 0,2-2 0,34 79 0,-52-146 0,-5-13 0,-7-18 0,-13-37 0,4-1 0,2-1 0,-16-109 0,6-193 0,29 261 0,0 90 0,-1 1 0,2-1 0,-1 1 0,2 0 0,6-16 0,-9 25 0,-1 1 0,1 0 0,0 0 0,0 0 0,0 0 0,1 0 0,-1 0 0,1 0 0,-1 0 0,1 1 0,-1-1 0,1 0 0,0 1 0,0 0 0,0-1 0,-1 1 0,2 0 0,-1 0 0,0 0 0,3-1 0,-2 2 0,-1 0 0,0 0 0,1 0 0,-1 0 0,1 0 0,-1 1 0,0-1 0,1 1 0,-1 0 0,0 0 0,0 0 0,0 0 0,0 0 0,0 0 0,0 0 0,3 3 0,7 6 0,-1 1 0,0 1 0,-1-1 0,15 23 0,-22-30 0,14 21 0,-1 0 0,-2 1 0,0 1 0,13 38 0,-21-48 0,-1 1 0,0 0 0,-1 0 0,-1 0 0,-1 0 0,0 1 0,-1-1 0,-3 23 0,2-36 0,-1-1 0,0 0 0,0 0 0,0 0 0,0 1 0,0-1 0,-1 0 0,0 0 0,0-1 0,0 1 0,-1 0 0,1-1 0,-1 1 0,1-1 0,-1 0 0,-6 5 0,6-6 0,0 0 0,0 0 0,-1 0 0,1-1 0,-1 1 0,1-1 0,-1 0 0,0 0 0,1 0 0,-1-1 0,0 1 0,0-1 0,1 0 0,-1 0 0,0 0 0,0 0 0,1-1 0,-7-1 0,3 0 0,0 0 0,1-1 0,-1 1 0,0-1 0,1-1 0,0 0 0,0 0 0,0 0 0,0 0 0,0-1 0,1 0 0,-7-8 0,9 5 0,9 7 0,13 9 0,0 0 0,0 1 0,19 14 0,-35-21 0,127 82 0,-5-2 0,-111-74-105,0-1 0,1 0 0,0-1 0,0 0 0,0-1 0,1-1 0,0-1 0,-1 0 0,1-1 0,0 0 0,1-1 0,25-3 0,2-3-6721</inkml:trace>
  <inkml:trace contextRef="#ctx0" brushRef="#br0" timeOffset="24177.98">16889 1878 24575,'0'1'0,"0"0"0,0 0 0,1 0 0,-1 0 0,1 0 0,-1 0 0,1 0 0,-1 0 0,1 0 0,0 0 0,-1-1 0,1 1 0,0 0 0,-1 0 0,1-1 0,0 1 0,0 0 0,0-1 0,0 1 0,0-1 0,0 1 0,0-1 0,0 1 0,0-1 0,0 0 0,0 1 0,0-1 0,2 0 0,34 4 0,-34-4 0,6 0 0,0 0 0,0-1 0,1 0 0,-1 0 0,0-1 0,0-1 0,0 1 0,-1-2 0,1 1 0,-1-1 0,9-5 0,-14 7 0,0 0 0,0 1 0,0-1 0,-1 0 0,1-1 0,-1 1 0,0 0 0,1-1 0,-1 1 0,0-1 0,0 0 0,-1 1 0,1-1 0,0 0 0,-1 0 0,0 0 0,0 0 0,0-1 0,0 1 0,0 0 0,-1 0 0,1-1 0,-1 1 0,0 0 0,0-1 0,0 1 0,-1 0 0,1 0 0,-1-1 0,1 1 0,-1 0 0,0 0 0,-1 0 0,-1-4 0,2 3 0,-1 1 0,0 0 0,0-1 0,0 1 0,0 0 0,0 0 0,-1 0 0,0 0 0,1 1 0,-1-1 0,0 1 0,0 0 0,0 0 0,-1 0 0,1 0 0,0 0 0,-1 0 0,1 1 0,-1 0 0,0 0 0,1 0 0,-1 0 0,0 1 0,0-1 0,1 1 0,-1 0 0,0 0 0,0 0 0,0 0 0,1 1 0,-1 0 0,0 0 0,1 0 0,-1 0 0,0 0 0,1 1 0,-1 0 0,1-1 0,0 1 0,0 0 0,0 1 0,0-1 0,-4 4 0,3-1 0,-1 0 0,1 0 0,0 0 0,0 1 0,1 0 0,-1 0 0,1 0 0,0 0 0,1 0 0,0 1 0,0-1 0,0 1 0,1-1 0,0 1 0,0 0 0,0-1 0,1 1 0,0 0 0,1 0 0,1 11 0,0-10 0,0-1 0,0 1 0,1-1 0,0 0 0,0 1 0,0-1 0,1-1 0,0 1 0,1 0 0,0-1 0,0 0 0,0 0 0,0-1 0,1 1 0,0-1 0,0 0 0,13 7 0,-5-5 34,0 0 1,1-2-1,-1 1 0,1-2 0,0 0 0,1-1 0,-1 0 0,0-1 0,18 0 1,-1-2-462,0-2 0,0-1 1,44-10-1,-4-3-6399</inkml:trace>
  <inkml:trace contextRef="#ctx0" brushRef="#br0" timeOffset="24989.39">17658 1654 24575,'0'-9'0,"-1"0"0,1 0 0,-2-1 0,1 1 0,-1 0 0,-6-16 0,7 21 0,-1 1 0,0-1 0,0 1 0,0 0 0,0-1 0,0 1 0,0 0 0,-1 0 0,0 1 0,1-1 0,-1 0 0,0 1 0,-1 0 0,1 0 0,0 0 0,0 0 0,-1 0 0,1 1 0,-5-2 0,2 1 0,1 1 0,-1 0 0,0 0 0,0 0 0,0 1 0,0 0 0,0 0 0,-1 1 0,2-1 0,-1 1 0,0 1 0,0-1 0,-7 4 0,4-2 0,1 2 0,-1-1 0,1 1 0,0 0 0,1 1 0,-1-1 0,-12 15 0,8-7 0,1 0 0,1 1 0,0 0 0,1 1 0,0 0 0,1 1 0,1 0 0,-10 32 0,13-33 0,0 1 0,1-1 0,-1 28 0,4-38 0,0 0 0,0 0 0,1 0 0,-1 1 0,1-1 0,0 0 0,0 0 0,1 0 0,0-1 0,0 1 0,0 0 0,0 0 0,1-1 0,0 0 0,3 5 0,-1-4 0,0 0 0,0-1 0,1 0 0,-1 0 0,1 0 0,0-1 0,0 1 0,0-2 0,1 1 0,-1-1 0,1 0 0,-1 0 0,1 0 0,0-1 0,-1 0 0,1-1 0,0 1 0,0-1 0,7-1 0,-3 0 0,-1-1 0,1 0 0,0 0 0,-1-1 0,0 0 0,0-1 0,0 0 0,0-1 0,0 0 0,-1 0 0,14-11 0,-15 9 0,0 1 0,-1-2 0,0 1 0,-1-1 0,1 0 0,-2-1 0,1 1 0,-1-1 0,7-17 0,-7 12 0,0-1 0,-1 0 0,0 0 0,-2-1 0,2-26 0,-4-6 0,-3 1 0,-2-1 0,-12-53 0,15 95 0,-10-64 0,-2-12 0,-31-102 0,40 168 0,-15-31 0,19 46 0,1 0 0,-1-1 0,0 1 0,0 0 0,1-1 0,-1 1 0,0 0 0,0 0 0,0 0 0,0 0 0,0 0 0,-1 0 0,1 0 0,0 0 0,0 0 0,-1 0 0,-1 0 0,2 1 0,0 0 0,0 1 0,0-1 0,1 0 0,-1 1 0,0-1 0,0 1 0,1-1 0,-1 1 0,0-1 0,1 1 0,-1-1 0,1 1 0,-1 0 0,1-1 0,-1 1 0,1 0 0,-1 0 0,1-1 0,0 1 0,-1 0 0,1 0 0,0 0 0,0-1 0,-1 1 0,1 0 0,0 0 0,0 0 0,0 1 0,-3 14 0,1 1 0,1-1 0,1 1 0,0-1 0,1 1 0,0-1 0,6 24 0,2-1 0,1-1 0,18 40 0,-18-54 0,0-2 0,2 0 0,1 0 0,1-1 0,1-1 0,0 0 0,22 20 0,-23-25 0,2-1 0,0-1 0,0 0 0,2-1 0,-1-1 0,1-1 0,1 0 0,37 13 0,-50-21 0,1 0 0,-1 0 0,0-1 0,1 0 0,-1 0 0,0-1 0,1 1 0,-1-1 0,1-1 0,-1 0 0,11-2 0,-13 2 0,0-1 0,0 1 0,0-1 0,0-1 0,0 1 0,-1 0 0,1-1 0,-1 0 0,0 0 0,1 0 0,-1 0 0,-1 0 0,1-1 0,0 1 0,-1-1 0,0 0 0,4-7 0,1-8 0,-1-1 0,0 0 0,-2 0 0,0 0 0,-1-1 0,-1 1 0,-1-30 0,-2 39 0,3-4 0,-2 15 0,1 0 0,0 0 0,0 0 0,-1 0 0,1 0 0,0 0 0,-1 0 0,1 0 0,0 0 0,-1 0 0,1 0 0,0 1 0,-1-1 0,1 0 0,0 0 0,-1 1 0,1-1 0,-1 1 0,1-1 0,0 0 0,-1 1 0,1-1 0,0 1 0,26 16 0,1-2 0,1-1 0,41 14 0,-53-22 0,1-1 0,-1-1 0,1 0 0,0-1 0,0-1 0,0-1 0,29-2 0,-42 1 0,0-1 0,0 0 0,0 0 0,0-1 0,0 0 0,0 1 0,0-2 0,0 1 0,0 0 0,-1-1 0,1 0 0,-1 0 0,0 0 0,0-1 0,0 1 0,4-6 0,-4 3 0,0 0 0,0 0 0,-1 0 0,0 0 0,0-1 0,0 1 0,0-1 0,-1 0 0,-1 0 0,1 0 0,0-8 0,-1 6 0,0 0 0,-1 0 0,0 0 0,-1 0 0,1 0 0,-2 0 0,1 1 0,-2-1 0,1 0 0,-1 1 0,0-1 0,-1 1 0,1 0 0,-2 0 0,1 0 0,-1 1 0,-1-1 0,1 1 0,-12-10 0,11 11 12,-1 1 1,0 0-1,0 1 0,0 0 0,-1 0 0,1 0 1,-1 1-1,0 0 0,0 1 0,0 0 0,-1 0 1,1 1-1,-13-1 0,10 2 5,0 0 0,1 1 0,-1 1 0,0 0 0,0 0 0,0 1 0,1 1 0,0 0 1,-15 7-1,9-2-149,0 0 1,1 1 0,1 1-1,-1 1 1,2 0 0,-1 0 0,2 1-1,0 1 1,0 0 0,2 1 0,0 0-1,-12 23 1,0 15-6695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0:14.338"/>
    </inkml:context>
    <inkml:brush xml:id="br0">
      <inkml:brushProperty name="width" value="0.025" units="cm"/>
      <inkml:brushProperty name="height" value="0.025" units="cm"/>
    </inkml:brush>
  </inkml:definitions>
  <inkml:trace contextRef="#ctx0" brushRef="#br0">803 4750 24575,'32'0'0,"294"-12"0,-79-11-106,142-17-255,252-22-1360,-256 28 1663,116-11-391,331-36-2007,-235 29 1858,-58 9 598,-66 3 0,-6 25 0,-139 7 0,123-36 264,-426 41-182,134-18 213,312-31 878,54 47 2634,-461 5-3679,-50 1-128,0-1 0,0-1 0,1 0 0,-1-1 0,18-5 0,-28 5 0,1 1 0,-1-1 0,0 0 0,0 0 0,-1 0 0,1 0 0,0-1 0,-1 0 0,1 1 0,-1-1 0,0-1 0,0 1 0,0 0 0,0-1 0,-1 1 0,0-1 0,1 0 0,-1 0 0,0 0 0,-1 0 0,3-6 0,-1-9 0,0 0 0,-1-1 0,0 1 0,-2 0 0,0-1 0,-6-31 0,3 15 0,-41-254 0,8 76 0,-7-387-383,41-3 0,3 576 383,0 8 0,-1-1 0,-1 1 0,0-1 0,-2 1 0,-5-22 0,7 38 7,-1 0 0,1 0 0,-1 0 0,0 0 0,-1 0 0,1 0 0,-1 0 0,0 1 0,1-1 0,-1 1 0,-1 0 0,1 0 0,0 0 0,-1 0 0,0 1 0,0-1 0,1 1 0,-1 0-1,-1 0 1,1 0 0,0 1 0,0 0 0,-1 0 0,-7-2 0,-7 1 64,-1 1 0,0 0 1,1 2-1,-28 3 0,12-1 38,-523 17 67,99-5-1958,404-13 1664,-771 52-110,-646 81 228,0 46-141,1215-141-458,-105 14 496,111-18 103,-313 27 0,229-32 1312,-40 2 142,-137-31-1278,338-3-196,137 1 20,1 2 0,0 1 0,1 2 0,-1 1 0,-54 18 0,84-22 0,0 0 0,1 0 0,-1 1 0,1 0 0,-1 0 0,1 1 0,0-1 0,1 1 0,-1 0 0,0 0 0,1 1 0,0-1 0,0 1 0,1 0 0,-4 6 0,3-3 0,0 1 0,1-1 0,0 1 0,0 0 0,1 0 0,0 0 0,1 0 0,0 1 0,0 13 0,11 163 0,-3-92 0,52 467 0,43-98 0,-24-207 0,-25-88 0,8 42 0,-58-200 0,1-1 0,-1 1 0,1-1 0,1 0 0,0-1 0,8 13 0,-9-16 0,0-1 0,1 1 0,-1-1 0,1 1 0,0-1 0,0-1 0,1 1 0,-1-1 0,1 0 0,11 5 0,-2-3 0,1-1 0,0 0 0,0-1 0,-1-1 0,2 0 0,16-1 0,102-10 0,-86 4 0,411-19-598,8-1-24,-464 25 622,602-60 0,-344 17 0,-243 40-96,33-9 294,-48 11-303,-1-1 0,0 1-1,0-1 1,1 1 0,-1-1-1,0 0 1,0 0 0,0 0-1,-1-1 1,1 1-1,2-4 1,-4 5-476,1-1 0,-1 0 0,0 0 0,-1 0 0,1 0 0,0 0 0,0 0 0,-1 0 0,1-3 1</inkml:trace>
  <inkml:trace contextRef="#ctx0" brushRef="#br0" timeOffset="1612.52">5679 67 24575,'0'-2'0,"1"-6"0,-1 1 0,-1-1 0,1 0 0,-1 1 0,-4-14 0,5 21 0,0-1 0,0 1 0,0 0 0,0 0 0,0 0 0,0-1 0,0 1 0,0 0 0,0 0 0,0 0 0,0-1 0,0 1 0,-1 0 0,1 0 0,0 0 0,0 0 0,0-1 0,0 1 0,0 0 0,-1 0 0,1 0 0,0 0 0,0 0 0,0-1 0,0 1 0,-1 0 0,1 0 0,0 0 0,0 0 0,0 0 0,-1 0 0,1 0 0,0 0 0,0 0 0,0 0 0,-1 0 0,1 0 0,0 0 0,0 0 0,0 0 0,-1 0 0,1 0 0,0 0 0,0 0 0,0 0 0,-1 0 0,1 1 0,0-1 0,0 0 0,0 0 0,0 0 0,-1 0 0,1 0 0,0 0 0,0 1 0,0-1 0,-1 0 0,-3 7 0,-1-1 0,1 1 0,1 0 0,-1 0 0,1 0 0,0 0 0,0 1 0,1-1 0,-2 13 0,4-18 0,-111 385 0,14-55 0,-28 74 0,116-380 0,-20 50 0,25-68 0,0 0 0,-1-1 0,1 0 0,-1 0 0,-1 0 0,1 0 0,-10 7 0,14-12 0,0-1 0,0 0 0,0 0 0,-1 0 0,1 0 0,0 0 0,0 0 0,-1-1 0,1 1 0,-1 0 0,1-1 0,-1 1 0,1-1 0,-1 1 0,1-1 0,-1 0 0,1 1 0,-1-1 0,1 0 0,-1 0 0,1 0 0,-1 0 0,0 0 0,1-1 0,-1 1 0,1 0 0,-1-1 0,1 1 0,-1-1 0,1 0 0,0 1 0,-1-1 0,1 0 0,0 0 0,-1 0 0,0-1 0,-2-2 0,1-1 0,-1 1 0,1-1 0,0 0 0,1 0 0,-1 0 0,1-1 0,0 1 0,-2-7 0,-4-20 0,2 0 0,2-1 0,-2-38 0,5 45 0,0 1 0,-2-1 0,-2 0 0,0 1 0,-13-38 0,10 52 0,2 13 0,-2 19 0,2 23 0,1 0 0,3 82 0,2-84 0,-1-12 0,4 87 0,-2-107 0,1 1 0,0 0 0,0-1 0,1 0 0,0 1 0,0-1 0,1 0 0,8 12 0,-10-18 0,1-1 0,0 1 0,0-1 0,0 1 0,1-1 0,-1 0 0,1 0 0,0-1 0,-1 1 0,1-1 0,0 0 0,1 0 0,-1 0 0,0 0 0,0-1 0,1 0 0,-1 0 0,1 0 0,-1 0 0,8-1 0,3 0 0,1 0 0,-1-2 0,0 0 0,29-7 0,43-18 0,-1-3 0,82-41 0,-103 37-1365,-16 3-5461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1:01.867"/>
    </inkml:context>
    <inkml:brush xml:id="br0">
      <inkml:brushProperty name="width" value="0.025" units="cm"/>
      <inkml:brushProperty name="height" value="0.025" units="cm"/>
    </inkml:brush>
  </inkml:definitions>
  <inkml:trace contextRef="#ctx0" brushRef="#br0">1384 397 24575,'1'-49'0,"0"24"0,-1 0 0,-6-50 0,5 67 0,-1 1 0,0-1 0,0 1 0,-1 0 0,0 0 0,0 0 0,0 0 0,-1 0 0,0 0 0,-1 1 0,0 0 0,0 0 0,0 0 0,-7-5 0,2 3 0,-1 1 0,0 0 0,0 1 0,-1 0 0,0 0 0,0 2 0,0-1 0,-25-4 0,-3 2 0,-64-4 0,70 9 0,-1 1 0,1 1 0,0 3 0,-62 11 0,79-10 0,1 1 0,0 0 0,0 2 0,0-1 0,1 2 0,0 0 0,0 1 0,1 1 0,0 0 0,0 1 0,-18 20 0,12-8 0,0 1 0,2 1 0,-17 30 0,-39 87 0,12-22 0,16-33 0,3 3 0,-30 96 0,-36 195 0,91-297 0,4 0 0,3 1 0,4 0 0,4 1 0,15 163 0,-8-212 0,3 1 0,1-1 0,1 0 0,3-1 0,0 0 0,3-1 0,1-1 0,1 0 0,2-1 0,1-1 0,2-1 0,46 52 0,-41-56 0,1 0 0,1-2 0,1-1 0,2-2 0,0-1 0,1-1 0,1-2 0,1-1 0,0-2 0,55 15 0,-28-14 0,2-2 0,0-4 0,0-2 0,0-3 0,95-4 0,-88-7 0,0-2 0,-1-4 0,0-2 0,-1-4 0,0-3 0,-2-2 0,-1-4 0,-1-3 0,103-61 0,-129 65 0,0 0 0,-2-3 0,-1-1 0,-2-2 0,-1-1 0,-1-1 0,-2-2 0,-2-1 0,-1-2 0,-2 0 0,-1-2 0,24-58 0,-20 28 0,-3-2 0,-4-1 0,23-134 0,-32 105 0,-4-1 0,-6-134 0,-5 180 0,-2 1 0,-3 0 0,-3 0 0,-2 1 0,-2 1 0,-3 0 0,-2 1 0,-39-73 0,27 66 0,-72-98 0,81 130 0,-1 0 0,-1 1 0,-2 2 0,-58-45 0,51 48 0,-2 1 0,-1 1 0,0 2 0,-2 2 0,0 1 0,-80-19 0,87 27 0,1 3 0,-2 0 0,1 3 0,0 0 0,-1 2 0,1 1 0,-1 2 0,1 1 0,-48 13 0,61-12 0,1 2 0,-1 0 0,1 1 0,1 1 0,-20 12 0,31-17 0,1 0 0,-1 0 0,1 0 0,0 1 0,0-1 0,0 1 0,0 1 0,1-1 0,0 1 0,0-1 0,1 1 0,0 0 0,0 1 0,0-1 0,0 1 0,1-1 0,-2 12 0,3-15 16,1 0-1,0 0 1,0 0-1,0 0 1,0 0-1,1 0 1,-1 0-1,1 0 1,-1 0-1,1-1 1,0 1-1,0 0 1,0 0-1,1 0 1,-1-1-1,1 1 1,0-1 0,-1 1-1,1-1 1,0 0-1,3 3 1,0-1-206,1 0 0,-1 0 1,1-1-1,0 0 0,0 0 1,0 0-1,1-1 1,7 3-1,49 9-6636</inkml:trace>
  <inkml:trace contextRef="#ctx0" brushRef="#br0" timeOffset="921.7">102 2866 24575,'-6'0'0,"0"0"0,0 0 0,0 1 0,0 0 0,0 0 0,0 1 0,0 0 0,1 0 0,-7 3 0,10-4 0,-1 0 0,1 1 0,-1 0 0,1 0 0,0-1 0,0 1 0,0 0 0,0 1 0,0-1 0,0 0 0,0 1 0,1-1 0,-1 1 0,1-1 0,0 1 0,0-1 0,0 1 0,0 0 0,0 0 0,0 3 0,1-4 0,0-1 0,0 1 0,0 0 0,0-1 0,0 1 0,0 0 0,0-1 0,0 1 0,1 0 0,-1-1 0,1 1 0,-1-1 0,1 1 0,0-1 0,0 1 0,0-1 0,0 1 0,-1-1 0,2 0 0,-1 1 0,0-1 0,0 0 0,0 0 0,1 0 0,-1 0 0,0 0 0,3 1 0,2 1 0,0 0 0,0-1 0,0 0 0,1 0 0,11 2 0,31 3 0,0-3 0,75-2 0,-71-2 0,618-26-1793,-202-12-1906,629-58 1177,-749 66 2096,-68 8 426,60 0 0,-281 18 41,-46 4 167</inkml:trace>
  <inkml:trace contextRef="#ctx0" brushRef="#br0" timeOffset="1528.47">455 3026 24575,'-4'0'0,"1"0"0,-1 0 0,0 0 0,1 1 0,0 0 0,-5 1 0,7-2 0,1 0 0,-1 1 0,1-1 0,-1 0 0,1 0 0,-1 1 0,1-1 0,-1 0 0,1 1 0,-1-1 0,1 1 0,0-1 0,-1 0 0,1 1 0,-1-1 0,1 1 0,0-1 0,0 1 0,-1-1 0,1 1 0,0-1 0,0 1 0,-1 0 0,1-1 0,0 1 0,0-1 0,0 1 0,0-1 0,0 1 0,0 0 0,0-1 0,0 1 0,0-1 0,0 1 0,0 0 0,1-1 0,-1 1 0,0-1 0,0 1 0,1-1 0,-1 1 0,0-1 0,0 1 0,1-1 0,-1 1 0,1-1 0,0 1 0,4 5 0,0 0 0,0-1 0,0 0 0,1 0 0,0 0 0,0 0 0,1-1 0,-1 0 0,1-1 0,0 0 0,0 0 0,8 3 0,11 2 0,0-1 0,35 4 0,36 0 0,144-2 0,-196-9 0,568-24-517,-1-35-447,2 1 435,-560 54 526,241-22-671,-10-24-663,-259 42-2830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1:10.378"/>
    </inkml:context>
    <inkml:brush xml:id="br0">
      <inkml:brushProperty name="width" value="0.025" units="cm"/>
      <inkml:brushProperty name="height" value="0.025" units="cm"/>
    </inkml:brush>
  </inkml:definitions>
  <inkml:trace contextRef="#ctx0" brushRef="#br0">9 260 24575,'0'-1'0,"0"1"0,0 0 0,0 0 0,-1 0 0,1 0 0,0 0 0,0 0 0,-1 0 0,1 0 0,0 0 0,0 0 0,0 0 0,-1 0 0,1 0 0,0 0 0,0 0 0,-1 0 0,1 0 0,0 0 0,0 0 0,-1 0 0,1 0 0,0 0 0,0 0 0,0 0 0,-1 0 0,1 1 0,0-1 0,0 0 0,0 0 0,-1 0 0,1 0 0,0 1 0,0-1 0,0 0 0,0 0 0,-1 0 0,1 1 0,0-1 0,0 0 0,0 0 0,0 0 0,0 1 0,0-1 0,0 0 0,0 0 0,0 1 0,0-1 0,0 0 0,0 1 0,1 0 0,0 0 0,0-1 0,0 1 0,0 0 0,0-1 0,0 1 0,0-1 0,0 1 0,0-1 0,0 1 0,0-1 0,2 1 0,25 5 0,0-1 0,45 2 0,65-5 0,-79-2 0,1559 1-684,-762-3 422,7178 2 1208,-7680-14-946,-142 3 0,238-38 0,-58 3 0,20 36 0,-125 6 0,80-23 0,-38 2 0,-78 20 0,191-16 0,-364 11 0,580-55 0,229 60 0,-470 8 0,145 38 0,-461-30 0,130 16 0,120 11 0,85 17 0,-308-41 0,244-5 0,-288-10 0,-7 4 0,142 25 0,-46-3 0,-136-18 0,0 1 0,0 1 0,63 26 0,-78-26 0,15 7 0,-31-10 171,-13-6 0,-21-5-1878,-24-12-5119</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1:12.721"/>
    </inkml:context>
    <inkml:brush xml:id="br0">
      <inkml:brushProperty name="width" value="0.025" units="cm"/>
      <inkml:brushProperty name="height" value="0.025" units="cm"/>
    </inkml:brush>
  </inkml:definitions>
  <inkml:trace contextRef="#ctx0" brushRef="#br0">0 3449 24575,'1'-12'0,"0"1"0,0 0 0,1-1 0,0 1 0,1 0 0,0 0 0,1 0 0,11-20 0,3-1 0,34-45 0,208-268-147,-20 39-332,-156 211 350,104-92 0,17 18 129,-161 136 0,2 3 0,88-44 0,-120 68-174,0 0 0,0 1 0,1 0 0,0 1 0,0 1 0,17-2 0,4 5-5915</inkml:trace>
  <inkml:trace contextRef="#ctx0" brushRef="#br0" timeOffset="764.64">2853 981 24575,'0'-9'0,"-1"-1"0,0 1 0,-1 0 0,0 0 0,0 0 0,-1 0 0,0 1 0,0-1 0,-1 1 0,0 0 0,-1 0 0,0 0 0,0 0 0,-11-11 0,5 7 0,0 2 0,0 0 0,-1 0 0,0 1 0,-1 0 0,0 1 0,-24-11 0,31 17 0,1-1 0,-1 1 0,0 0 0,0 0 0,0 1 0,0 0 0,0 0 0,-1 0 0,1 1 0,0 0 0,0 0 0,0 1 0,-1-1 0,1 1 0,0 1 0,0-1 0,0 1 0,0 0 0,-7 4 0,5-1 0,1-1 0,0 2 0,0-1 0,0 1 0,1 0 0,0 1 0,0-1 0,1 1 0,0 0 0,0 1 0,1-1 0,-1 1 0,-3 11 0,-9 24 0,2 1 0,2 0 0,2 0 0,-6 59 0,8-23 0,3 130 0,6-188 0,2 1 0,0-1 0,1 1 0,2-1 0,12 39 0,-13-51 0,0-1 0,0 0 0,1 1 0,0-2 0,1 1 0,0-1 0,0 1 0,1-2 0,0 1 0,1-1 0,-1 0 0,1 0 0,1-1 0,17 10 0,-10-8 0,1-2 0,0 1 0,1-2 0,-1-1 0,1 0 0,0-1 0,0 0 0,0-2 0,0 0 0,0-1 0,23-3 0,-14-1 0,1 0 0,-1-2 0,-1-1 0,1-2 0,-1 0 0,42-22 0,-43 18 0,0-2 0,-2-1 0,0 0 0,0-2 0,-2-1 0,0 0 0,-2-2 0,0 0 0,-1-1 0,-1-1 0,-1 0 0,-1-2 0,-2 1 0,0-2 0,-1 0 0,-2 0 0,-1-1 0,10-44 0,-10 17 11,-3 1-1,-1-1 0,-3 0 0,-2 0 1,-3 0-1,-11-59 0,-1 25-130,-5 2 1,-59-160-1,63 204-168,-1 1 1,-3 0 0,-1 2-1,-47-67 1,62 98 287,-1 0 0,1 1 0,-2-1 0,1 1 0,-1 1 0,0 0 0,0 0 0,-1 0 0,1 1 0,-1 0 0,-16-6 0,18 10 0,1-1 0,0 1 0,-1 0 0,1 0 0,-1 1 0,1 0 0,-1 0 0,1 1 0,-1-1 0,1 2 0,0-1 0,-1 1 0,1-1 0,0 2 0,0-1 0,0 1 0,0 0 0,-9 6 0,2 0 0,1 1 0,-1 0 0,1 1 0,1 1 0,0 0 0,1 0 0,0 1 0,-8 14 0,0 4 0,2 1 0,-21 51 0,25-51 172,1 1 1,2 0-1,1 0 1,-7 57-1,14-77-118,1 0 0,-1-1 0,2 1 0,0 0-1,1-1 1,0 1 0,1-1 0,0 1 0,1-1 0,0 0 0,1-1 0,0 1 0,1-1-1,0 0 1,15 19 0,3-5-54,1-1 0,2-1 0,0-1 0,1-2 0,34 18 0,-22-12 0,71 56 0,-89-60 0,0 2 0,-1 0 0,-1 0 0,-1 2 0,-1 1 0,19 38 0,-10-6 0,-2 1 0,19 71 0,43 138 0,-86-267 0,19 50 0,-18-48 0,0 0 0,0 0 0,1 1 0,0-2 0,-1 1 0,1 0 0,1 0 0,4 4 0,-8-8 0,1 0 0,-1 1 0,0-1 0,1 1 0,-1-1 0,1 0 0,-1 0 0,1 1 0,-1-1 0,1 0 0,0 0 0,-1 1 0,1-1 0,-1 0 0,1 0 0,-1 0 0,1 0 0,0 0 0,-1 0 0,1 0 0,-1 0 0,1 0 0,-1 0 0,1 0 0,0 0 0,-1 0 0,1-1 0,-1 1 0,1 0 0,-1 0 0,1-1 0,-1 1 0,1 0 0,-1-1 0,1 1 0,-1 0 0,1-1 0,-1 1 0,1-1 0,11-25 0,5-32-1365,1-11-5461</inkml:trace>
  <inkml:trace contextRef="#ctx0" brushRef="#br0" timeOffset="1107.8">3495 1014 24575,'0'25'0,"1"1"0,2 0 0,1 0 0,0-1 0,2 0 0,10 26 0,-13-40 0,2 0 0,-1-1 0,1 0 0,1 0 0,0-1 0,0 1 0,1-1 0,0 0 0,0-1 0,1 0 0,0 0 0,1-1 0,0 0 0,0 0 0,1-1 0,13 7 0,-7-6 0,1-1 0,0-1 0,0 0 0,1-2 0,-1 0 0,1-1 0,0 0 0,0-2 0,0 0 0,-1-1 0,1 0 0,0-2 0,19-5 0,-31 6 0,0 0 0,0-1 0,0 0 0,0 0 0,-1 0 0,1-1 0,-1 1 0,0-1 0,0-1 0,-1 1 0,1-1 0,6-8 0,-5 4 0,-1 0 0,0 0 0,-1 0 0,1-1 0,-2 1 0,1-1 0,2-14 0,-2 4 0,-2 0 0,0 0 0,-1-1 0,-1 1 0,0-1 0,-2 1 0,-6-30 0,4 33 0,-13-30 0,5 17 0,12 29 0,-1 0 0,1 0 0,0 1 0,-1-1 0,1 0 0,0 0 0,0 0 0,0 0 0,0 1 0,-1-1 0,1 0 0,0 0 0,0 0 0,1 0 0,-1 0 0,0 1 0,0-1 0,0 0 0,0 0 0,1 0 0,-1 0 0,0 1 0,1-1 0,-1 0 0,1 0 0,0-1 0,1 1 0,0 0 0,0 0 0,0 1 0,0-1 0,0 0 0,0 1 0,0-1 0,0 1 0,0-1 0,3 1 0,136-6 167,-76 4-1699,10 0-5294</inkml:trace>
  <inkml:trace contextRef="#ctx0" brushRef="#br0" timeOffset="1324.56">4426 852 24575,'0'-11'0,"0"-14"0,-6-3 0,-1 24 0,5 25 0,4 20 0,1 13 0,11 8 0,3 6 0,-1 1 0,7-11 0,0 1 0,-4-10-8191</inkml:trace>
  <inkml:trace contextRef="#ctx0" brushRef="#br0" timeOffset="1418.59">4522 179 24575,'0'16'0,"0"6"-8191</inkml:trace>
  <inkml:trace contextRef="#ctx0" brushRef="#br0" timeOffset="2172.41">5291 564 24575,'-102'-50'0,"96"47"0,0 0 0,-1 1 0,1 0 0,-1 0 0,1 1 0,-1-1 0,1 1 0,-1 1 0,0-1 0,0 1 0,-8 1 0,10 0 0,1 0 0,-1 0 0,0 1 0,1-1 0,-1 1 0,1 0 0,0 1 0,0-1 0,-1 0 0,2 1 0,-1 0 0,0 0 0,0 0 0,1 1 0,0-1 0,0 1 0,-4 5 0,-1 5 0,0 1 0,0 0 0,2 1 0,0 0 0,1 0 0,0 0 0,2 0 0,0 1 0,0-1 0,2 1 0,0 0 0,1 0 0,3 27 0,-2-35 0,1 0 0,0 0 0,0-1 0,1 1 0,0-1 0,1 1 0,0-1 0,0 0 0,1-1 0,0 1 0,0-1 0,1 0 0,0 0 0,10 9 0,-5-7 0,0-1 0,1 0 0,0 0 0,1-1 0,-1-1 0,1 0 0,1-1 0,22 6 0,-5-3 0,0-2 0,0-1 0,1-2 0,0 0 0,-1-3 0,1 0 0,0-2 0,-1-2 0,36-7 0,-47 6 0,-1 0 0,0-1 0,0-1 0,-1-1 0,0-1 0,0 0 0,-1-1 0,0-1 0,-1-1 0,0 0 0,-1-1 0,0 0 0,-1-2 0,-1 1 0,20-30 0,-19 21 0,-2-1 0,-1 0 0,-1 0 0,-1-1 0,-1 0 0,-1-1 0,-1 0 0,-2 0 0,2-29 0,-3 4 0,-2-1 0,-3 0 0,-14-86 0,11 106 0,-2 1 0,0 1 0,-2-1 0,-16-35 0,23 62 0,0 0 0,0 0 0,0 0 0,-1 0 0,1 1 0,-1-1 0,0 1 0,0-1 0,0 1 0,0 0 0,-7-5 0,9 8 0,0 0 0,1 0 0,-1-1 0,0 1 0,0 0 0,1 0 0,-1 0 0,0 0 0,0-1 0,0 1 0,1 0 0,-1 1 0,0-1 0,0 0 0,1 0 0,-1 0 0,0 0 0,0 0 0,1 1 0,-1-1 0,0 0 0,1 1 0,-1-1 0,0 1 0,0 0 0,-1 0 0,0 1 0,1 1 0,-1-1 0,1 0 0,-1 0 0,1 0 0,0 1 0,0-1 0,0 1 0,0-1 0,-1 4 0,-5 26 0,1 0 0,2 1 0,1 0 0,2 52 0,1-45 0,-1-19 0,0 41 0,2 0 0,11 75 0,-8-118 0,0 0 0,0 0 0,2 0 0,0-1 0,2 0 0,0-1 0,1 1 0,0-1 0,1-1 0,1 0 0,18 20 0,-19-25 0,1 0 0,0-1 0,1 0 0,0-1 0,0 0 0,1-1 0,0-1 0,1 0 0,0 0 0,0-2 0,21 7 0,-25-10 0,1 0 0,-1 0 0,1-1 0,0-1 0,0 0 0,-1 0 0,1-1 0,0 0 0,-1-1 0,1 0 0,-1-1 0,0 0 0,1 0 0,-1-1 0,-1-1 0,17-8 0,-10 1 0,1 0 0,-2-1 0,0 0 0,0-1 0,-1-1 0,-1 0 0,13-20 0,-7 7 0,-2-1 0,-1 0 0,18-46 0,-29 62 0,0-1 0,-1 1 0,0-1 0,-1 0 0,0 0 0,-1 0 0,-1 0 0,0-1 0,-2-15 0,1 27 0,0-1 0,-1 1 0,1-1 0,-1 1 0,0 0 0,0-1 0,0 1 0,-1 0 0,1 0 0,-1 0 0,0 0 0,0 0 0,0 0 0,0 0 0,0 0 0,0 1 0,-1-1 0,-4-2 0,5 4 0,-1-1 0,0 1 0,0 0 0,1 1 0,-1-1 0,0 0 0,0 1 0,0-1 0,0 1 0,0 0 0,0 0 0,0 0 0,0 1 0,0-1 0,1 1 0,-1 0 0,0-1 0,0 1 0,0 0 0,1 1 0,-6 2 0,-3 1 0,1 2 0,-1 0 0,1 0 0,0 1 0,1 0 0,0 0 0,0 1 0,0 1 0,2-1 0,-1 2 0,-9 15 0,13-19 0,1-1 0,0 1 0,0 0 0,0 0 0,1 0 0,0 0 0,0 0 0,1 0 0,0 1 0,0-1 0,1 1 0,0-1 0,0 0 0,1 1 0,0-1 0,0 1 0,1-1 0,0 0 0,0 0 0,6 13 0,-1-8 0,1 0 0,0 0 0,0-1 0,1 0 0,19 18 0,61 44 0,-21-18 0,-42-33-227,-1 1-1,-1 2 1,-1 1-1,-2 0 1,24 37-1,-19-15-6598</inkml:trace>
  <inkml:trace contextRef="#ctx0" brushRef="#br0" timeOffset="2840.66">4137 2487 24575,'-1'-25'0,"0"18"0,1-1 0,0 1 0,3-15 0,-1 19 0,1 8 0,95 318 0,-68-217 0,82 306 0,-104-385 0,-7-26 0,-1-5 0,-8-46 0,-16-40 0,-13-61 0,2-66-738,-7-250 1,34 247 737,9 186 0,1 0 0,10-55 0,-10 81 0,0 1 0,0-1 0,0 0 0,1 1 0,0 0 0,1 0 0,0 0 0,5-8 0,-8 13 0,1 0 0,0 0 0,-1 1 0,1-1 0,0 1 0,0-1 0,0 1 0,0 0 0,0 0 0,0 0 0,1 0 0,-1 0 0,0 0 0,0 1 0,1-1 0,-1 1 0,0-1 0,1 1 0,-1 0 0,0 0 0,1 0 0,-1 0 0,1 0 0,-1 1 0,0-1 0,1 1 0,-1 0 0,2 0 0,5 3-1,-1-1 1,-1 1-1,1 1 0,0-1 1,-1 1-1,0 1 0,0-1 1,10 13-1,6 7 127,19 28 0,116 195 804,-52-75-631,51 59-299,-130-187 0,-26-44-91,-1 0 0,1 1 0,0-1 0,-1 0 0,0 0 0,1 0 0,-1 0 0,0 1 0,1-1 0,-1 0 0,0 0 0,0 1 0,0-1 0,0 3 0,-1-4-193,1 0-1,0 1 1,0-1-1,-1 0 1,1 0-1,0 1 1,0-1-1,-1 0 1,1 0 0,0 1-1,-1-1 1,1 0-1,-1 0 1,1 0-1,0 0 1,-1 0 0,1 1-1,0-1 1,-1 0-1,1 0 1,-1 0-1,1 0 1,-1 0 0</inkml:trace>
  <inkml:trace contextRef="#ctx0" brushRef="#br0" timeOffset="3007.47">4393 2616 24575,'-11'0'-4270,"-14"11"4270,8 3 2010,23-11-2010,16-6 724,20-30-724,20-10 373,10-24-373,4-2 0,5-4 0,0 9 1163,-3 1-1163,-4-1 0,-14 10-8191</inkml:trace>
  <inkml:trace contextRef="#ctx0" brushRef="#br0" timeOffset="3292.05">5451 1686 24575,'-2'0'0,"0"-1"0,0 0 0,1 0 0,-1 0 0,0 0 0,0 0 0,0 0 0,1 0 0,-3-3 0,-14-9 0,12 10 0,0 1 0,-1-1 0,1 1 0,-1 1 0,0-1 0,0 1 0,0 0 0,0 1 0,1 0 0,-1 0 0,0 0 0,0 1 0,-12 2 0,9 0 0,1 0 0,0 1 0,0 0 0,0 1 0,0-1 0,1 2 0,0-1 0,-15 13 0,7-2 0,1 0 0,1 1 0,0 0 0,1 1 0,1 1 0,1 0 0,1 0 0,-10 25 0,8-11 0,1 0 0,2 0 0,1 1 0,2 0 0,1 0 0,-1 57 0,6-81 0,1 1 0,0-1 0,0 1 0,1-1 0,0-1 0,1 2 0,1-1 0,-1 0 0,1-1 0,1 1 0,0-1 0,0 0 0,1 0 0,0 0 0,11 11 0,-7-11 0,-1-1 0,1 0 0,1 0 0,-1-1 0,1-1 0,1 0 0,-1 0 0,1-1 0,0 0 0,0-1 0,0-1 0,17 3 0,3-1 0,0-1 0,49 0 0,-61-5 0,0 0 0,0-1 0,0-1 0,0-1 0,25-8 0,-34 7-114,0 0 1,-1-1-1,0 0 0,0 0 0,0-1 1,-1 0-1,0-1 0,0 0 0,-1 0 1,0-1-1,8-11 0,26-42-6712</inkml:trace>
  <inkml:trace contextRef="#ctx0" brushRef="#br0" timeOffset="4437.32">6029 1559 24575,'-2'-3'0,"0"0"0,-1-1 0,1 1 0,-1 0 0,0 1 0,0-1 0,0 1 0,0-1 0,0 1 0,0 0 0,-1 0 0,1 0 0,-1 1 0,0-1 0,1 1 0,-1 0 0,-5-1 0,3 0 0,0 1 0,0 0 0,0 0 0,-1 1 0,1 0 0,0 0 0,0 0 0,-1 1 0,-11 2 0,10 1 0,1 0 0,0 0 0,0 1 0,0 0 0,1 0 0,-1 1 0,1-1 0,1 1 0,-1 0 0,1 1 0,0 0 0,-7 13 0,-2 2 0,2 2 0,0-1 0,2 1 0,1 1 0,1 0 0,1 1 0,1-1 0,1 1 0,1 0 0,1 0 0,2 1 0,2 36 0,2-48 0,0 0 0,1 0 0,1-1 0,0 0 0,1 0 0,0 0 0,1 0 0,0-1 0,2 0 0,-1-1 0,2 0 0,-1 0 0,2-1 0,-1 0 0,1-1 0,1 0 0,0-1 0,17 10 0,-18-11 0,2-2 0,-1 1 0,1-2 0,0 0 0,0 0 0,1-1 0,0 0 0,-1-1 0,1-1 0,0 0 0,0-1 0,1 0 0,-1-1 0,0-1 0,0 0 0,0-1 0,0-1 0,0 0 0,24-9 0,-17 2 0,-1 0 0,-1-2 0,1 0 0,-2-1 0,0-2 0,0 0 0,-2 0 0,20-24 0,-11 9 0,-2-1 0,-1 0 0,-2-2 0,20-42 0,-31 57 0,-1-1 0,-1 0 0,7-28 0,-13 40 0,0 1 0,-1 0 0,1-1 0,-1 1 0,0 0 0,-2-10 0,2 13 0,-1 0 0,0 0 0,0 0 0,0 0 0,0 0 0,0 0 0,-1 0 0,1 0 0,-1 1 0,0-1 0,0 1 0,0-1 0,-4-3 0,-3-2 0,9 8 0,14 4 0,-10-4 0,0 0 0,0 0 0,0 0 0,0 0 0,0-1 0,0 0 0,0 0 0,-1 0 0,1 0 0,0-1 0,-1 1 0,5-3 0,-7 3 0,0 1 0,0-1 0,-1 1 0,1-1 0,0 0 0,0 0 0,0 1 0,0-1 0,-1 0 0,1 0 0,0 0 0,-1 0 0,1 0 0,-1 0 0,1 0 0,-1 0 0,1 0 0,-1 0 0,0 0 0,1 0 0,-1 0 0,0 0 0,0 0 0,0 0 0,0 0 0,0-1 0,0 1 0,0 0 0,0 0 0,0 0 0,-1 0 0,1 0 0,0 0 0,-1 0 0,1 0 0,-1 0 0,1 0 0,-1 0 0,0 0 0,1 0 0,-1 0 0,0 0 0,0 1 0,1-1 0,-1 0 0,0 0 0,-1 0 0,-1-2 0,0 0 0,0 1 0,-1-1 0,1 1 0,0 0 0,-1 0 0,0 0 0,1 1 0,-1-1 0,0 1 0,0 0 0,1 0 0,-1 0 0,0 0 0,0 1 0,0-1 0,0 1 0,0 0 0,0 0 0,0 1 0,0-1 0,0 1 0,0 0 0,0 0 0,0 1 0,0-1 0,-5 3 0,2 0 0,0 0 0,0 0 0,1 1 0,-1-1 0,1 1 0,1 1 0,-1-1 0,1 1 0,-1 0 0,2 0 0,-1 1 0,1-1 0,-6 13 0,4-4 0,0 1 0,0 1 0,2-1 0,-4 29 0,6-36 0,2-1 0,-1 0 0,1 1 0,0-1 0,1 1 0,0-1 0,0 0 0,1 0 0,0 0 0,0 0 0,6 12 0,-5-16 0,-1 0 0,0-1 0,1 0 0,0 0 0,0 0 0,0 0 0,0 0 0,1 0 0,-1-1 0,1 1 0,-1-1 0,1 0 0,0 0 0,0-1 0,0 1 0,0-1 0,6 1 0,2 1 0,1-1 0,-1-1 0,1 0 0,19-1 0,-12-1 0,0 0 0,0-2 0,0-1 0,-1 0 0,1-1 0,-1-1 0,-1-1 0,1-1 0,30-17 0,-38 18 0,-1-1 0,1 1 0,-2-1 0,1-1 0,-1 0 0,-1 0 0,0-1 0,0 0 0,-1 0 0,0-1 0,0 0 0,-1 0 0,-1-1 0,0 1 0,-1-1 0,5-21 0,-3 6 0,-2-1 0,-1 1 0,-2-51 0,-1 65 0,-1-1 0,-1 1 0,0-1 0,-1 1 0,0-1 0,-1 1 0,-1 0 0,0 1 0,-10-20 0,13 29 0,-1-1 0,1 0 0,-1 1 0,0-1 0,0 1 0,0 0 0,0 0 0,-1 0 0,-5-4 0,12 14 0,9 3 0,1 0 0,0 0 0,0-1 0,1-1 0,17 8 0,-4-1 0,-13-8 0,220 129 0,-195-110 0,-1 2 0,-2 1 0,59 61 0,-83-77 0,0 0 0,-2 1 0,1 1 0,-2-1 0,0 2 0,8 20 0,-15-32 0,0 1 0,0 0 0,-1-1 0,0 1 0,0 0 0,0 0 0,0 0 0,-1 0 0,0 0 0,0 0 0,0 0 0,-1 0 0,1 0 0,-1 0 0,-1 0 0,1 0 0,-1-1 0,1 1 0,-1 0 0,-1-1 0,1 1 0,-1-1 0,1 0 0,-1 0 0,-7 7 0,6-6 0,-1-1 0,1-1 0,-1 1 0,0-1 0,0 1 0,0-1 0,0-1 0,0 1 0,-1-1 0,1 0 0,-1 0 0,1-1 0,-1 1 0,0-1 0,0 0 0,0-1 0,0 0 0,1 0 0,-1 0 0,0 0 0,0-1 0,0 0 0,0 0 0,1-1 0,-1 1 0,0-1 0,1-1 0,0 1 0,-1-1 0,1 0 0,0 0 0,0 0 0,1-1 0,-1 0 0,1 0 0,0 0 0,-8-9 0,5 2 0,0 0 0,0-1 0,1 0 0,1 0 0,0 0 0,0-1 0,1 1 0,1-1 0,0 0 0,1-1 0,0 1 0,1-26 0,2 0 0,1-1 0,3 1 0,9-42 0,-8 52 0,46-201 0,-50 222 0,5-13 0,-2 20 0,3 11 0,15 32 0,3 0 0,59 72 0,80 68 0,-151-167 0,-7-7 0,9 8 0,-1 0 0,0 1 0,-2 0 0,19 32 0,-31-47 9,0 0-1,0 0 1,0 0-1,0 0 0,0 0 1,0 1-1,-1-1 1,0 0-1,1 0 0,-1 1 1,0-1-1,0 0 1,0 0-1,0 1 1,0-1-1,-1 0 0,1 0 1,-2 4-1,1-4 3,0 0 1,0 0-1,-1 0 0,1-1 0,-1 1 1,1 0-1,-1-1 0,0 0 0,1 1 1,-1-1-1,0 0 0,0 0 0,0 0 0,0 0 1,-4 1-1,-6 2-242,-1-1 0,1-1 0,-1 0 0,0-1 0,-14 0 1,21-1-90,-62 1-6506</inkml:trace>
  <inkml:trace contextRef="#ctx0" brushRef="#br0" timeOffset="4947.12">4809 3705 24575,'-16'0'0,"-17"0"0,-13 0 0,12-10 0,28-5 0,38-15 0,39-19 0,36-12 0,26-13 0,19-3 0,-1 10 0,-26 6 0,-23 14 0,-46 25 0,-42 17 0,-36 30 0,-13 12-8191</inkml:trace>
  <inkml:trace contextRef="#ctx0" brushRef="#br0" timeOffset="5181.65">5228 3482 24575,'-12'0'0,"3"16"0,2 17 0,14 13 0,5 15 0,17 19 0,4 13 0,7 7 0,-3 7 0,3-3 0,-6-8 0,3-20 0,-5-13 0,3-17 0,6-16 0,-3-13-8191</inkml:trace>
  <inkml:trace contextRef="#ctx0" brushRef="#br0" timeOffset="6104.53">5804 3674 24575,'0'0'0,"0"-1"0,0 1 0,0-1 0,0 1 0,0-1 0,0 1 0,0-1 0,0 0 0,0 1 0,0-1 0,-1 1 0,1-1 0,0 1 0,0-1 0,0 1 0,-1-1 0,1 1 0,0-1 0,-1 1 0,1-1 0,-1 1 0,1 0 0,-1 0 0,1 0 0,-1 0 0,1 1 0,-1-1 0,1 0 0,0 0 0,-1 1 0,1-1 0,-1 0 0,1 1 0,0-1 0,-1 1 0,1-1 0,0 0 0,-1 1 0,1-1 0,0 1 0,0-1 0,0 1 0,-1-1 0,1 1 0,0-1 0,0 1 0,0-1 0,0 1 0,0 0 0,-5 14 0,2 1 0,0 0 0,0 0 0,1 17 0,0 65 0,3-92 0,-2 11 0,2 0 0,1 1 0,0-1 0,1 0 0,0 0 0,11 27 0,-12-39 0,0 0 0,0 0 0,1 0 0,0 0 0,0-1 0,0 1 0,1-1 0,-1 0 0,1 0 0,0 0 0,0-1 0,0 1 0,1-1 0,-1 0 0,1 0 0,0-1 0,0 1 0,0-1 0,0 0 0,0 0 0,0-1 0,1 0 0,-1 1 0,8-1 0,-9-1 0,1 0 0,0 0 0,-1 0 0,1-1 0,0 0 0,-1 0 0,1 0 0,-1 0 0,0-1 0,1 0 0,-1 0 0,0 0 0,0 0 0,0 0 0,0-1 0,0 0 0,-1 0 0,1 0 0,-1 0 0,0-1 0,0 1 0,0-1 0,0 0 0,-1 0 0,0 0 0,3-5 0,0-2 0,0 0 0,-1 0 0,0 0 0,-1 0 0,0-1 0,-1 1 0,0-1 0,-1 0 0,-1-17 0,-1 13 0,-1 1 0,-1-1 0,0 1 0,-1 0 0,-1 0 0,-1 0 0,0 0 0,0 1 0,-2 0 0,-11-17 0,12 20 0,-1 1 0,0 0 0,0 0 0,-1 0 0,0 1 0,-1 1 0,0 0 0,0 0 0,-1 1 0,0 0 0,-1 1 0,-21-10 0,28 15 0,1 0 0,-1 0 0,0 0 0,1 0 0,-9 1 0,11 0 0,1 0 0,-1 0 0,0 0 0,1 0 0,-1 1 0,0-1 0,1 0 0,-1 1 0,1 0 0,-1-1 0,1 1 0,-1 0 0,1 0 0,-1-1 0,1 1 0,-3 3 0,4-4 0,0 0 0,-1 0 0,1 1 0,0-1 0,0 1 0,-1-1 0,1 0 0,0 1 0,0-1 0,0 0 0,-1 1 0,1-1 0,0 1 0,0-1 0,0 1 0,0-1 0,0 0 0,0 1 0,0-1 0,0 1 0,0-1 0,0 1 0,0-1 0,0 0 0,0 1 0,0-1 0,1 1 0,-1-1 0,0 1 0,0-1 0,0 0 0,1 1 0,-1-1 0,0 0 0,0 1 0,1-1 0,-1 0 0,0 1 0,1-1 0,-1 0 0,1 1 0,21 8 0,-14-8 0,1-1 0,0 1 0,0-1 0,-1-1 0,1 0 0,0 0 0,0 0 0,-1-1 0,0-1 0,1 1 0,-1-2 0,0 1 0,14-8 0,4-5 0,0 0 0,41-34 0,-47 32 0,0-1 0,-1-1 0,-1 0 0,-1-2 0,-1 0 0,-1 0 0,15-30 0,-29 49 0,1 1 0,-1 0 0,0-1 0,0 1 0,0-1 0,0 1 0,-1-1 0,1 1 0,0-6 0,-2 9 0,0 0 0,0 0 0,0 0 0,0 0 0,0 0 0,1 0 0,-1 0 0,0 0 0,1 0 0,-1 0 0,0 0 0,1 0 0,0 1 0,-1-1 0,1 0 0,0 0 0,-1 3 0,-4 11 0,1 1 0,0 0 0,1 0 0,1 0 0,-1 25 0,3-33 0,0 0 0,1 1 0,0-1 0,1 0 0,0 1 0,0-1 0,0 0 0,1 0 0,1-1 0,-1 1 0,1-1 0,7 12 0,-4-11 0,0 0 0,0-1 0,0 1 0,1-1 0,0-1 0,0 0 0,1 0 0,0 0 0,0-1 0,0 0 0,1-1 0,-1 0 0,1-1 0,0 0 0,0 0 0,12 1 0,-13-3 0,-1 0 0,1-1 0,-1 0 0,1 0 0,-1-1 0,1 0 0,-1 0 0,0-1 0,1 0 0,-1-1 0,0 0 0,0 0 0,-1-1 0,1 0 0,-1 0 0,1 0 0,-1-1 0,-1 0 0,13-12 0,-13 10 0,0 0 0,0 0 0,-1 0 0,0-1 0,0 1 0,-1-1 0,0 0 0,-1 0 0,0-1 0,0 1 0,0-1 0,-1 0 0,-1 0 0,1 1 0,-1-1 0,-1 0 0,0 0 0,0 0 0,-1 0 0,0 0 0,0 0 0,-1 0 0,0 1 0,-1-1 0,0 0 0,0 1 0,-1 0 0,0 0 0,0 0 0,-1 0 0,0 1 0,0 0 0,-1 0 0,0 0 0,0 1 0,-1 0 0,1 0 0,-1 0 0,-11-6 0,12 8 0,-1 0 0,0 1 0,0-1 0,0 1 0,0 1 0,-1-1 0,1 1 0,-1 0 0,0 1 0,1 0 0,-1 0 0,0 1 0,0 0 0,0 0 0,1 1 0,-1 0 0,0 0 0,1 1 0,-1 0 0,-13 5 0,12-2 0,0-1 0,0 2 0,0-1 0,1 1 0,-1 0 0,1 1 0,1 0 0,0 0 0,0 1 0,0 0 0,1 0 0,0 1 0,0-1 0,1 1 0,-5 11 0,8-16 0,1 0 0,-1 0 0,1 0 0,0 0 0,0 0 0,0 1 0,0-1 0,1 1 0,-1-1 0,1 0 0,0 1 0,1-1 0,0 7 0,0-8 0,0 0 0,1 0 0,-1 0 0,0-1 0,1 1 0,0 0 0,-1-1 0,1 1 0,0-1 0,0 0 0,0 0 0,1 0 0,-1 0 0,1 0 0,-1 0 0,1 0 0,-1-1 0,1 0 0,0 1 0,3 0 0,1 1 0,1-1 0,0 0 0,0-1 0,0 0 0,0 0 0,0 0 0,0-1 0,0 0 0,0-1 0,0 0 0,12-3 0,5-2 0,-1-1 0,32-15 0,-34 13 0,-1-2 0,0 0 0,0-1 0,-2-1 0,1-1 0,-2 0 0,0-2 0,0 0 0,-2-1 0,0-1 0,-1 0 0,-1-1 0,0 0 0,-2-1 0,0-1 0,-2 0 0,0-1 0,13-43 0,-15 36 0,-2 0 0,-1 0 0,-1 0 0,-2-1 0,-1 0 0,-1 1 0,-6-44 0,5 62 0,-2 0 0,1 1 0,-7-18 0,7 24 0,1 1 0,-1-1 0,0 1 0,0-1 0,0 1 0,-1 0 0,1 0 0,-1 0 0,0 0 0,0 0 0,0 1 0,-4-4 0,5 5 0,0 0 0,1 0 0,-1 0 0,1 1 0,-1-1 0,0 1 0,1-1 0,-1 1 0,0-1 0,0 1 0,1 0 0,-1 0 0,0 0 0,0 0 0,1 0 0,-1 0 0,0 1 0,0-1 0,1 1 0,-1-1 0,0 1 0,1-1 0,-1 1 0,1 0 0,-1 0 0,1 0 0,-1 0 0,1 0 0,-1 0 0,1 0 0,0 0 0,0 1 0,0-1 0,0 0 0,0 1 0,-2 2 0,-1 3 0,0 0 0,0 0 0,0 1 0,1 0 0,0 0 0,-2 13 0,0 6 0,2 1 0,1-1 0,1 1 0,1-1 0,1 0 0,2 1 0,1-1 0,1 0 0,1 0 0,1-1 0,2 0 0,1 0 0,0-1 0,2 0 0,1-1 0,25 36 0,-13-26 0,2-1 0,1-2 0,53 47 0,-65-65 0,0-1 0,1 0 0,0-1 0,1-1 0,0-1 0,1 0 0,0-2 0,0 0 0,30 7 0,-28-11-682,35 2-1,8-6-6143</inkml:trace>
  <inkml:trace contextRef="#ctx0" brushRef="#br0" timeOffset="6829.45">8017 2616 24575,'0'0'0,"0"-1"0,0 1 0,0 0 0,0-1 0,0 1 0,0 0 0,0-1 0,0 1 0,0 0 0,0-1 0,0 1 0,0-1 0,0 1 0,0 0 0,1-1 0,-1 1 0,0 0 0,0 0 0,0-1 0,1 1 0,-1 0 0,0-1 0,1 1 0,-1 0 0,0 0 0,0 0 0,1-1 0,-1 1 0,0 0 0,1 0 0,-1 0 0,1-1 0,14 4 0,16 17 0,-18-8 0,-2 1 0,1 0 0,-2 0 0,0 1 0,0 1 0,-2-1 0,9 19 0,43 118 0,51 195 0,-98-307 0,38 123 0,-49-157 0,-1 1 0,0-1 0,-1 1 0,1-1 0,-1 1 0,0 0 0,0-1 0,-1 1 0,1-1 0,-4 10 0,4-14 0,0 0 0,-1 0 0,1-1 0,-1 1 0,1 0 0,-1 0 0,1-1 0,-1 1 0,1-1 0,-1 1 0,1 0 0,-1-1 0,0 1 0,1-1 0,-1 1 0,0-1 0,0 0 0,1 1 0,-1-1 0,0 0 0,0 1 0,1-1 0,-1 0 0,0 0 0,0 0 0,-1 0 0,-1 0 0,1-1 0,-1 1 0,0-1 0,1 0 0,-1 0 0,1 0 0,0-1 0,-1 1 0,1 0 0,0-1 0,0 0 0,-4-2 0,-11-11 0,1-1 0,0-1 0,1 0 0,-24-37 0,-40-88 0,48 79 0,4-1 0,2-1 0,3-2 0,2 0 0,4-1 0,-9-83 0,23 132 0,1 0 0,1 0 0,1 1 0,0-1 0,1 0 0,1 0 0,1 1 0,1-1 0,7-18 0,-8 28 0,1-1 0,-1 0 0,2 1 0,0 0 0,0 0 0,0 1 0,1-1 0,0 2 0,1-1 0,0 1 0,0 0 0,0 0 0,1 1 0,0 0 0,0 1 0,1 0 0,13-5 0,-12 6 0,-1 1 0,1 0 0,-1 0 0,1 1 0,0 1 0,0 0 0,0 0 0,0 1 0,0 0 0,21 4 0,-24-2 0,1 1 0,-1-1 0,0 1 0,-1 0 0,1 1 0,0 0 0,-1 0 0,0 1 0,0 0 0,0 0 0,-1 0 0,0 1 0,0 0 0,9 11 0,-5-1 0,0-1 0,-1 1 0,-1 1 0,0-1 0,-1 2 0,-1-1 0,7 32 0,-6-12 0,-1 1 0,0 68 0,-6-85 0,-1 1 0,-2 0 0,0 0 0,-1-1 0,-1 0 0,-1 0 0,-1 0 0,-1-1 0,-12 24 0,91-68 0,-52 19 0,1 0 0,0 2 0,0 0 0,0 1 0,0 1 0,0 1 0,0 1 0,1 0 0,-1 2 0,37 9 0,-46-9 0,1 1 0,-1 0 0,0 1 0,-1 0 0,1 1 0,-1 0 0,0 0 0,0 1 0,-1 1 0,0-1 0,-1 2 0,1-1 0,-1 1 0,-1 0 0,0 1 0,0 0 0,-1 0 0,0 0 0,8 21 0,-12-25 0,0 1 0,0 0 0,-1-1 0,0 1 0,0 0 0,0 0 0,-1 0 0,0 0 0,-1 0 0,1 0 0,-1 0 0,-3 11 0,0-8 0,1 0 0,-2-1 0,1 1 0,-1-1 0,0 0 0,-1-1 0,-13 16 0,6-9 0,-2-1 0,0-1 0,0 0 0,-2-1 0,1-1 0,-1 0 0,-1-1 0,-23 9 0,31-15 0,1-1 0,-1 0 0,0 0 0,0-1 0,0 0 0,0-1 0,0 0 0,-1 0 0,1-1 0,0-1 0,0 0 0,0 0 0,0-1 0,0 0 0,-10-4 0,12 3 0,0-1 0,0 0 0,0 0 0,1-1 0,0 0 0,0 0 0,0-1 0,0 1 0,1-2 0,0 1 0,0-1 0,1 0 0,0 0 0,0 0 0,1-1 0,-1 1 0,-4-15 0,5 11-455,0-1 0,-3-22 0,1-18-6371</inkml:trace>
  <inkml:trace contextRef="#ctx0" brushRef="#br0" timeOffset="7595.7">9364 2873 24575,'8'-18'0,"-1"0"0,-1 0 0,-1-1 0,0 1 0,-2-1 0,0 0 0,-1 0 0,0-1 0,-2 1 0,0 0 0,-2 0 0,0 0 0,-5-23 0,5 34 0,0 0 0,-1 1 0,1-1 0,-2 0 0,1 1 0,-1 0 0,0 0 0,0 0 0,-1 0 0,0 1 0,0 0 0,0 0 0,-10-8 0,12 12 0,-1-1 0,0 1 0,0-1 0,0 1 0,0 0 0,0 1 0,0-1 0,0 1 0,-1 0 0,1 0 0,0 0 0,-1 0 0,1 1 0,-1 0 0,1 0 0,-1 0 0,1 0 0,-1 1 0,1 0 0,-1 0 0,1 0 0,0 0 0,-1 1 0,1 0 0,-4 2 0,-2 2 0,0 0 0,0 0 0,1 1 0,0 0 0,1 1 0,-1 0 0,-7 10 0,-1 3 0,-25 43 0,36-55 0,1 0 0,1 0 0,0 1 0,0-1 0,1 1 0,0 0 0,0 0 0,-1 20 0,4-26 0,-1 1 0,2-1 0,-1 1 0,1 0 0,-1-1 0,1 1 0,0-1 0,1 1 0,-1-1 0,1 0 0,0 1 0,0-1 0,0 0 0,1 0 0,-1-1 0,1 1 0,0 0 0,0-1 0,0 0 0,1 1 0,-1-1 0,5 2 0,2 2 0,1-1 0,0 0 0,0-1 0,1 0 0,0-1 0,0 0 0,0-1 0,19 3 0,-16-4 0,1 0 0,-1-2 0,1 1 0,-1-2 0,1 0 0,23-6 0,-33 6 0,-1-1 0,1 0 0,0 0 0,0-1 0,-1 1 0,0-1 0,1-1 0,-1 1 0,0-1 0,0 1 0,-1-2 0,1 1 0,-1 0 0,5-7 0,-4 3 0,1-1 0,-1 0 0,-1 0 0,1-1 0,-2 1 0,1-1 0,3-18 0,-2-1 0,-2 1 0,-1-1 0,-1 1 0,-2-1 0,-4-29 0,-4 4 0,9 53 0,0 0 0,0-1 0,-1 1 0,1 0 0,0 0 0,-1 0 0,1 0 0,-1 0 0,0-1 0,1 1 0,-1 0 0,0 0 0,1 0 0,-1 1 0,-1-2 0,1 2 0,1 0 0,0 0 0,-1 1 0,1-1 0,-1 0 0,1 0 0,-1 1 0,1-1 0,0 0 0,-1 1 0,1-1 0,0 0 0,-1 1 0,1-1 0,0 1 0,-1-1 0,1 0 0,0 1 0,0-1 0,0 1 0,-1-1 0,1 1 0,0-1 0,0 1 0,0-1 0,0 1 0,0-1 0,0 1 0,0-1 0,0 1 0,0-1 0,0 1 0,-1 9 0,1 0 0,0 0 0,0 0 0,1 0 0,1 0 0,-1 0 0,2 0 0,-1-1 0,1 1 0,1-1 0,0 0 0,6 11 0,0 0 0,1-2 0,1 0 0,1 0 0,25 26 0,-27-33 0,1 0 0,0 0 0,0-1 0,1-1 0,0 0 0,1 0 0,24 10 0,-35-18 0,0 0 0,0 0 0,-1 0 0,1 0 0,0 0 0,0-1 0,0 1 0,0-1 0,0 0 0,0 0 0,0 0 0,0 0 0,0-1 0,0 1 0,0-1 0,0 0 0,0 0 0,0 0 0,-1 0 0,4-1 0,-4 0 0,0-1 0,0 1 0,0 0 0,0 0 0,0-1 0,0 1 0,-1-1 0,1 1 0,-1-1 0,0 0 0,1 0 0,-1 0 0,-1 1 0,1-1 0,0 0 0,-1 0 0,1 0 0,-1 0 0,0-5 0,-2-26 0,-1 1 0,-2 0 0,0 0 0,-21-60 0,-5-32 0,29 115 0,1 1 0,0-1 0,0 0 0,0 1 0,2-1 0,-1 0 0,1 0 0,3-14 0,-3 21 0,0 1 0,0-1 0,0 1 0,1 0 0,-1-1 0,0 1 0,1 0 0,-1 0 0,1 0 0,0 0 0,0 0 0,0 0 0,0 1 0,3-3 0,-2 2 0,0 1 0,1-1 0,-1 1 0,0 0 0,1 0 0,-1 1 0,1-1 0,-1 1 0,1-1 0,-1 1 0,1 0 0,-1 0 0,5 1 0,6 2 0,0 0 0,-1 0 0,1 1 0,-1 1 0,0 0 0,0 1 0,22 13 0,-3 2 0,50 43 0,-57-42 0,-1 0 0,38 48 0,-54-60 0,-1-1 0,0 2 0,-1-1 0,0 1 0,-1 0 0,0 0 0,-1 1 0,0-1 0,-1 1 0,4 20 0,-7-30 0,0 0 0,0 1 0,0-1 0,0 0 0,0 0 0,0 1 0,0-1 0,-1 0 0,1 0 0,-1 0 0,0 0 0,1 0 0,-1 0 0,0 0 0,0 0 0,-1 0 0,1 0 0,0 0 0,-1 0 0,1-1 0,-1 1 0,-1 1 0,1-2 0,1 0 0,-1-1 0,1 1 0,-1-1 0,0 1 0,1-1 0,-1 1 0,0-1 0,0 0 0,1 0 0,-1 0 0,0 0 0,0 0 0,1 0 0,-1 0 0,0 0 0,1-1 0,-1 1 0,0-1 0,1 0 0,-1 1 0,0-1 0,1 0 0,-1 0 0,1 0 0,-1 0 0,1 0 0,-2-1 0,-1-2 0,0 1 0,1-1 0,-1 0 0,1 0 0,0 0 0,0-1 0,0 1 0,0-1 0,-3-8 0,0-2 0,-7-33 0,3 4 0,2 0 0,2-1 0,2 0 0,2 0 0,2 0 0,1-1 0,16-82 0,-14 113 86,1 0-1,0 0 0,10-21 1,-13 33-158,0 1 1,0-1 0,0 0 0,1 1 0,0-1 0,-1 1 0,1-1 0,0 1 0,0 0-1,0 0 1,1 0 0,-1 0 0,0 0 0,1 0 0,-1 1 0,1-1 0,0 1 0,-1 0 0,1 0-1,0 0 1,0 0 0,0 0 0,5 0 0,19 6-6755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2:50.323"/>
    </inkml:context>
    <inkml:brush xml:id="br0">
      <inkml:brushProperty name="width" value="0.025" units="cm"/>
      <inkml:brushProperty name="height" value="0.025" units="cm"/>
    </inkml:brush>
  </inkml:definitions>
  <inkml:trace contextRef="#ctx0" brushRef="#br0">42 545 24575,'-3'-2'0,"0"0"0,1 0 0,-1 0 0,1 0 0,-1 0 0,1-1 0,0 1 0,0-1 0,0 0 0,0 1 0,0-1 0,1 0 0,-1 0 0,1 0 0,-2-5 0,2 1 0,-1 1 0,1-1 0,0 1 0,0-1 0,0 1 0,1-1 0,1-9 0,2-1 0,0 1 0,2-1 0,0 1 0,0 1 0,2-1 0,0 0 0,1 1 0,0 0 0,1 1 0,16-20 0,-3 6 0,2 2 0,1 0 0,1 2 0,30-23 0,-34 30 0,1 1 0,46-24 0,-60 36 0,-1 1 0,0-1 0,1 1 0,0 1 0,0 0 0,-1 0 0,1 1 0,0 0 0,0 0 0,0 1 0,1 1 0,14 1 0,-12 2 0,-1-1 0,1 2 0,-1 0 0,0 0 0,-1 1 0,1 0 0,-1 1 0,0 0 0,-1 0 0,0 1 0,0 0 0,0 1 0,-1 0 0,7 11 0,13 19 0,-2 1 0,25 52 0,-48-86 0,62 116 0,72 135 0,-132-249 0,24 37 0,-28-44 0,0 1 0,1-1 0,-1 1 0,0-1 0,1 0 0,-1 1 0,0-1 0,1 0 0,0 0 0,-1 0 0,1 0 0,0 0 0,-1-1 0,1 1 0,0 0 0,0-1 0,0 1 0,-1-1 0,1 0 0,0 1 0,0-1 0,2 0 0,-1-1 0,-1 0 0,0 0 0,0 0 0,-1 0 0,1 0 0,0-1 0,0 1 0,0-1 0,-1 1 0,1-1 0,-1 1 0,1-1 0,-1 0 0,0 0 0,0 0 0,0 0 0,0 0 0,1-2 0,16-45 0,-15 39 0,8-26 0,32-89 0,-35 107 0,1-1 0,1 1 0,0 1 0,20-26 0,-16 27 0,1 0 0,0 0 0,1 1 0,1 1 0,0 0 0,1 1 0,22-11 0,-32 19 0,1 1 0,0 0 0,0 0 0,0 1 0,0 0 0,1 1 0,-1 0 0,1 0 0,-1 1 0,1 0 0,0 1 0,-1 0 0,1 1 0,0-1 0,-1 2 0,1 0 0,-1 0 0,15 5 0,-10 0 0,0 0 0,-1 1 0,0 0 0,0 1 0,-1 1 0,0 0 0,-1 1 0,15 17 0,-5-2 0,-1 0 0,30 54 0,-40-61 0,17 28 0,-25-45 0,0 1 0,-1-1 0,2 1 0,-1-1 0,0 0 0,0 0 0,1 0 0,-1 0 0,1 0 0,0-1 0,-1 1 0,6 1 0,-7-3 0,1 1 0,0-1 0,-1 0 0,1 0 0,0 0 0,-1 0 0,1 0 0,0 0 0,-1-1 0,1 1 0,0 0 0,-1-1 0,1 0 0,-1 1 0,1-1 0,0 0 0,-1 1 0,0-1 0,1 0 0,1-2 0,26-26 0,-23 22 0,27-31 0,60-53 0,-79 81 0,0-1 0,1 1 0,0 0 0,1 1 0,0 1 0,0 1 0,1 0 0,21-5 0,-23 7 0,0 2 0,0 0 0,0 1 0,1 0 0,-1 1 0,1 1 0,-1 1 0,1 0 0,-1 1 0,0 0 0,0 1 0,0 1 0,0 1 0,0 0 0,-1 1 0,0 0 0,0 1 0,0 0 0,-1 2 0,15 11 0,-8-3 0,-1 2 0,-1 1 0,-1 0 0,-1 2 0,0-1 0,19 39 0,-5-11 0,-30-48 0,1 0 0,-1 1 0,1-1 0,0 0 0,0 0 0,0 1 0,0-1 0,0 0 0,0 0 0,0 0 0,0 0 0,0 0 0,0 0 0,2 0 0,-2-1 0,0-1 0,0 1 0,0-1 0,0 1 0,0-1 0,0 1 0,-1-1 0,1 0 0,0 1 0,-1-1 0,1 0 0,0 0 0,-1 0 0,1 0 0,-1 1 0,1-1 0,-1 0 0,1 0 0,0-2 0,14-24 0,2 2 0,1 0 0,1 1 0,1 0 0,1 2 0,1 1 0,1 0 0,1 2 0,0 1 0,2 1 0,0 1 0,1 1 0,0 1 0,1 1 0,50-15 0,-59 23 0,0 0 0,0 1 0,1 1 0,0 1 0,-1 0 0,1 2 0,0 0 0,-1 1 0,1 1 0,29 7 0,-35-5 0,1 1 0,0 0 0,-1 1 0,0 0 0,-1 1 0,0 1 0,0 0 0,0 1 0,-1 0 0,0 1 0,-1 1 0,0-1 0,-1 2 0,10 11 0,-4 3 0,-1 1 0,-1 0 0,-2 1 0,0 0 0,-2 1 0,8 39 0,-10-46 0,-4-39 0,-4 14 0,4-17 0,0 0 0,2 0 0,0 1 0,1 0 0,1 0 0,1 0 0,1 1 0,0 1 0,1-1 0,1 2 0,0 0 0,2 0 0,16-14 0,-20 20 0,1 1 0,0 0 0,0 1 0,1 0 0,0 1 0,0 0 0,1 0 0,0 2 0,0 0 0,0 0 0,1 1 0,-1 1 0,1 0 0,0 1 0,0 0 0,0 1 0,0 1 0,0 0 0,1 1 0,14 3 0,-19-2 0,1 1 0,-1 1 0,0-1 0,0 1 0,-1 1 0,1 0 0,-1 0 0,0 1 0,-1 0 0,1 1 0,-1 0 0,0 0 0,9 12 0,-11-12 0,0 0 0,-1 1 0,0-1 0,0 1 0,-1 1 0,0-1 0,-1 1 0,1 0 0,-2 0 0,1 0 0,-1 0 0,-1 1 0,1-1 0,-1 18 0,-3-18 0,0-9 0,-1-14 0,4 7 0,0-1 0,0 1 0,1 0 0,0 0 0,0 0 0,1 0 0,-1 0 0,2 0 0,-1 1 0,1-1 0,0 1 0,0 0 0,1 0 0,-1 0 0,10-6 0,-3 0 0,2 2 0,-1-1 0,1 2 0,1-1 0,0 2 0,18-9 0,-14 9 0,0 1 0,0 1 0,1 1 0,-1 0 0,1 2 0,0 0 0,21 0 0,-28 2 0,0 2 0,-1-1 0,1 2 0,-1-1 0,0 1 0,0 1 0,1 0 0,-2 1 0,1 0 0,0 1 0,-1 0 0,19 12 0,-6 2 0,-1 0 0,31 36 0,15 14 0,-66-67 15,0 0 0,0 0 0,0-1 0,0 1-1,1-1 1,-1 1 0,1-1 0,-1 0 0,1 0 0,-1 0-1,1 0 1,0 0 0,-1-1 0,1 1 0,0-1 0,0 0 0,0 0-1,-1 0 1,1 0 0,0 0 0,0 0 0,3-2 0,1 0-259,0-1 0,0-1 0,0 1 0,0-1 1,0-1-1,6-5 0,34-26-6582</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2:50.887"/>
    </inkml:context>
    <inkml:brush xml:id="br0">
      <inkml:brushProperty name="width" value="0.025" units="cm"/>
      <inkml:brushProperty name="height" value="0.025" units="cm"/>
    </inkml:brush>
  </inkml:definitions>
  <inkml:trace contextRef="#ctx0" brushRef="#br0">1097 1114 24575,'0'6'0,"0"12"0,-11 3 0,-14-1 0,-15 6 0,-10-2 0,-8-4 0,-11-6 0,-15-5 0,-10 7 0,-5 1 0,3-3 0,8-3 0,18 6 0,10 2 0,16-9 0,14-6-8191</inkml:trace>
  <inkml:trace contextRef="#ctx0" brushRef="#br0" timeOffset="377.41">360 827 24575,'-1'-2'0,"-1"0"0,0 1 0,0-1 0,0 1 0,0 0 0,0 0 0,0-1 0,0 1 0,0 1 0,0-1 0,0 0 0,-1 0 0,1 1 0,0-1 0,-1 1 0,1 0 0,0 0 0,-1 0 0,1 0 0,0 0 0,-1 0 0,1 1 0,0-1 0,-1 1 0,1-1 0,0 1 0,0 0 0,0 0 0,0 0 0,-3 1 0,-3 4 0,0-1 0,0 2 0,0-1 0,1 1 0,-13 14 0,-90 125 0,54-67 0,52-74 0,-6 8 0,0 1 0,2 0 0,-1 0 0,-8 21 0,16-32 0,-1-1 0,1 1 0,0 0 0,1 0 0,-1 0 0,0-1 0,1 1 0,0 0 0,0 0 0,-1 0 0,2 0 0,-1 0 0,0 0 0,1 0 0,-1 0 0,1 0 0,0 0 0,0-1 0,0 1 0,0 0 0,0 0 0,1-1 0,-1 1 0,1-1 0,0 0 0,0 1 0,0-1 0,0 0 0,0 0 0,0 0 0,3 2 0,5 1 0,0 0 0,0 0 0,0-1 0,0-1 0,1 0 0,-1 0 0,22 2 0,-19-3 0,63 11 0,220 51 0,-268-56 0,1 2 0,-2 1 0,1 2 0,-1 0 0,-1 2 0,-1 1 0,45 36 0,-62-45 86,0 0-1,-1 1 0,8 10 1,-13-16-181,-1 0 0,1 0 0,-1 0 0,0 1 1,0-1-1,0 0 0,0 1 0,0-1 0,-1 1 0,1-1 1,-1 1-1,1-1 0,-1 1 0,0-1 0,0 1 1,0 0-1,-1 4 0,0-4-860,0 1-1,-1-1 1,1 0-1,-1 0 1,0 1 0,-4 4-1,6-8 818</inkml:trace>
  <inkml:trace contextRef="#ctx0" brushRef="#br0" timeOffset="2061.55">2348 665 24575,'0'-18'0,"2"14"0,7 35 0,26 162 0,-20-95 0,54 523 0,-68-611 0,-1 59 0,0-62 0,0 0 0,-1 0 0,0 0 0,-1 0 0,0 0 0,-3 10 0,4-16 0,1 0 0,-1 0 0,1 1 0,-1-1 0,1 0 0,-1 0 0,0 0 0,1 0 0,-1-1 0,0 1 0,0 0 0,1 0 0,-1 0 0,0-1 0,0 1 0,0 0 0,0-1 0,0 1 0,0-1 0,0 1 0,-1-1 0,1 1 0,0-1 0,0 0 0,0 0 0,-2 1 0,1-2 0,-1 1 0,1-1 0,0 1 0,0-1 0,0 0 0,0 0 0,0 0 0,0 0 0,0-1 0,0 1 0,0 0 0,0-1 0,-2-2 0,-6-6 0,0-1 0,1 0 0,0-1 0,0 0 0,1 0 0,1-1 0,-8-19 0,-34-104 0,49 136 0,-24-84-351,-23-162 0,19-88-352,28 220 703,1 101 0,1-1 0,0 1 0,1-1 0,0 1 0,10-23 0,-11 30 0,0 1 0,1 0 0,0 0 0,0 0 0,0 1 0,1-1 0,0 1 0,0 0 0,0 0 0,0 0 0,0 0 0,1 1 0,7-5 0,-8 6 0,0 1 0,0-1 0,0 1 0,1 0 0,-1 0 0,0 0 0,0 0 0,1 1 0,-1 0 0,0 0 0,0 0 0,1 0 0,-1 1 0,0 0 0,0 0 0,1 0 0,-1 0 0,7 3 0,2 4 47,1-1 0,-1 2-1,0-1 1,0 2 0,-1 0 0,-1 0 0,0 1 0,0 1-1,-1-1 1,0 2 0,-1-1 0,-1 1 0,0 1 0,7 16 0,-6-12 16,-2 0 1,0 1 0,-2 0 0,0 0 0,0 0 0,-2 1 0,0-1 0,-1 1-1,-1 0 1,-3 36 0,-1-42-64,2-11 0,1 0 0,-1 0 0,1 0 0,0 0 0,0 0 0,0 0 0,0 3 0,0-5 0,0-1 0,0 0 0,1 1 0,-1-1 0,0 0 0,0 0 0,0 1 0,0-1 0,1 0 0,-1 0 0,0 1 0,0-1 0,1 0 0,-1 0 0,0 1 0,0-1 0,1 0 0,-1 0 0,0 0 0,0 0 0,1 1 0,-1-1 0,0 0 0,1 0 0,0 0 0,14-3 0,-2-3 0,0 1 0,0 0 0,1 1 0,0 0 0,-1 2 0,1-1 0,15 1 0,-18 2 0,-1 0 0,0 1 0,0 0 0,0 1 0,0 0 0,0 1 0,0 0 0,0 0 0,-1 1 0,15 8 0,-7-1 0,-1 0 0,0 1 0,-1 0 0,-1 2 0,0 0 0,0 0 0,-2 1 0,0 0 0,-1 1 0,0 1 0,11 22 0,-9-11 0,-1 1 0,-1-1 0,-2 2 0,0 0 0,-2 0 0,4 46 0,-9-55 0,-1 0 0,-1 0 0,0 0 0,-2 0 0,-1 0 0,0-1 0,-2 1 0,0-1 0,-1 1 0,-1-2 0,-1 1 0,-1-1 0,0 0 0,-2-1 0,0 0 0,-26 31 0,31-42 0,0-1 0,-1 0 0,0 0 0,-1 0 0,1-1 0,-1 0 0,0 0 0,0-1 0,0 0 0,-1-1 0,1 0 0,-1 0 0,0 0 0,-14 1 0,17-4 0,0 1 0,0-1 0,0-1 0,-1 1 0,1-1 0,0 0 0,0 0 0,0-1 0,1 0 0,-1 0 0,0 0 0,1-1 0,-1 1 0,1-1 0,0-1 0,0 1 0,0-1 0,0 0 0,1 0 0,-1 0 0,1-1 0,-7-9 0,2 0 0,1-1 0,0 1 0,1-1 0,0-1 0,2 0 0,0 0 0,-4-20 0,1-6 0,-3-72 0,10 85-170,1-1-1,2 1 0,1-1 1,1 1-1,1 0 0,2 0 1,13-36-1,3 7-6655</inkml:trace>
  <inkml:trace contextRef="#ctx0" brushRef="#br0" timeOffset="3171.71">3308 921 24575,'0'-3'0,"0"0"0,0-1 0,-1 1 0,0 0 0,1 0 0,-1-1 0,-1 1 0,1 0 0,0 0 0,-1 0 0,1 0 0,-1 1 0,0-1 0,0 0 0,-4-3 0,6 5 0,-1 1 0,0-1 0,0 0 0,1 1 0,-1-1 0,0 1 0,0 0 0,0-1 0,1 1 0,-1 0 0,0-1 0,0 1 0,0 0 0,0 0 0,0 0 0,0-1 0,0 1 0,0 0 0,0 1 0,1-1 0,-1 0 0,-1 0 0,0 1 0,0 0 0,1 0 0,0 0 0,-1 0 0,1 0 0,0 0 0,-1 0 0,1 0 0,0 1 0,0-1 0,0 0 0,0 1 0,0-1 0,0 1 0,0-1 0,0 4 0,-6 16 0,0 1 0,2-1 0,0 2 0,2-1 0,0 0 0,2 36 0,1-43 0,0 0 0,1-1 0,1 0 0,1 1 0,0-1 0,1 0 0,0 0 0,1-1 0,1 1 0,0-1 0,0 0 0,2 0 0,13 18 0,-13-21 0,0 0 0,1-1 0,0 0 0,1-1 0,0 0 0,0 0 0,1-1 0,-1 0 0,2-1 0,-1 0 0,1-1 0,-1-1 0,1 1 0,1-2 0,21 4 0,-30-6 0,0 0 0,1-1 0,-1 0 0,0 0 0,0 0 0,1 0 0,-1-1 0,0 0 0,0 1 0,0-2 0,0 1 0,0 0 0,0-1 0,0 0 0,4-2 0,-4 0 0,0 1 0,0 0 0,-1-1 0,1 0 0,-1 0 0,0 0 0,0 0 0,0 0 0,-1-1 0,1 1 0,-1-1 0,2-7 0,0-1 0,-1 0 0,0 0 0,-1-1 0,-1 0 0,0 1 0,-1-1 0,0 1 0,-1-1 0,-1 1 0,0-1 0,-1 1 0,0 0 0,-7-17 0,0 3 0,-1 1 0,-1 1 0,-1 0 0,-1 0 0,-26-32 0,27 41 0,0 0 0,-2 1 0,1 1 0,-2 0 0,-27-19 0,36 28 0,0 1 0,0 0 0,0 0 0,0 1 0,-1-1 0,1 2 0,-1-1 0,0 1 0,0 0 0,1 1 0,-1 0 0,-1 0 0,1 1 0,0 0 0,0 0 0,-15 3 0,20-2 0,1-1 0,-1 1 0,1 0 0,-1 0 0,1 0 0,0 0 0,0 0 0,0 1 0,-1-1 0,1 1 0,0-1 0,1 1 0,-1 0 0,0-1 0,-2 5 0,3-5 0,1 0 0,0 0 0,-1 0 0,1 0 0,0 0 0,0 0 0,0 0 0,0 0 0,0 0 0,0 0 0,0 1 0,0-1 0,0 0 0,1 0 0,-1 0 0,0 0 0,1 0 0,-1 0 0,0 0 0,1 0 0,0 0 0,-1 0 0,1 0 0,-1 0 0,1-1 0,0 1 0,0 0 0,0 0 0,-1-1 0,1 1 0,0 0 0,0-1 0,0 1 0,0-1 0,0 1 0,2 0 0,3 2 0,0-1 0,1 1 0,-1-1 0,1 0 0,-1-1 0,1 0 0,0 0 0,0 0 0,0-1 0,-1 0 0,1 0 0,0 0 0,0-1 0,-1 0 0,1-1 0,0 1 0,8-5 0,13-4 0,-1-1 0,44-26 0,-49 24 0,-1-1 0,0-1 0,-1 0 0,-1-2 0,27-28 0,-22 17 0,-2-1 0,-1 0 0,21-40 0,-21 34 0,-17 31 0,-3 8 0,-12 90 0,6-64 0,1 0 0,2 0 0,2 41 0,2-55 0,1 0 0,0 0 0,2 0 0,-1 0 0,2-1 0,0 1 0,1-2 0,1 1 0,13 20 0,-15-28 0,-1 1 0,1-1 0,0-1 0,1 1 0,0-1 0,0-1 0,0 1 0,10 5 0,-11-8 0,-1-1 0,0 0 0,1 1 0,0-2 0,-1 1 0,1-1 0,0 0 0,0 0 0,0 0 0,0-1 0,0 0 0,0 0 0,9-2 0,-10 1 0,1-1 0,-1 0 0,1 1 0,-1-2 0,0 1 0,0-1 0,0 0 0,0 0 0,0 0 0,-1-1 0,1 1 0,-1-1 0,0 0 0,0 0 0,-1-1 0,1 1 0,-1-1 0,0 0 0,0 0 0,0 0 0,-1 0 0,0 0 0,0-1 0,3-9 0,-2 1 0,0-1 0,-1 1 0,0-1 0,-1 1 0,-1-1 0,0 1 0,-1-1 0,-4-22 0,2 22 0,-1 1 0,-1 0 0,0 1 0,-1-1 0,0 1 0,-1 0 0,-1 0 0,-11-15 0,13 21 0,0 0 0,0 0 0,-1 0 0,0 1 0,0-1 0,0 2 0,-1-1 0,0 1 0,0 0 0,0 1 0,-1 0 0,1 0 0,-1 1 0,-9-2 0,15 4 0,-1 1 0,1-1 0,0 1 0,0 0 0,-1 0 0,1 1 0,0-1 0,-1 1 0,1 0 0,0-1 0,0 1 0,0 1 0,0-1 0,0 0 0,0 1 0,0-1 0,0 1 0,-4 3 0,6-4 0,1 0 0,-1 0 0,0 0 0,0 0 0,1 0 0,-1 0 0,0 0 0,1 0 0,-1 0 0,1 0 0,-1 0 0,1 0 0,0 0 0,-1 0 0,1 1 0,0-1 0,0 0 0,0 0 0,0 0 0,0 2 0,1-1 0,-1 0 0,1 0 0,0-1 0,-1 1 0,1 0 0,0-1 0,0 1 0,1-1 0,-1 1 0,0-1 0,0 1 0,1-1 0,-1 0 0,1 0 0,-1 0 0,1 0 0,1 1 0,2 1 0,0 0 0,-1-1 0,2 1 0,-1-1 0,0 0 0,0-1 0,0 0 0,1 1 0,-1-2 0,1 1 0,-1-1 0,1 1 0,10-2 0,-7-1 0,0 1 0,-1-2 0,1 1 0,-1-1 0,1 0 0,-1-1 0,0 0 0,9-6 0,-5 2 0,0-1 0,-1 0 0,0-1 0,0 0 0,-1-1 0,0 0 0,-1 0 0,0-1 0,-1 0 0,11-22 0,-9 9 0,-1 0 0,-2 0 0,0-1 0,-2 0 0,3-32 0,-5 10 0,-4-89 0,-7 75 0,3 49 0,0 19 0,-1 29 0,3 60 0,5-1 0,3 0 0,19 101 0,-13-123 0,4-1 0,38 112 0,-50-177 0,-1 0 0,1 0 0,0 0 0,0 0 0,0 0 0,1-1 0,0 1 0,0-1 0,0 0 0,8 6 0,-10-9 0,0-1 0,1 0 0,-1 0 0,0 0 0,1 0 0,-1 0 0,1 0 0,-1-1 0,1 1 0,-1-1 0,1 1 0,-1-1 0,1 0 0,-1 0 0,1 0 0,-1-1 0,1 1 0,-1-1 0,1 1 0,-1-1 0,1 0 0,-1 0 0,0 0 0,1 0 0,-1 0 0,0 0 0,0-1 0,0 1 0,4-4 0,4-4 0,1 0 0,-1-1 0,-1 0 0,1-1 0,-2 0 0,0 0 0,9-16 0,42-93 0,-56 113 0,49-127 0,-46 112 0,0 0 0,-1 0 0,-2 0 0,2-26 0,-5 44 0,1 0 0,-1 0 0,-1-1 0,1 1 0,-1 0 0,1 0 0,-1 0 0,0 0 0,-1-1 0,-2-6 0,3 11 0,1-1 0,0 1 0,-1-1 0,1 0 0,-1 1 0,0-1 0,1 1 0,-1-1 0,1 1 0,-1 0 0,0-1 0,1 1 0,-1 0 0,0-1 0,1 1 0,-1 0 0,0 0 0,1-1 0,-1 1 0,0 0 0,0 0 0,-1 0 0,1 0 0,-1 1 0,0-1 0,0 1 0,0-1 0,1 1 0,-1 0 0,0 0 0,1 0 0,-1 0 0,1 0 0,-1 0 0,-2 2 0,-3 3 0,0 1 0,0-1 0,1 1 0,0 0 0,0 1 0,1 0 0,-9 14 0,13-19 0,0 0 0,0 0 0,-1 1 0,2-1 0,-1 0 0,0 1 0,1-1 0,-1 0 0,1 1 0,0-1 0,0 0 0,1 1 0,-1-1 0,1 0 0,-1 1 0,1-1 0,0 0 0,0 0 0,1 0 0,-1 1 0,1-1 0,-1-1 0,1 1 0,0 0 0,4 4 0,2 2 0,0-1 0,1-1 0,-1 1 0,2-2 0,-1 1 0,1-1 0,16 7 0,81 29 0,-59-25 0,178 81 0,-210-90-227,-1 0-1,-1 1 1,1 0-1,-2 1 1,24 22-1,-3 7-6598</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3:14.067"/>
    </inkml:context>
    <inkml:brush xml:id="br0">
      <inkml:brushProperty name="width" value="0.025" units="cm"/>
      <inkml:brushProperty name="height" value="0.025" units="cm"/>
    </inkml:brush>
  </inkml:definitions>
  <inkml:trace contextRef="#ctx0" brushRef="#br0">2203 125 24575,'0'-4'0,"-1"-1"0,0 1 0,1-1 0,-1 1 0,0 0 0,-1-1 0,1 1 0,-1 0 0,0 0 0,0 0 0,0 0 0,-1 0 0,1 0 0,-1 1 0,0-1 0,0 1 0,0 0 0,-1 0 0,1 0 0,-1 0 0,0 1 0,1-1 0,-1 1 0,0 0 0,-6-2 0,-4-2 0,-1 1 0,0 0 0,0 1 0,0 1 0,-1 0 0,-17 0 0,11 2 0,1 1 0,-1 1 0,1 0 0,-1 2 0,1 1 0,-36 11 0,27-5 0,0 2 0,1 1 0,-53 33 0,17-1 0,2 4 0,-106 105 0,44-22-1165,-206 282-1,-52 188-1598,143-150 2451,208-382 308,3 2 1,4 1-1,3 1 1,-21 121 0,40-178 4,2-1 0,0 24 0,5-22 134,-3-18-112,-1 0-1,0 0 0,0 1 1,0-1-1,1 0 1,-1 0-1,0 0 1,0 0-1,1 0 0,-1 1 1,0-1-1,0 0 1,1 0-1,-1 0 1,0 0-1,0 0 0,1 0 1,-1 0-1,0 0 1,0 0-1,1 0 0,-1 0 1,0 0-1,0 0 1,1 0-1,-1 0 1,0 0-1,0 0 0,1-1 1,-1 1-1,0 0 1,0 0-1,1 0 0,1-2 186,0 0 0,0 0 0,0 0-1,0 0 1,-1 0 0,1 0 0,-1 0-1,3-4 1,5-15 87,0 0-1,-2 0 1,0 0 0,-1-1 0,4-30-1,6-118 652,-14 136-945,-2 0 0,-1 1 0,-10-66 0,-30-94 0,32 151 0,5 34 0,0 9 0,-2 9 0,1-1 0,0 1 0,0 0 0,1 0 0,1 0 0,-1 1 0,-1 15 0,3-19 0,-40 157 0,-23 199 0,63-349 0,1 1 0,0-1 0,2 0 0,1 20 0,-1-32 0,-1 1 0,0-1 0,1 1 0,-1-1 0,1 0 0,0 1 0,0-1 0,0 1 0,0-1 0,0 0 0,0 0 0,1 0 0,-1 0 0,1 0 0,-1 0 0,1 0 0,0 0 0,0 0 0,0-1 0,0 1 0,0-1 0,0 1 0,0-1 0,1 0 0,-1 0 0,0 0 0,1 0 0,-1-1 0,0 1 0,1 0 0,3-1 0,0 0 0,-1 0 0,1-1 0,-1 0 0,1 0 0,-1 0 0,1-1 0,-1 0 0,7-3 0,43-25 0,27-27 0,-46 31 0,2 1 0,68-34 0,-93 53 0,0 1 0,0 1 0,1 0 0,-1 0 0,1 1 0,0 1 0,-1 1 0,1 0 0,0 0 0,0 1 0,0 1 0,0 1 0,16 3 0,-19-2-273,-1 0 0,1 1 0,-1 1 0,11 5 0,34 25-6553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3:18.872"/>
    </inkml:context>
    <inkml:brush xml:id="br0">
      <inkml:brushProperty name="width" value="0.025" units="cm"/>
      <inkml:brushProperty name="height" value="0.025" units="cm"/>
    </inkml:brush>
  </inkml:definitions>
  <inkml:trace contextRef="#ctx0" brushRef="#br0">1547 238 24575,'0'-10'0,"0"1"0,-1 0 0,-1-1 0,1 1 0,-2 0 0,1 0 0,-1 0 0,-1 0 0,1 1 0,-1-1 0,-1 1 0,0 0 0,0 0 0,0 0 0,-1 1 0,0 0 0,-1 0 0,-13-11 0,9 10 0,0 0 0,-1 1 0,0 0 0,0 1 0,0 1 0,-1 0 0,0 0 0,0 1 0,0 1 0,0 0 0,-1 1 0,-22-1 0,14 3 9,0 1 0,0 0-1,0 2 1,1 1 0,-1 1-1,1 0 1,0 2 0,0 0-1,1 1 1,0 2 0,-25 14-1,17-6-73,2 1 0,0 2 0,1 0 0,1 2 0,0 0 0,2 2 0,-21 30-1,-4 15-372,4 2-1,3 2 0,3 1 1,-47 138-1,-69 334 549,87-246-110,14 2 0,13 3 0,13 1 0,20 443 0,6-745 0,1 32 0,11 64 0,-3-73 0,-9-28 0,0 0 0,0 0 0,0 0 0,0 0 0,0-1 0,0 1 0,0 0 0,0 0 0,0 0 0,0 0 0,0-1 0,0 1 0,0 0 0,0 0 0,0 0 0,0 0 0,0 0 0,0-1 0,0 1 0,0 0 0,0 0 0,1 0 0,-1 0 0,0 0 0,0 0 0,0-1 0,0 1 0,0 0 0,0 0 0,1 0 0,-1 0 0,0 0 0,0 0 0,0 0 0,0 0 0,1 0 0,-1 0 0,0 0 0,0 0 0,0 0 0,0 0 0,1 0 0,-1 0 0,0 0 0,0 0 0,0 0 0,0 0 0,0 0 0,1 0 0,-1 0 0,0 0 0,0 0 0,0 0 0,0 0 0,1 0 0,-1 0 0,0 1 0,0-1 0,0 0 0,0 0 0,0 0 0,0 0 0,0 0 0,1 0 0,-1 1 0,0-1 0,0 0 0,0 0 0,1-10 306,0 0 1,-1 1 0,0-1-1,-2-16 1,1 7 243,-3-25-419,-2 1-1,-1 0 0,-27-83 0,12 66-164,-2 0-1,-35-58 0,35 79 35,24 39 0,0-1 0,-1 0 0,1 1 0,0-1 0,-1 1 0,1-1 0,-1 0 0,1 1 0,-1-1 0,1 1 0,-1 0 0,1-1 0,-1 1 0,1-1 0,-1 1 0,0 0 0,1-1 0,-1 1 0,0 0 0,1 0 0,-1 0 0,0-1 0,1 1 0,-1 0 0,0 0 0,1 0 0,-1 0 0,0 0 0,1 0 0,-2 0 0,1 1 0,0 1 0,0-1 0,0 0 0,1 0 0,-1 0 0,0 0 0,1 1 0,-1-1 0,0 0 0,1 1 0,0-1 0,-1 0 0,1 1 0,0 1 0,-5 28 0,2 0 0,1-1 0,3 43 0,0-24 0,-1 21 0,10 247 0,-9-306 0,0 1 0,1 0 0,1-1 0,0 1 0,0-1 0,1 0 0,0 0 0,8 14 0,-9-21 0,-1-1 0,1 1 0,0 0 0,0-1 0,0 1 0,0-1 0,1 0 0,0 0 0,-1-1 0,1 1 0,0-1 0,0 0 0,0 0 0,1 0 0,-1 0 0,0-1 0,1 1 0,-1-1 0,1 0 0,-1-1 0,1 1 0,0-1 0,-1 0 0,6 0 0,1-2 29,0 0-1,0 0 1,0-1-1,-1-1 0,1 0 1,-1 0-1,1-1 1,-1 0-1,-1-1 1,1 0-1,12-10 1,-3 0-371,0-1 1,0 0 0,-2-2-1,16-21 1,6-15-6485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3:22.865"/>
    </inkml:context>
    <inkml:brush xml:id="br0">
      <inkml:brushProperty name="width" value="0.025" units="cm"/>
      <inkml:brushProperty name="height" value="0.025" units="cm"/>
    </inkml:brush>
  </inkml:definitions>
  <inkml:trace contextRef="#ctx0" brushRef="#br0">684 1749 24575,'6'0'0,"12"0"0,20 0 0,30-17 0,31-15 0,27-20 0,18-11 0,12-12 0,-9 7-1204,-30 5 1204,-35 23 0,-42 19 0,-44 35 0,-22 14-6987</inkml:trace>
  <inkml:trace contextRef="#ctx0" brushRef="#br0" timeOffset="262.24">1262 1589 24575,'0'16'0,"11"17"0,4 23 0,9 26 0,2 19 0,11 10 0,1-4 0,10-9 0,-4-10 0,-3-20 0,-9-5 0,7-3 0,7-12 0,-4-18 0,-9-15-8191</inkml:trace>
  <inkml:trace contextRef="#ctx0" brushRef="#br0" timeOffset="700.82">2384 1427 24575,'0'-4'0,"0"-1"0,0 1 0,-1 0 0,1 0 0,-1 0 0,0 0 0,0 0 0,-1 0 0,1 0 0,-1 0 0,0 1 0,0-1 0,0 1 0,0-1 0,-1 1 0,1 0 0,-1-1 0,0 1 0,0 1 0,0-1 0,0 0 0,-1 1 0,-5-4 0,4 4 0,-1-1 0,1 1 0,-1 0 0,0 1 0,1-1 0,-1 1 0,0 0 0,0 1 0,0-1 0,0 1 0,1 0 0,-1 1 0,0 0 0,0-1 0,-10 4 0,-2 3 0,0 0 0,1 1 0,0 1 0,1 0 0,0 1 0,0 1 0,1 1 0,-15 14 0,6-3 0,0 2 0,2 1 0,-33 48 0,48-64 0,1 1 0,-1 0 0,2 1 0,0 0 0,0-1 0,-6 24 0,11-32 0,-1 0 0,1 1 0,-1-1 0,1 0 0,0 0 0,0 0 0,0 1 0,1-1 0,-1 0 0,1 0 0,0 0 0,0 0 0,0 0 0,0 0 0,0 0 0,1 0 0,-1 0 0,1 0 0,0-1 0,-1 1 0,1-1 0,1 1 0,-1-1 0,0 0 0,1 1 0,-1-1 0,1-1 0,-1 1 0,1 0 0,0-1 0,0 1 0,3 0 0,6 3 0,0-1 0,0-1 0,0 0 0,1-1 0,-1 0 0,19 0 0,78-7 0,-68 2 0,93-6 0,167-8 0,-285 16 0,0 2 0,-1 0 0,1 0 0,0 2 0,-1 0 0,21 6 0,-33-8 0,1 1 0,-1-1 0,0 0 0,0 1 0,1 0 0,-1-1 0,0 1 0,0 1 0,-1-1 0,1 0 0,0 1 0,-1-1 0,1 1 0,-1 0 0,0 0 0,0 0 0,0 0 0,0 0 0,-1 0 0,1 0 0,-1 1 0,0-1 0,0 0 0,0 1 0,0-1 0,-1 1 0,1 0 0,-1-1 0,0 1 0,0-1 0,0 1 0,-2 6 0,-1 1 0,0-1 0,0 0 0,-1 0 0,-1-1 0,0 1 0,0-1 0,-1 0 0,0 0 0,0-1 0,-1 0 0,0 0 0,-11 9 0,-5 3 0,0-1 0,-1-2 0,-31 19 0,32-23 0,-1-2 0,1 0 0,-2-1 0,0-1 0,0-2 0,0 0 0,-30 3 0,50-10 23,0 1 0,-1-1 0,1 1-1,0-2 1,0 1 0,0 0 0,0-1-1,0 0 1,0 0 0,0-1 0,0 1-1,0-1 1,1 0 0,-10-5 0,10 3-155,-1 0 1,1 0 0,0-1-1,0 1 1,0-1 0,0 0 0,1 0-1,0 0 1,0 0 0,0 0 0,1-1-1,-3-6 1,-11-44-6695</inkml:trace>
  <inkml:trace contextRef="#ctx0" brushRef="#br0" timeOffset="1293.58">1871 594 24575,'-88'-1'0,"-126"4"0,167 0 0,0 2 0,-71 17 0,52-2-231,1 2 0,0 3 0,2 2 0,1 4 0,1 2 0,2 3 0,2 2-1,1 3 1,-92 87 0,90-68-132,2 2 1,3 3-1,2 2 0,4 2 0,3 2 0,3 2 1,-56 136-1,62-117 277,5 2 0,3 1 1,4 1-1,-14 139 0,32-176 90,2 1 0,3-1 0,3 0-1,2 0 1,3 0 0,2 0 0,3-1 0,34 93 0,-28-103-4,4-1 0,1-2 0,2 0 0,2-1 0,57 68 0,-43-66 0,2-1 0,3-2 0,0-3 0,70 45 0,-40-37 0,3-4 0,1-3 0,3-4 0,0-3 0,2-5 0,161 34 0,-108-38 0,1-6 0,279 2 0,-297-26 0,-1-5 0,-1-5 0,210-54 0,-182 24-625,-2-7 1,-3-6 0,-2-6 0,219-136-1,-305 165 622,-2-3 1,-1-1-1,67-69 0,-95 83 2,-1-2-1,-2 0 1,0-2 0,-2 0-1,-1-1 1,-2-1 0,0 0 0,11-36-1,-14 24 2,-2 0 0,-1 0 0,6-67 0,-12 41 0,-7-113 0,-5 82-181,-29-124-1,3 81-92,-6 1 0,-6 2 0,-6 2 0,-6 3 0,-6 2 0,-129-198 0,138 252 198,-3 3 0,-4 2 0,-3 3 1,-2 3-1,-4 3 0,-135-95 1,145 120 84,-2 2 1,-1 3-1,-2 3 1,-1 3-1,-2 3 1,0 3-1,-2 2 1,0 4-1,-108-11 1,105 23 30,-1 3 1,0 4-1,1 3 0,-1 3 1,1 4-1,-87 24 0,57-5-2,1 5 0,2 4 0,-157 88 0,164-74-40,1 5 0,4 4 0,2 4 0,3 4 0,3 3-1,-120 143 1,150-153 0,3 3-1,3 1 0,3 3 0,4 1 1,2 2-1,3 1 0,4 1 0,4 2 1,-26 127-1,43-156 98,1-1-1,3 1 1,1 0 0,9 89 0,13-35 2314,-19-103-2407</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3:33.312"/>
    </inkml:context>
    <inkml:brush xml:id="br0">
      <inkml:brushProperty name="width" value="0.025" units="cm"/>
      <inkml:brushProperty name="height" value="0.025" units="cm"/>
    </inkml:brush>
  </inkml:definitions>
  <inkml:trace contextRef="#ctx0" brushRef="#br0">2629 159 24575,'0'-4'0,"0"-1"0,-1 1 0,1-1 0,-1 1 0,0-1 0,-1 1 0,1 0 0,-1-1 0,0 1 0,-4-7 0,5 10 0,1 0 0,-1 0 0,0-1 0,0 1 0,0 0 0,0 0 0,0 0 0,-1 0 0,1 0 0,0 0 0,0 0 0,-1 0 0,1 1 0,0-1 0,-1 1 0,1-1 0,-1 1 0,1-1 0,-1 1 0,1 0 0,-1-1 0,1 1 0,-1 0 0,1 0 0,-1 0 0,1 0 0,-1 0 0,1 1 0,-1-1 0,1 0 0,-1 1 0,1-1 0,-1 1 0,-1 1 0,-5 2 0,1 1 0,-1 0 0,1 1 0,1-1 0,-1 1 0,1 0 0,-8 11 0,-41 61 0,53-75 0,-148 263-842,15 18-809,115-239 1411,-510 1209-307,428-972-10,-102 460 1,195-708 556,10-66 0,1 15 0,16-575 4393,-21 638-4393,-17 82 0,4-28 0,-8 179 0,24-269 0,0 0 0,0 0 0,1 0 0,1 0 0,-1 0 0,7 19 0,-7-26 0,1 0 0,-1 0 0,1-1 0,-1 1 0,1 0 0,0-1 0,0 1 0,0-1 0,0 0 0,1 1 0,-1-1 0,0 0 0,1 0 0,0-1 0,-1 1 0,1 0 0,0-1 0,0 0 0,0 0 0,0 0 0,0 0 0,0 0 0,0 0 0,1-1 0,2 1 0,4-1 0,0 0 0,0-1 0,0 0 0,0 0 0,-1-1 0,1 0 0,18-7 0,64-34 0,-88 41 0,35-19-682,59-44-1,-39 21-6143</inkml:trace>
  <inkml:trace contextRef="#ctx0" brushRef="#br0" timeOffset="780.11">5900 32 24575,'0'-2'0,"0"0"0,0 0 0,0 0 0,-1 0 0,1-1 0,-1 1 0,1 0 0,-1 0 0,0 0 0,0 1 0,-1-4 0,2 5 0,-1-1 0,1 1 0,-1 0 0,1-1 0,-1 1 0,1 0 0,-1-1 0,1 1 0,-1 0 0,1-1 0,-1 1 0,1 0 0,-1 0 0,1 0 0,-1 0 0,0 0 0,1-1 0,-1 1 0,1 0 0,-1 0 0,1 0 0,-1 0 0,0 1 0,1-1 0,-1 0 0,1 0 0,-1 0 0,0 0 0,1 1 0,-1-1 0,1 0 0,-1 0 0,1 1 0,-1-1 0,1 0 0,0 1 0,-1-1 0,1 1 0,-1-1 0,1 1 0,0-1 0,-1 1 0,1-1 0,0 1 0,-1 0 0,-7 10 0,0 0 0,0 0 0,1 1 0,-6 15 0,-6 9 0,-221 486-648,43 20-247,138-371 813,-65 187 82,-95 262 0,212-599 0,-17 38 0,22-54 0,0-1 0,-1 0 0,1 0 0,-1 0 0,0 0 0,0 0 0,0-1 0,-1 1 0,-5 4 0,8-8 0,0 1 0,0 0 0,0-1 0,0 1 0,0-1 0,0 0 0,0 1 0,0-1 0,0 0 0,0 1 0,0-1 0,0 0 0,0 0 0,0 0 0,-1 0 0,1 0 0,0 0 0,0 0 0,0-1 0,0 1 0,0 0 0,0-1 0,0 1 0,0 0 0,0-1 0,0 1 0,0-1 0,-2-1 0,0 0 0,1-1 0,-1 1 0,1-1 0,0 0 0,-1 0 0,1 0 0,0 0 0,-1-4 0,-10-22 42,-15-52 0,19 52 145,-47-192 1050,41 156-1120,13 53-117,-13-43 0,14 50 0,-1 1 0,1 0 0,-1 0 0,0 0 0,0 1 0,0-1 0,-1 0 0,1 1 0,-5-5 0,6 8 0,1-1 0,0 1 0,0 0 0,-1 0 0,1-1 0,-1 1 0,1 0 0,0 0 0,-1 0 0,1-1 0,0 1 0,-1 0 0,1 0 0,-1 0 0,1 0 0,-1 0 0,1 0 0,0 0 0,-1 0 0,1 0 0,-1 0 0,1 0 0,-1 0 0,1 0 0,0 0 0,-1 0 0,1 1 0,-1-1 0,1 0 0,0 0 0,-1 0 0,1 1 0,0-1 0,-1 0 0,1 0 0,0 1 0,-1-1 0,1 0 0,0 1 0,0-1 0,-1 0 0,1 1 0,0-1 0,0 1 0,0-1 0,-1 1 0,-3 8 0,1 0 0,0 1 0,1 0 0,0-1 0,0 1 0,1 0 0,0 16 0,0-13 0,-4 54 0,7 120 0,-1-176 0,0 0 0,1 0 0,0-1 0,0 1 0,1-1 0,1 1 0,0-1 0,0 0 0,1-1 0,1 1 0,-1-1 0,1 0 0,1 0 0,0 0 0,0-1 0,0 0 0,1-1 0,0 0 0,1 0 0,17 11 0,-11-12 29,0 1-1,0-2 1,1 0-1,0-1 0,0 0 1,0-1-1,0-1 1,0-1-1,0 0 1,1-1-1,18-2 1,-9-1-273,-1-1 0,1-2 0,-1 0 0,0-1 1,0-2-1,29-14 0,3-8-6582</inkml:trace>
  <inkml:trace contextRef="#ctx0" brushRef="#br0" timeOffset="1799.77">0 5322 24575,'1181'-48'-1823,"-802"14"900,-152 11-394,950-79-2797,-706 72 3587,-44-1 527,-66 1 0,-83 5 0,-197 18 0,109-14 0,-178 18 117,-18 0 177,-21 1 468,-108 9 1296,63 1-4776</inkml:trace>
  <inkml:trace contextRef="#ctx0" brushRef="#br0" timeOffset="2218.27">706 5482 24575,'5'0'0,"24"0"0,23 0 0,30 0 0,24 0 0,36 0 0,55-11 0,58-3-3294,63-16 3294,54-3 0,39-12 0,16 1 0,-10 9 0,-38 10 0,-67 9 0,-87 7-4897</inkml:trace>
  <inkml:trace contextRef="#ctx0" brushRef="#br0" timeOffset="7604.18">8915 2308 24575,'-5'-1'0,"1"0"0,-1 0 0,1-1 0,-1 0 0,1 0 0,0 0 0,0 0 0,0-1 0,0 0 0,0 0 0,0 0 0,1 0 0,-4-4 0,-9-7 0,-25-18 0,-1 2 0,-59-31 0,71 46 0,-2 1 0,0 1 0,0 2 0,-54-11 0,5 6 0,-114-6 0,147 20 0,0 2 0,0 3 0,-90 15 0,88-6-52,0 2 1,1 2-1,1 2 0,1 3 0,0 1 0,2 2 0,1 2 0,-54 43 0,54-34-6,2 1 0,2 3-1,2 1 1,1 2 0,2 1-1,2 2 1,-45 82 0,42-54-75,3 2 0,4 0 1,2 2-1,-28 143 0,31-71-518,-11 255-1,32-244 652,34 304 0,-15-360 0,4-1 0,4-1 0,75 193 0,-74-239 0,2 0 0,2-2 0,71 98 0,-72-117 0,1-2 0,2-1 0,1-1 0,1-1 0,2-2 0,44 27 0,-31-27-102,2-2 1,1-2-1,1-3 1,1-2-1,1-2 1,0-2-1,1-3 1,96 9-1,-71-16 28,-1-3 0,1-4 0,-1-3 0,0-4 0,126-31 0,-70 3-676,211-89 0,110-101-755,-324 151 1280,209-161 1,-286 192 153,-1-3 0,-3-2 1,-2-2-1,-2-2 0,76-115 0,-102 131 79,-1-1 0,-1 0 0,-3-2 0,-1 0-1,17-78 1,-22 62-17,-2 0 0,-3 0-1,-5-110 1,-7 82-7,-3 1 0,-23-85 0,-63-152 30,45 186 72,-92-169 1,88 205-72,-5 1 1,-93-115-1,100 149 12,-3 3 1,-2 2-1,-123-95 1,129 117 33,-1 2 0,-2 3 1,-2 2-1,0 2 0,-99-32 0,91 41-61,-1 2 0,0 4 0,-92-8 0,113 18-2,-1 3 0,0 1 0,1 2 0,0 2 1,-85 21-1,76-8 1,0 2 1,1 2 0,1 3-1,1 1 1,1 3-1,-59 46 1,40-21 0,2 3 0,3 3 0,-80 97 1,87-85-1,2 3 0,4 2 0,4 3 0,3 1 0,-43 109 0,31-40-119,17-32-475</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5:34.277"/>
    </inkml:context>
    <inkml:brush xml:id="br0">
      <inkml:brushProperty name="width" value="0.025" units="cm"/>
      <inkml:brushProperty name="height" value="0.025" units="cm"/>
    </inkml:brush>
  </inkml:definitions>
  <inkml:trace contextRef="#ctx0" brushRef="#br0">2777 1168 24575</inkml:trace>
  <inkml:trace contextRef="#ctx0" brushRef="#br0" timeOffset="1968.57">5375 815 24575,'-16'1'0,"41"-3"0,637-114-1238,-4-46-724,-298 71 1526,-310 78 436,415-98 0,1 23 0,-422 79 0,-135 13 283,45-1 216,1-2 1,-1-1-1,-57-9 0,91 7-423,1 0-1,-1-1 0,1 0 1,0-1-1,0 0 0,0-1 1,0 0-1,1 0 0,0-2 1,0 1-1,0-1 0,1 0 1,0-1-1,0 0 0,1-1 1,0 1-1,-10-17 0,15 20-75,0 0 0,0 0 0,1 0 0,0 0 0,0-1 0,0 1 0,1-1 0,-2-9 0,3 13 0,-1 1 0,1-1 0,0 0 0,0 0 0,0 1 0,1-1 0,-1 0 0,0 0 0,1 1 0,-1-1 0,1 0 0,0 1 0,-1-1 0,1 1 0,0-1 0,0 0 0,0 1 0,0 0 0,0-1 0,0 1 0,1 0 0,-1-1 0,0 1 0,1 0 0,-1 0 0,1 0 0,-1 0 0,1 1 0,-1-1 0,3-1 0,0 1 0,1 1 0,-1-1 0,0 0 0,0 1 0,0 0 0,0 0 0,0 1 0,1-1 0,-1 1 0,0 0 0,0 0 0,0 0 0,0 0 0,0 1 0,-1 0 0,8 3 0,4 4 0,-1 0 0,24 21 0,-16-9 0,-1 2 0,0 0 0,-2 1 0,0 1 0,-2 1 0,-1 1 0,-1 0 0,13 34 0,-23-50 0,-1 1 0,0-1 0,-1 1 0,-1 0 0,1 0 0,-2 0 0,0 0 0,0 0 0,-1 0 0,-1 0 0,-2 16 0,1-18 0,0 0 0,-1-1 0,-1 1 0,1-1 0,-1 0 0,-1 0 0,0 0 0,0 0 0,-1-1 0,0 0 0,0 0 0,-1-1 0,-12 12 0,7-9-455,-1-1 0,-15 9 0,-23 9-6371</inkml:trace>
  <inkml:trace contextRef="#ctx0" brushRef="#br0" timeOffset="2869.02">179 783 24575,'-6'0'0,"-10"-1"0,-1 2 0,0 0 0,1 0 0,-29 8 0,42-8 0,-1-1 0,1 2 0,0-1 0,0 0 0,0 1 0,0-1 0,0 1 0,0 0 0,0 0 0,1 0 0,-1 0 0,1 0 0,-1 1 0,1-1 0,0 1 0,0 0 0,0-1 0,0 1 0,0 0 0,1 0 0,0 0 0,-1 1 0,1-1 0,0 0 0,0 0 0,1 1 0,-1-1 0,1 0 0,-1 7 0,1-8 0,0-1 0,1 1 0,-1 0 0,0 0 0,1 0 0,-1-1 0,0 1 0,1 0 0,0-1 0,0 1 0,-1 0 0,1-1 0,0 1 0,0-1 0,0 1 0,0-1 0,2 2 0,0-1 0,0 1 0,0-1 0,0 0 0,1 0 0,-1 0 0,1 0 0,6 2 0,-1-2 0,-1 0 0,1 0 0,-1 0 0,1-1 0,-1-1 0,1 1 0,14-2 0,1-2 0,46-12 0,71-29 0,191-86 0,-128 30 0,-179 83 342,-20 11-684,-10 7-1023,-21 10-5461</inkml:trace>
  <inkml:trace contextRef="#ctx0" brushRef="#br0" timeOffset="3104.75">436 879 24575,'-11'0'0,"-4"16"0,12 23 0,7 25 0,24 19 0,18 22 0,23 21 0,0 16 0,11 11 0,1-5 0,-13-15 0,5-20 0,6-19 0,5-24 0,-11-31 0,-1-32 0,-14-17-8191</inkml:trace>
  <inkml:trace contextRef="#ctx0" brushRef="#br0" timeOffset="3917.62">1623 1361 24575,'0'-11'0,"0"-1"0,-1 1 0,0-1 0,-1 1 0,0 0 0,-7-21 0,8 29 0,0 1 0,-1-1 0,1 1 0,0-1 0,-1 1 0,0 0 0,1 0 0,-1 0 0,0-1 0,0 2 0,0-1 0,0 0 0,-1 0 0,1 1 0,0-1 0,-1 1 0,1 0 0,-1 0 0,0 0 0,1 0 0,-1 0 0,0 0 0,1 1 0,-1-1 0,0 1 0,0 0 0,0 0 0,1 0 0,-1 0 0,0 0 0,0 1 0,1-1 0,-1 1 0,-3 1 0,-2 1 0,1 0 0,-1 0 0,1 1 0,-1 0 0,1 0 0,0 1 0,1 0 0,-1 0 0,1 0 0,0 1 0,0 0 0,1 0 0,0 1 0,0 0 0,0 0 0,-3 7 0,-4 9 0,1-1 0,1 1 0,1 1 0,-7 27 0,8-25 0,2-1 0,1 1 0,1 0 0,2 1 0,0-2 0,1 2 0,5 34 0,-3-56 0,0 1 0,0 0 0,1-1 0,0 1 0,0-1 0,0 0 0,1 0 0,-1 1 0,1-2 0,1 1 0,-1 0 0,1-1 0,-1 1 0,1-1 0,0 0 0,1 0 0,-1-1 0,1 1 0,0-1 0,0 0 0,0 0 0,0-1 0,0 1 0,1-1 0,-1 0 0,1-1 0,-1 1 0,1-1 0,0 0 0,-1-1 0,1 1 0,0-1 0,0 0 0,-1-1 0,7 0 0,0-1 0,-1-1 0,1 0 0,-1 0 0,0-1 0,0-1 0,0 0 0,0 0 0,-1-1 0,0 0 0,0-1 0,-1 0 0,0-1 0,0 0 0,-1 0 0,0-1 0,0 0 0,-1 0 0,12-19 0,-9 10 0,0 0 0,-1-1 0,-1 0 0,-1 0 0,0 0 0,-2-1 0,0-1 0,-1 1 0,-1-1 0,0-22 0,-3 23 0,-1 0 0,-1 0 0,-1-1 0,-1 2 0,0-1 0,-1 0 0,-2 1 0,0 0 0,0 0 0,-12-17 0,18 34 0,0 0 0,0-1 0,-1 1 0,1 0 0,-1 0 0,0 1 0,1-1 0,-1 0 0,0 0 0,0 1 0,-3-2 0,4 2 0,1 1 0,-1 0 0,0 0 0,1 0 0,-1-1 0,1 1 0,-1 0 0,0 0 0,1 0 0,-1 0 0,1 0 0,-1 0 0,0 0 0,1 1 0,-1-1 0,1 0 0,-1 0 0,0 0 0,1 1 0,-1-1 0,1 0 0,-1 1 0,1-1 0,-1 0 0,1 1 0,-1-1 0,1 0 0,-1 2 0,-2 1 0,1 1 0,0 0 0,0 0 0,0 0 0,1 0 0,0 1 0,-1-1 0,1 0 0,1 0 0,-2 9 0,2-1 0,0-1 0,0 1 0,1-1 0,0 1 0,1-1 0,0 0 0,1 1 0,0-1 0,1 0 0,0-1 0,1 1 0,0-1 0,1 0 0,0 0 0,0 0 0,1-1 0,0 0 0,1 0 0,12 10 0,-10-10 0,1 0 0,1 0 0,-1-1 0,1-1 0,1 0 0,-1-1 0,1 0 0,0-1 0,1 0 0,-1-1 0,1-1 0,0 0 0,0-1 0,0 0 0,24-1 0,-31-1 0,-1 0 0,0-1 0,1 0 0,-1 0 0,0-1 0,0 0 0,0 0 0,0 0 0,0-1 0,0 1 0,-1-1 0,1-1 0,-1 1 0,8-7 0,-8 4 0,0 1 0,0-1 0,-1 0 0,1 0 0,-1-1 0,-1 1 0,1-1 0,-1 0 0,0 0 0,3-14 0,-2 1 0,-1 0 0,-1 0 0,0-1 0,-2 1 0,0-1 0,-2 1 0,0 0 0,-7-28 0,-11-32 0,-4 0 0,-65-144 0,33 109 0,-83-125 0,128 223 0,0 1 0,-24-26 0,34 40 0,0 1 0,-1-1 0,1 1 0,-1-1 0,1 1 0,-1 0 0,0 0 0,1 0 0,-1 0 0,0 0 0,0 0 0,0 0 0,0 0 0,0 1 0,0-1 0,0 1 0,0 0 0,-3-1 0,4 2 0,0-1 0,0 1 0,-1 0 0,1 0 0,0-1 0,0 1 0,1 0 0,-1 0 0,0 0 0,0 0 0,0 0 0,1 0 0,-1 0 0,0 0 0,1 0 0,-1 0 0,1 1 0,-1-1 0,1 0 0,0 0 0,-1 1 0,1-1 0,0 0 0,0 0 0,0 1 0,0-1 0,0 0 0,0 0 0,1 2 0,-1 11 0,1-1 0,1 1 0,0-1 0,7 25 0,24 59 0,-31-94 0,189 415 0,-160-360 0,70 99 0,-96-150 0,5 6 0,22 23 0,-30-34 0,0 1 0,1-1 0,-1-1 0,0 1 0,0 0 0,1-1 0,-1 1 0,1-1 0,0 0 0,-1 1 0,1-1 0,0-1 0,0 1 0,0 0 0,-1-1 0,1 1 0,4-1 0,-5 0 0,-1-1 0,1 1 0,-1-1 0,1 1 0,-1-1 0,1 0 0,-1 1 0,1-1 0,-1 0 0,0 0 0,1 0 0,-1 0 0,0 0 0,0 0 0,0-1 0,0 1 0,0 0 0,0-1 0,0 1 0,0 0 0,1-4 0,11-37 0,-9 28 0,7-32 0,0 4 0,16-44 0,-23 75 0,1 1 0,0-1 0,0 1 0,1 0 0,0 0 0,1 1 0,0 0 0,1 0 0,8-8 0,-13 14 0,0 1 0,0-1 0,0 1 0,1 0 0,-1 0 0,0 0 0,1 1 0,-1-1 0,1 1 0,-1 0 0,1 0 0,0 0 0,0 0 0,-1 1 0,1 0 0,7-1 0,-6 2 0,0 0 0,-1 0 0,1 1 0,0-1 0,-1 1 0,0 0 0,1 0 0,-1 0 0,0 1 0,0-1 0,7 7 0,0 1 0,-1 1 0,1 1 0,-2 0 0,0 0 0,0 1 0,-1 0 0,8 18 0,-11-20 0,0 1 0,-1-1 0,0 1 0,-1 0 0,0 0 0,-1 0 0,0 0 0,-1 1 0,0-1 0,-1 0 0,-1 1 0,-3 23 0,1-26 0,0 0 0,0-1 0,0 1 0,-1-1 0,-1 0 0,0 0 0,0 0 0,-1 0 0,0-1 0,0 0 0,-1 0 0,1-1 0,-2 0 0,1 0 0,-1-1 0,-12 8 0,10-8 34,0 0 1,-1-1-1,0 0 0,0 0 0,0-1 0,0-1 0,-1 0 0,0-1 0,-23 3 1,30-5-99,1 0 1,-1 0 0,0 0 0,0-1 0,0 1-1,0-1 1,0 0 0,0-1 0,1 1 0,-1-1-1,0 0 1,1 0 0,0 0 0,-1-1-1,1 1 1,0-1 0,0 0 0,0 0 0,1-1-1,-1 1 1,1-1 0,0 0 0,0 0 0,0 0-1,0 0 1,-2-7 0,-10-30-6763</inkml:trace>
  <inkml:trace contextRef="#ctx0" brushRef="#br0" timeOffset="4257.89">2808 590 24575,'0'-1'0,"0"0"0,0 1 0,-1-1 0,1 0 0,-1 0 0,1 1 0,0-1 0,-1 0 0,1 1 0,-1-1 0,0 0 0,1 1 0,-1-1 0,1 1 0,-1-1 0,0 1 0,1-1 0,-1 1 0,0-1 0,0 1 0,0 0 0,1-1 0,-1 1 0,0 0 0,0 0 0,0 0 0,1-1 0,-1 1 0,0 0 0,0 0 0,0 0 0,0 0 0,1 1 0,-1-1 0,0 0 0,-1 1 0,-4-1 0,0 1 0,0 0 0,0 1 0,-11 3 0,4 1 0,1 1 0,0 1 0,0 0 0,1 0 0,0 1 0,1 0 0,0 1 0,0 0 0,1 1 0,1 0 0,-1 0 0,-6 14 0,4-7 0,2 1 0,-1 0 0,2 0 0,1 1 0,0 0 0,2 0 0,-5 32 0,9-44 0,0 0 0,1-1 0,0 1 0,0 0 0,1-1 0,0 1 0,0-1 0,1 1 0,0-1 0,3 8 0,-3-10 0,0-1 0,1 1 0,-1-1 0,1 0 0,0 0 0,1 0 0,-1 0 0,1-1 0,-1 1 0,1-1 0,0 0 0,0 0 0,1 0 0,-1-1 0,10 5 0,3-1 0,1 0 0,0-2 0,0 0 0,0 0 0,0-2 0,1 0 0,23-1 0,135-16 0,-94 6 0,-73 8 0,1 0 0,-1 0 0,1 1 0,0 1 0,-1 0 0,19 4 0,-25-4 0,-1 1 0,1-1 0,-1 1 0,0 0 0,0-1 0,0 1 0,0 1 0,0-1 0,0 0 0,0 1 0,0 0 0,-1-1 0,0 1 0,1 0 0,-1 0 0,0 0 0,0 1 0,-1-1 0,1 0 0,-1 1 0,2 6 0,0-2 0,-2 1 0,1-1 0,-1 0 0,0 1 0,0-1 0,-1 1 0,-1-1 0,1 1 0,-1-1 0,-1 1 0,-2 10 0,-1-7 0,1 0 0,-2 0 0,1 0 0,-2 0 0,1-1 0,-15 17 0,-4 2 0,-2-2 0,-2-1 0,-61 45 0,-4-6-682,-165 84-1,129-84-6143</inkml:trace>
  <inkml:trace contextRef="#ctx0" brushRef="#br0" timeOffset="4570.63">885 3027 24575,'5'-2'0,"0"-1"0,0 0 0,0 0 0,-1-1 0,9-7 0,2-3 0,183-165 0,-18 20-603,55-31-1811,706-440 1222,-601 441-1163,-36 40 1767,-64 38 505,-201 93 16,33-15-105,93-29 1,-163 61 165,0 0 1,0 1 0,0-1 0,0 0-1,0 1 1,1-1 0,-1 1 0,0 0-1,0 0 1,1 0 0,-1 0 0,0 0-1,0 0 1,1 0 0,1 2 0,-4-2 8,1 0 0,-1 0 0,0 1 0,0-1 0,0 0 0,0 1 0,0-1 0,0 0 0,0 1 0,0-1 0,0 1 0,0-1 0,0 0 0,0 1 0,0-1 0,0 0 0,0 1 0,0-1 0,0 0 0,0 1 0,0-1 0,0 0 0,-1 0 0,1 1 0,0-1 0,0 0 0,-1 1 0,-12 16 333,-89 73 1230,78-70-1879,-53 45-1822</inkml:trace>
  <inkml:trace contextRef="#ctx0" brushRef="#br0" timeOffset="4914.81">1367 3220 24575,'0'-6'0,"21"-12"0,24-25 0,43-27 0,44-35 0,49-37 0,53-39-3117,53-31 3117,43-13-2315,14 4 2315,-13 30 0,-47 47 0,-71 38-1010,-61 35 1010,-63 37 0,-45 23-1749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5:50.844"/>
    </inkml:context>
    <inkml:brush xml:id="br0">
      <inkml:brushProperty name="width" value="0.025" units="cm"/>
      <inkml:brushProperty name="height" value="0.025" units="cm"/>
    </inkml:brush>
  </inkml:definitions>
  <inkml:trace contextRef="#ctx0" brushRef="#br0">820 1344 24575,'-33'-1'0,"18"0"0,0 1 0,-30 4 0,26 3 0,18-7 0,1 1 0,0-1 0,0 0 0,-1 0 0,1 1 0,0-1 0,0 0 0,0 0 0,0 1 0,-1-1 0,1 0 0,0 1 0,0-1 0,0 0 0,0 1 0,0-1 0,0 0 0,0 1 0,0-1 0,0 0 0,0 1 0,0-1 0,0 0 0,0 1 0,0-1 0,0 0 0,0 1 0,0-1 0,1 0 0,-1 1 0,0-1 0,2 2 0,0 1 0,0-1 0,1 0 0,-1 0 0,0-1 0,1 1 0,-1 0 0,1-1 0,0 1 0,-1-1 0,5 1 0,173 56 0,-105-37 0,560 120-545,294-31-759,375-98 1304,-1217-16-4,148-25-1,-207 23 16,1-1 1,-1-2-1,-1-1 0,1 0 0,-2-2 0,1-2 0,-2 0 0,0-1 1,23-19-1,-9 1 464,48-50 0,-75 70-376,0-1 1,-1 0-1,-1-1 1,0-1 0,-1 1-1,0-1 1,8-25-1,-10 17-99,-1-1 0,-1-1 0,-1 1 0,-1-1 0,-1 1 0,-1-1 0,-2 0 0,-1 0 0,0 1 0,-2-1 0,-1 1 0,-1 0 0,-13-34 0,6 27 0,-1 0 0,-1 1 0,-1 0 0,-2 2 0,-2 0 0,0 1 0,-2 1 0,0 1 0,-42-36 0,28 33 0,-1 2 0,-2 1 0,-1 2 0,-1 2 0,-1 2 0,-58-21 0,-273-65 0,361 103 0,-314-67-408,-449-38 0,380 58 402,172 18-146,79 15 142,-1 5-1,-285 16 1,33 43 10,279-26 0,-154 48 0,239-58 63,0 2-1,0 1 1,1 1 0,1 2 0,1 2 0,0 0 0,-49 44-1,61-46-23,0 0 0,2 2 0,0 0-1,1 0 1,1 1 0,1 1-1,1 0 1,0 1 0,2 0-1,1 1 1,0 0 0,-5 27-1,8-21-38,1 1 0,1 0 0,2 1 0,0-1 0,3 0 0,0 0 0,2 0 0,1 1 0,9 30 0,-8-48 0,0 1 0,1-1 0,1-1 0,0 1 0,1-1 0,0 0 0,1-1 0,0 0 0,1 0 0,0-1 0,1-1 0,14 12 0,10 4 0,2-2 0,68 34 0,14-5 0,1-5 0,144 36 0,-151-56 0,2-5 0,208 14 0,232-27 0,-509-9 0,-1 1 0,1-3 0,-1-1 0,63-12 0,-100 12-341,1 1 0,-1-1-1,15-7 1,8-11-6485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7:39.958"/>
    </inkml:context>
    <inkml:brush xml:id="br0">
      <inkml:brushProperty name="width" value="0.025" units="cm"/>
      <inkml:brushProperty name="height" value="0.025" units="cm"/>
    </inkml:brush>
  </inkml:definitions>
  <inkml:trace contextRef="#ctx0" brushRef="#br0">4186 1733 24575,'-38'17'0,"38"-17"0,0 0 0,0 0 0,0 0 0,0 0 0,0 0 0,0-1 0,0 1 0,0 0 0,0 0 0,0 0 0,0 0 0,0 0 0,0 0 0,0 0 0,0-1 0,0 1 0,0 0 0,-1 0 0,1 0 0,0 0 0,0 0 0,0 0 0,0 0 0,0 0 0,0-1 0,0 1 0,0 0 0,0 0 0,0 0 0,-1 0 0,1 0 0,0 0 0,0 0 0,0 0 0,0 0 0,0 0 0,0 0 0,0 0 0,0 0 0,0 0 0,0 0 0,0 0 0,53-42 0,-31 26 0,144-101-405,5 7-1,283-134 1,-66 87-583,9 29 0,334-67 988,-399 130 909,-20-17 369,-271 68-1110,0-2-1,0-2 1,-2-2-1,0-1 1,43-33-1,74-70-167,-142 113 0,0 1 0,1 0 0,1 1 0,-1 1 0,30-12 0,84-21 0,-122 39 0,62-18 0,86-21 0,-144 39 0,94-23 0,-88 21 0,0-2 0,0 0 0,28-16 0,-37 14 0,-13 3 0,-23 0 0,28 5 0,-414-55 0,391 49 0,15 3 0,10 1 0,8 1 0,0 0 0,0 1 0,1 0 0,-1 1 0,0 0 0,1 0 0,-1 1 0,0 1 0,13 4 0,-5 0 0,-1 0 0,1 2 0,-1 0 0,19 13 0,-23-12 0,-1 0 0,0 0 0,-1 1 0,0 1 0,-1-1 0,0 2 0,-1 0 0,0 0 0,-1 0 0,-1 1 0,10 26 0,-13-30 0,0 1 0,-1 0 0,-1 0 0,0 0 0,0 0 0,-1 0 0,0 0 0,-1 1 0,-1-1 0,1 0 0,-2 0 0,0 0 0,0 1 0,-1-2 0,0 1 0,-1 0 0,-5 11 0,0-7 34,-1 0 1,0 0-1,-1-2 0,0 1 0,-1-1 0,-1-1 0,0 0 0,0-1 0,-26 16 1,-7 1-889,-88 39 1,22-19-5973</inkml:trace>
  <inkml:trace contextRef="#ctx0" brushRef="#br0" timeOffset="824.27">176 2375 24575,'2'85'0,"18"112"0,30 78 0,-33-183 0,20 91 0,28 163 0,-59-323 0,-5-21 0,-4-15 0,-36-161 0,3-8 0,-2-71-453,-37-768-1816,68 737 2269,14 74-88,-4 182-29,0-1-1,15-50 0,-16 72 106,1 1 0,-1-1-1,1 0 1,0 1 0,1 0 0,0 0-1,0 0 1,6-8 0,-8 12 13,0 1-1,-1-1 1,1 1 0,0 0 0,0-1 0,0 1 0,0 0-1,0 0 1,0 0 0,0 0 0,0 0 0,1 1-1,-1-1 1,0 1 0,0-1 0,1 1 0,-1 0-1,0 0 1,0 0 0,1 0 0,-1 0 0,0 1 0,1-1-1,-1 1 1,0-1 0,3 2 0,0 1-1,0 0 0,0 0 0,0 0 0,-1 0 0,1 1 0,-1-1 0,0 1 0,0 0 0,0 1 0,-1-1 0,6 9 0,3 7 8,-1 0 1,0 0-1,-2 1 1,12 35-1,-7-5-114,9 56 1,-11-23-5,-4 1 0,-3-1 0,-3 1 0,-18 150 0,5-160 61,-3-1-1,-3 0 1,-3-1 0,-4-1 0,-51 108-1,61-149 346,-2-2 0,-2 0 0,0-1 0,-2-1-1,-1-1 1,-28 27 0,44-48-236,0 0-1,-1 0 1,1-1-1,-1 0 0,0 0 1,0-1-1,0 0 1,0 0-1,-1 0 1,-9 2-1,14-4-45,0-1-1,0 0 1,0 0-1,0 0 0,0 0 1,0 0-1,0 0 1,0-1-1,1 1 0,-1-1 1,0 1-1,0-1 0,0 0 1,1 1-1,-1-1 1,-2-1-1,2-1-5,-1 1 1,1 0-1,0 0 0,0-1 0,0 1 0,0-1 1,0 0-1,1 0 0,-1 0 0,1 1 1,0-1-1,-2-5 0,-3-12 93,2-1-1,0 0 1,1 0-1,1-1 1,1 1-1,1-1 1,1 1-1,0-1 1,10-40-1,-10 57-86,0 0 0,0 0 0,1 0 0,0 0 0,-1 1 0,2-1 0,-1 1 0,1-1 0,-1 1 0,1 0 0,0 0 0,1 0 0,-1 0 0,1 1 0,0-1 0,0 1 0,5-4 0,-4 5-17,-1 1 0,1-1 1,0 1-1,0 0 0,-1 0 1,1 0-1,0 1 0,0 0 1,0 0-1,0 0 0,0 0 1,0 1-1,0 0 0,0 0 1,-1 0-1,1 1 1,0-1-1,4 4 0,11 4 3,0 0 0,-1 2 0,0 1 0,-1 0 0,32 28 0,75 88 0,-3 24 0,-82-97 0,3-3 0,90 87 0,-120-127 0,2-1 0,20 12 0,-30-20 0,0 0 0,0 0 0,1-1 0,-1 0 0,1 0 0,-1-1 0,1 1 0,0-1 0,0 0 0,8-1 0,-11 0 17,-1 0-1,1 0 0,-1-1 0,1 1 1,-1-1-1,0 0 0,1 0 0,-1 0 1,0 0-1,1 0 0,-1 0 0,0 0 1,0-1-1,0 1 0,0-1 0,0 0 1,-1 0-1,1 1 0,0-1 0,1-3 1,1-2-302,0 0 1,-1 0-1,0 0 1,0 0-1,2-9 1,11-55-6542</inkml:trace>
  <inkml:trace contextRef="#ctx0" brushRef="#br0" timeOffset="1028.44">1074 2246 24575,'0'6'0,"11"18"0,4 21 0,-1 25 0,14 22 0,1 17 0,-4 7 0,6-5 0,-4-12 0,5-21 0,-2-14 0,-8-34 0,-6-28 0,-7-35 0,-4-46 0,-4-8-8191</inkml:trace>
  <inkml:trace contextRef="#ctx0" brushRef="#br0" timeOffset="1730.91">1107 1284 24575,'-2'1'0,"-1"-1"0,1 0 0,0 1 0,0-1 0,0 1 0,0 0 0,0 0 0,0-1 0,0 2 0,0-1 0,0 0 0,1 0 0,-1 0 0,0 1 0,1-1 0,-1 1 0,1-1 0,-1 1 0,1 0 0,0 0 0,0-1 0,0 1 0,0 0 0,0 0 0,0 0 0,0 0 0,0 5 0,-3 4 0,2 0 0,0 1 0,-2 20 0,4-26 0,0 1 0,0 0 0,0 0 0,1 0 0,0 0 0,0-1 0,1 1 0,0-1 0,0 1 0,1-1 0,-1 1 0,1-1 0,1 0 0,6 9 0,-8-12 0,1 0 0,0 1 0,0-1 0,1 0 0,-1-1 0,0 1 0,1-1 0,0 1 0,0-1 0,0 0 0,0-1 0,0 1 0,0-1 0,0 1 0,0-1 0,0 0 0,1-1 0,-1 1 0,0-1 0,1 0 0,-1 0 0,1 0 0,7-2 0,-6 0 0,0 1 0,1-1 0,-1-1 0,0 1 0,0-1 0,0 0 0,-1-1 0,1 1 0,-1-1 0,0 0 0,0-1 0,0 1 0,0-1 0,-1 0 0,0 0 0,0 0 0,0-1 0,-1 1 0,0-1 0,0 0 0,4-11 0,-4 10 0,-1 0 0,0 1 0,0-1 0,-1 0 0,0 0 0,0 0 0,-1 0 0,0 0 0,0 0 0,0 0 0,-1 0 0,0 0 0,0 0 0,-1 0 0,0 0 0,0 0 0,-1 1 0,0-1 0,0 1 0,-5-7 0,3 6 0,0 1 0,-1 0 0,0 1 0,0-1 0,0 1 0,-1 1 0,0-1 0,0 1 0,0 0 0,-8-3 0,12 5 0,0 1 0,0 0 0,1 0 0,-1 0 0,0 0 0,0 1 0,0-1 0,0 1 0,0-1 0,0 1 0,0 0 0,0 0 0,0 1 0,0-1 0,0 1 0,0-1 0,1 1 0,-1 0 0,0 0 0,0 0 0,0 0 0,1 1 0,-1-1 0,1 1 0,-1 0 0,1-1 0,0 1 0,-1 0 0,1 1 0,-2 1 0,4-3 0,-1 0 0,0 0 0,1 0 0,-1 0 0,1 0 0,0 0 0,-1 0 0,1 0 0,0 0 0,-1 0 0,1 0 0,0 0 0,0 0 0,0 0 0,0 0 0,0 0 0,0 0 0,0 0 0,1 0 0,-1 0 0,0 0 0,0 0 0,1 0 0,-1 0 0,1 0 0,-1 0 0,1 0 0,-1 0 0,1 0 0,0 0 0,-1 0 0,1-1 0,0 1 0,0 0 0,0 0 0,-1-1 0,1 1 0,0-1 0,0 1 0,1 0 0,3 2 0,1 0 0,-1-1 0,0 1 0,1-1 0,0 0 0,5 1 0,-3-2 0,-1 0 0,0 0 0,1 0 0,-1-1 0,0 0 0,1-1 0,-1 0 0,0 0 0,1 0 0,-1-1 0,13-5 0,-10 2 0,0 0 0,0 0 0,-1-1 0,1 0 0,-1-1 0,-1 0 0,12-11 0,-9 5 0,0 1 0,-1-1 0,0-1 0,-1 0 0,0-1 0,-2 1 0,1-1 0,-2-1 0,0 1 0,6-29 0,-10 32 0,0 0 0,-1 0 0,-1 1 0,0-1 0,0 0 0,-1 0 0,-1 0 0,0 0 0,-5-15 0,7 25 0,-1 0 0,1 0 0,-1 0 0,0 1 0,0-1 0,0 0 0,0 0 0,0 1 0,0-1 0,0 0 0,-1 1 0,1-1 0,-1 1 0,1 0 0,-2-2 0,2 3 0,1 0 0,-1 0 0,1 0 0,-1 0 0,1 0 0,0 0 0,-1 0 0,1 0 0,-1 0 0,1 0 0,-1 0 0,1 0 0,-1 0 0,1 0 0,0 0 0,-1 0 0,1 1 0,-1-1 0,1 0 0,0 0 0,-1 0 0,1 1 0,-1-1 0,0 1 0,-10 18 0,7-7 0,0 1 0,1 0 0,0 0 0,1 0 0,0 14 0,0 78 0,2-103 0,5 96-134,4 0 0,5 0-1,30 115 1,105 281-403,-41-197 537,-73-221 0,-22-57 0,-13-19 0,0 0 0,0 0 0,0 0 0,0 0 0,0 0 0,1 0 0,-1 1 0,0-1 0,0 0 0,0 0 0,0 0 0,1 0 0,-1 0 0,0 0 0,0 0 0,0 0 0,0 0 0,1 0 0,-1 0 0,0 0 0,0 0 0,0 0 0,0 0 0,1 0 0,-1 0 0,0 0 0,0 0 0,0 0 0,0 0 0,1 0 0,-1 0 0,0 0 0,0-1 0,0 1 0,0 0 0,0 0 0,1 0 0,-1 0 0,0 0 0,0 0 0,0-1 0,0 1 0,0 0 0,0 0 0,0 0 0,0 0 0,0 0 0,1-1 0,0-4 0,0 0 0,0 1 0,-1-1 0,0 0 0,0-6 0,-6-158-8,2 108 101,6-121 1,-1 172-21,1-1-1,0 1 1,0 0 0,1 0 0,0 0-1,1 1 1,8-18 0,-10 24-61,0 0 0,0 0 0,0 0 0,1 0 0,-1 1 0,0-1 0,1 1 0,0-1 0,0 1 0,-1 0 0,1 0 1,0 0-1,1 1 0,-1-1 0,0 1 0,0 0 0,1-1 0,-1 2 0,1-1 0,-1 0 0,1 1 0,-1-1 0,1 1 0,-1 0 0,6 1 0,-3 0-12,1 0 0,0 0 0,0 1 0,-1 0 0,1 1 0,-1 0 0,1 0 0,-1 0 0,0 0 0,7 6 0,-3 0 0,1 0 0,-2 0 0,1 0 0,14 21 0,-6-3 0,-1 0 0,-2 1 0,21 51 0,-24-49 0,-1 0 0,-2 0 0,0 1 0,-3 1 0,5 37 0,-11-58 0,0 1 0,0 0 0,-1-1 0,0 1 0,-1 0 0,-1-1 0,-5 16 0,5-19 0,0 0 0,-1-1 0,0 0 0,0 0 0,-1 0 0,0 0 0,0-1 0,0 1 0,-1-1 0,0-1 0,-11 9 0,7-7 0,0-1 0,-1 1 0,0-2 0,0 0 0,-1 0 0,0-1 0,1 0 0,-1-1 0,0 0 0,-1-1 0,1-1 0,-16 1 0,21-2 0,-1 0 0,1-1 0,-1 0 0,1 0 0,-1-1 0,1 1 0,0-2 0,0 1 0,0-1 0,0 0 0,0 0 0,1-1 0,0 0 0,-1 0 0,1-1 0,1 1 0,-1-1 0,1-1 0,-1 1 0,2-1 0,-8-9 0,5 2-341,1 1 0,0-1-1,-7-23 1,-8-44-6485</inkml:trace>
  <inkml:trace contextRef="#ctx0" brushRef="#br0" timeOffset="2211.04">2101 932 24575,'0'0'0,"0"0"0,-1 1 0,1-1 0,0 0 0,-1 1 0,1-1 0,0 0 0,0 1 0,-1-1 0,1 1 0,0-1 0,0 0 0,0 1 0,0-1 0,0 1 0,0-1 0,-1 1 0,1-1 0,0 1 0,0-1 0,0 0 0,0 1 0,1-1 0,-1 1 0,0-1 0,0 1 0,0-1 0,0 1 0,0-1 0,0 0 0,1 1 0,-1-1 0,0 1 0,0-1 0,1 1 0,10 24 0,6 1 0,21 25 0,-6-7 0,74 109-285,149 287 0,-190-302 95,-5 4-1,63 223 1,-117-339 190,-6-27 0,-3-21 0,-20-322 0,21 308 190,2 0 1,2 1-1,2-1 0,11-55 0,-13 84-168,0 0-1,0 0 1,1 1 0,0-1-1,0 1 1,0-1-1,1 1 1,0 0 0,0 1-1,6-7 1,-9 11-24,0 0 1,1-1 0,-1 1-1,1 0 1,0 0-1,-1 0 1,1 1 0,0-1-1,-1 0 1,1 1-1,0-1 1,0 1 0,0-1-1,0 1 1,-1 0-1,4 0 1,-2 0-1,0 1 1,0 0-1,-1-1 0,1 1 1,0 0-1,-1 0 0,1 1 0,0-1 1,-1 1-1,0-1 0,1 1 1,-1 0-1,4 3 0,5 7 2,0 0 0,-1 0 0,0 2 0,-1-1 0,-1 1 0,0 0 0,-1 1 0,9 24 0,-2 2 0,-3-1 0,9 52 0,-17-76 0,-1 0 0,0 0 0,-2 0 0,1 0 0,-4 23 0,2-32 0,0 0 0,-1-1 0,0 1 0,0 0 0,-1-1 0,1 1 0,-1-1 0,-1 0 0,1 0 0,-1 0 0,0 0 0,-1-1 0,1 0 0,-1 0 0,-6 5 0,3-3 0,0-2 0,-1 1 0,1-1 0,-1 0 0,0-1 0,-1 0 0,1-1 0,-1 0 0,1 0 0,-14 2 0,18-5 0,0 1 0,0 0 0,0-1 0,0 0 0,0 0 0,0-1 0,0 0 0,0 1 0,0-1 0,0-1 0,0 1 0,1-1 0,-1 0 0,0 0 0,1 0 0,-1-1 0,1 0 0,0 0 0,0 0 0,0 0 0,0 0 0,-4-6 0,2-1-136,0 1-1,1-1 1,1 0-1,-1 0 1,2-1-1,-1 1 1,2-1-1,-1 0 0,-1-17 1,-3-40-6690</inkml:trace>
  <inkml:trace contextRef="#ctx0" brushRef="#br0" timeOffset="2760.28">3160 1541 24575,'3'-1'0,"0"-1"0,1 1 0,-1-1 0,0 1 0,0-1 0,0 0 0,0 0 0,0-1 0,-1 1 0,1 0 0,-1-1 0,1 0 0,-1 1 0,3-6 0,-1 3 0,3-3 0,-2 0 0,1 0 0,-1-1 0,0 0 0,-1 0 0,0 0 0,0 0 0,-1-1 0,-1 1 0,4-20 0,-6 25 0,1 1 0,-1 0 0,0 0 0,0 0 0,0 0 0,0-1 0,0 1 0,-1 0 0,0 0 0,0 0 0,1 0 0,-2 0 0,1 0 0,0 0 0,-1 0 0,1 0 0,-1 1 0,0-1 0,0 0 0,0 1 0,0 0 0,0-1 0,0 1 0,-1 0 0,1 0 0,-1 0 0,0 1 0,0-1 0,1 1 0,-1-1 0,0 1 0,0 0 0,0 0 0,0 0 0,0 0 0,-1 1 0,-2-1 0,-1 1 0,-1 0 0,1 0 0,0 0 0,0 1 0,0 0 0,0 1 0,0-1 0,0 2 0,1-1 0,-1 1 0,0-1 0,1 2 0,0-1 0,0 1 0,0 0 0,0 0 0,0 1 0,-7 7 0,-2 4 0,0 0 0,1 0 0,1 1 0,1 1 0,-11 19 0,16-24 0,0 0 0,1 0 0,1 0 0,0 1 0,-5 25 0,9-33 0,0 0 0,0 0 0,1 0 0,0 0 0,0 0 0,0 0 0,1 0 0,0 0 0,0 0 0,1 0 0,0 0 0,0-1 0,0 1 0,0-1 0,1 1 0,5 7 0,-3-7 0,1 1 0,0-1 0,0 0 0,1 0 0,-1-1 0,1 0 0,0 0 0,1 0 0,-1-1 0,1 0 0,0-1 0,15 5 0,-18-6 0,1-1 0,-1 1 0,1-1 0,0-1 0,-1 1 0,1-1 0,0 0 0,-1 0 0,1-1 0,0 1 0,-1-1 0,1-1 0,-1 1 0,1-1 0,-1 0 0,0 0 0,1 0 0,-1-1 0,0 0 0,6-4 0,-4 0 0,0 0 0,0 0 0,0-1 0,-1 0 0,0 0 0,-1 0 0,1-1 0,-2 0 0,1 0 0,-1 0 0,-1-1 0,0 1 0,3-13 0,0-13 0,-1 0 0,0-53 0,-5 56 0,2 0 0,10-50 0,-10 73 0,1 1 0,0-1 0,0 0 0,1 1 0,7-12 0,-11 18 0,1 1 0,0-1 0,1 0 0,-1 1 0,0-1 0,0 1 0,1-1 0,-1 1 0,1 0 0,-1-1 0,1 1 0,0 0 0,-1 0 0,1 0 0,0 1 0,0-1 0,-1 0 0,1 0 0,0 1 0,0 0 0,0-1 0,0 1 0,0 0 0,0 0 0,0 0 0,0 0 0,0 0 0,0 0 0,0 0 0,2 2 0,2 1 0,0 0 0,0 1 0,0 0 0,0 0 0,-1 1 0,0 0 0,0 0 0,0 0 0,-1 0 0,0 1 0,6 9 0,47 84 0,-40-78 0,-17-21 0,1 1 0,-1-1 0,1 0 0,0 1 0,-1-1 0,1 0 0,0 1 0,-1-1 0,1 0 0,0 0 0,0 1 0,-1-1 0,1 0 0,0 0 0,0 0 0,-1 0 0,1 0 0,0 0 0,1 0 0,0-2 0,0 1 0,0 0 0,0-1 0,0 1 0,0-1 0,0 0 0,0 0 0,-1 0 0,1 0 0,-1 0 0,1 0 0,-1 0 0,0 0 0,0 0 0,0-1 0,1-2 0,12-31 0,12-47 0,-16 47 0,2 0 0,21-46 0,-29 73 0,1 1 0,0-1 0,0 1 0,1 1 0,-1-1 0,2 1 0,-1 0 0,1 0 0,0 1 0,1-1 0,-1 2 0,1-1 0,17-8 0,-20 12 0,0 0 0,1 1 0,-1-1 0,0 1 0,1 0 0,-1 1 0,1-1 0,-1 1 0,0 0 0,1 1 0,-1-1 0,1 1 0,-1 0 0,0 0 0,1 1 0,-1-1 0,0 1 0,0 0 0,0 1 0,5 2 0,2 3 0,0 1 0,0 0 0,-1 0 0,0 1 0,-1 0 0,13 16 0,-3 0 0,-2 1 0,-1 0 0,17 35 0,33 93 0,-10 12 342,-50-139-769,-2 1 0,0-1 1,0 59-1,-8-28-6399</inkml:trace>
  <inkml:trace contextRef="#ctx0" brushRef="#br0" timeOffset="3089.8">1300 4010 24575,'0'-11'0,"16"-14"0,22-20 0,32-18 0,42-25 0,40-21 0,32-12-1345,34-9 1345,41-8-2922,18 2 2922,-9 25 0,-35 19-1112,-67 38 1112,-84 43 0,-73 35 0,-64 24 790,-23 4-4392</inkml:trace>
  <inkml:trace contextRef="#ctx0" brushRef="#br0" timeOffset="3290.78">1363 4106 24575,'-38'28'0,"-29"19"0,19 2 0,50-23 0,73-50 0,85-52 0,75-48 0,68-39-4210,48-25 4210,25-9 0,-14 14 0,-53 38 0,-83 43 0,-91 39-108,-80 31 108,-49 20-3873</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7:51.883"/>
    </inkml:context>
    <inkml:brush xml:id="br0">
      <inkml:brushProperty name="width" value="0.025" units="cm"/>
      <inkml:brushProperty name="height" value="0.025" units="cm"/>
    </inkml:brush>
  </inkml:definitions>
  <inkml:trace contextRef="#ctx0" brushRef="#br0">1640 326 24575,'0'-7'0,"0"1"0,1-1 0,0 1 0,0-1 0,0 1 0,1 0 0,0-1 0,0 1 0,0 0 0,1 0 0,0 0 0,0 0 0,6-7 0,-1 5 0,-1-1 0,2 1 0,-1 1 0,1-1 0,0 2 0,20-12 0,-3 4 0,1 1 0,1 1 0,0 1 0,0 2 0,1 0 0,31-4 0,-34 9 0,1 1 0,-1 1 0,1 1 0,-1 1 0,1 2 0,-1 0 0,30 8 0,-42-7 0,-1 1 0,0 1 0,-1 0 0,1 1 0,-1 0 0,0 1 0,0 0 0,-1 1 0,-1 0 0,2 1 0,9 12 0,-8-6 0,-1 0 0,0 1 0,-1 0 0,0 1 0,-2 0 0,0 0 0,8 23 0,-5-3 0,-1 1 0,-2 0 0,-1 1 0,4 71 0,-6-52 0,-6-57 0,0-1 0,0 1 0,0 0 0,0 0 0,1 0 0,-1 0 0,0-1 0,1 1 0,-1 0 0,1 0 0,-1-1 0,0 1 0,1 0 0,0 0 0,-1-1 0,1 1 0,-1-1 0,1 1 0,0 0 0,-1-1 0,1 0 0,0 1 0,0-1 0,-1 1 0,1-1 0,0 0 0,0 1 0,0-1 0,0 0 0,-1 0 0,1 0 0,0 0 0,0 0 0,0 1 0,0-2 0,0 1 0,-1 0 0,1 0 0,0 0 0,0 0 0,1-1 0,3-1 0,1-1 0,-1 0 0,0 0 0,0 0 0,6-5 0,128-121 0,-25 22 0,-66 66 0,1 2 0,3 2 0,1 3 0,82-40 0,-110 62 0,1 2 0,1 1 0,0 0 0,0 2 0,1 2 0,0 0 0,0 1 0,0 2 0,0 1 0,0 2 0,0 0 0,36 7 0,-43-3 0,0 0 0,-1 2 0,1 0 0,-1 2 0,0 0 0,-1 1 0,0 1 0,-1 0 0,0 2 0,-1 0 0,20 19 0,-20-14 0,1 1 0,-2 1 0,-1 0 0,0 1 0,-2 1 0,0 0 0,-1 1 0,-2 0 0,11 32 0,-8 0 0,-11-43 0,0 0 0,1 0 0,1-1 0,4 13 0,-8-24 0,1 0 0,-1 1 0,0-1 0,0 1 0,0-1 0,1 0 0,-1 1 0,0-1 0,1 1 0,-1-1 0,0 0 0,1 1 0,-1-1 0,0 0 0,1 0 0,-1 1 0,1-1 0,-1 0 0,0 0 0,1 0 0,-1 0 0,1 1 0,-1-1 0,1 0 0,-1 0 0,1 0 0,-1 0 0,1 0 0,-1 0 0,0 0 0,1 0 0,-1 0 0,1 0 0,-1 0 0,1-1 0,-1 1 0,1 0 0,-1 0 0,0 0 0,1-1 0,-1 1 0,1 0 0,-1 0 0,1-1 0,7-5 0,-1-1 0,1 1 0,-1-2 0,0 1 0,10-15 0,5-6 0,-2 6 0,0 0 0,1 1 0,1 1 0,1 1 0,50-30 0,-68 46 0,1 0 0,-1 0 0,1 1 0,0 0 0,0 0 0,0 1 0,0 0 0,0 0 0,0 0 0,1 1 0,-1-1 0,0 1 0,0 1 0,0-1 0,12 4 0,-10-1 0,0 0 0,1 0 0,-1 1 0,-1 0 0,1 1 0,-1 0 0,1 0 0,-1 1 0,-1-1 0,12 13 0,-2 1 0,-1 0 0,-1 1 0,0 1 0,-2 0 0,15 34 0,-7-8 0,21 83 0,-24-64 0,-4 0 0,11 127 0,-23-162 0,0 1 0,-2-1 0,-2 1 0,-1-1 0,-1 0 0,-2 0 0,0-1 0,-18 41 0,16-51 0,-1 0 0,0-1 0,-2 1 0,0-2 0,-2 0 0,0-1 0,0-1 0,-2 0 0,0-1 0,0 0 0,-2-2 0,0 0 0,-34 18 0,20-17 0,18-8 0,0 0 0,-21 14 0,32-18 0,0 0 0,-1 0 0,1 1 0,0 0 0,1 0 0,-1 0 0,0 0 0,1 0 0,0 0 0,-1 1 0,1-1 0,1 1 0,-1-1 0,-2 8 0,3-2 0,0 0 0,1 0 0,0 0 0,1 0 0,-1 0 0,2 0 0,-1 0 0,1 0 0,5 13 0,-1-2 0,32 148 0,-31-128 0,-2 0 0,0 54 0,-4-76 0,-2 0 0,0 1 0,-1-1 0,-1 0 0,-1 1 0,-1-2 0,0 1 0,-1 0 0,-1-1 0,0 0 0,-2-1 0,0 0 0,0 0 0,-2-1 0,0 0 0,-24 24 0,12-18 0,-1-1 0,-1-1 0,-1-2 0,-1 0 0,0-2 0,-1-1 0,-1-1 0,-48 15 0,28-14 0,-1-2 0,-1-3 0,1-1 0,-81 1 0,85-10 0,1-1 0,0-3 0,0-2 0,0-1 0,1-3 0,0-1 0,1-3 0,0-1 0,-47-26 0,48 19 0,21 11 0,-38-16 0,55 26 0,0 1 0,0 0 0,0 1 0,0-1 0,0 1 0,0 0 0,0 0 0,-1 0 0,1 0 0,0 1 0,0-1 0,0 1 0,0 0 0,0 1 0,0-1 0,-6 3 0,-4 4 0,0 0 0,-25 21 0,15-12 0,-217 144 0,162-115 0,-104 45 0,164-82 0,-1-2 0,0 0 0,0-2 0,-24 5 0,34-9 0,0 0 0,0-1 0,-1 0 0,1 0 0,0-1 0,0 0 0,0-1 0,-1 0 0,2-1 0,-18-6 0,14 2 0,0 0 0,0-1 0,1 0 0,1 0 0,-1-2 0,1 1 0,1-1 0,-16-20 0,2-1 0,2-1 0,-20-37 0,8 2 0,-26-73 0,56 130 0,-25-54 0,26 59 0,0 0 0,0 0 0,0 0 0,-1 0 0,1 1 0,-1 0 0,0 0 0,-1 0 0,-4-4 0,7 7 0,0 0 0,0 0 0,0 0 0,0 0 0,0 1 0,0-1 0,0 1 0,0-1 0,0 1 0,0-1 0,-1 1 0,1 0 0,0 0 0,0 0 0,0 1 0,0-1 0,0 0 0,-4 2 0,-1 1 0,0 0 0,0 0 0,0 1 0,-6 4 0,7-4 0,-139 93 0,-80 46 0,198-128 0,-2-2 0,0-1 0,0-1 0,-1-1 0,0-2 0,-44 7 0,59-13 0,1-1 0,0-1 0,0 0 0,-1-1 0,1 0 0,-17-5 0,22 4 0,0-1 0,0 0 0,0 0 0,0-1 0,1 0 0,-1-1 0,1 0 0,0 0 0,1-1 0,-10-8 0,5 1 0,0 0 0,1-1 0,0 0 0,1-1 0,1 0 0,1-1 0,-9-20 0,2-3 0,-20-82 0,-12-138 0,13 55 0,27 174 0,-1 0 0,-1 0 0,-2 1 0,-1 0 0,-1 1 0,-1 0 0,-2 2 0,-1-1 0,-1 2 0,-1 0 0,-1 1 0,-1 1 0,-1 1 0,-47-36 0,-38-30 0,92 73 0,0-1 0,1 0 0,1 0 0,-17-28 0,19 23 0,0-1 0,1-1 0,2 0 0,0-1 0,1 1 0,2-1 0,-5-35 0,5-7 0,3-100 0,4 124 0,1 0 0,10-45 0,-8 64 0,1 0 0,1 1 0,1 0 0,1 1 0,16-29 0,1 7 0,2 1 0,2 2 0,2 1 0,1 1 0,2 2 0,1 1 0,2 2 0,1 1 0,2 3 0,1 1 0,1 2 0,1 2 0,54-22 0,-76 39 0,0 0 0,0 1 0,1 1 0,0 1 0,-1 1 0,2 1 0,-1 1 0,0 1 0,0 1 0,32 5 0,-25 0 0,1 2 0,-2 1 0,1 1 0,-1 1 0,-1 2 0,0 0 0,33 23 0,84 72 213,-99-71-201,84 52 1,-113-79-174,0-2 1,1 1 0,0-2-1,0-1 1,1 0 0,-1-1 0,1-1-1,0-1 1,23 1 0,27-6-6666</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1T12:27:54.184"/>
    </inkml:context>
    <inkml:brush xml:id="br0">
      <inkml:brushProperty name="width" value="0.025" units="cm"/>
      <inkml:brushProperty name="height" value="0.025" units="cm"/>
    </inkml:brush>
  </inkml:definitions>
  <inkml:trace contextRef="#ctx0" brushRef="#br0">1672 674 24575,'-9'-1'0,"0"1"0,-1-2 0,1 1 0,0-1 0,0-1 0,0 0 0,0 0 0,0-1 0,1 0 0,-15-9 0,19 11 0,1 0 0,-1 0 0,1-1 0,0 0 0,-1 0 0,1 1 0,1-2 0,-1 1 0,0 0 0,1-1 0,0 1 0,-1-1 0,2 1 0,-1-1 0,0 0 0,1 0 0,-1 0 0,1 0 0,0 0 0,1 0 0,-1-1 0,1 1 0,-1 0 0,1 0 0,1-8 0,1 8 0,-1-1 0,1 1 0,0 0 0,0 0 0,0 0 0,0 0 0,1 0 0,0 0 0,-1 0 0,1 1 0,1-1 0,-1 1 0,0 0 0,1 0 0,0 0 0,0 1 0,0-1 0,0 1 0,0 0 0,7-3 0,9-2 0,0 0 0,1 1 0,24-3 0,11-1 0,0 2 0,0 3 0,1 2 0,0 3 0,0 2 0,64 12 0,-85-8 0,1 2 0,-2 1 0,1 2 0,-1 2 0,-1 1 0,0 2 0,-1 1 0,-1 1 0,-1 2 0,42 35 0,-56-42 0,-2 2 0,0 0 0,0 1 0,12 19 0,-22-28 0,-1-1 0,0 1 0,0 0 0,-1 0 0,0 0 0,-1 0 0,1 1 0,-1-1 0,0 1 0,-1-1 0,0 1 0,0 0 0,-1-1 0,-1 13 0,-2-5 0,-1 0 0,0-1 0,-1 1 0,-1-1 0,-8 15 0,0 1 0,13-29 0,0 1 0,1-1 0,-1 1 0,0-1 0,1 1 0,-1 0 0,1-1 0,0 1 0,-1 0 0,1-1 0,0 1 0,0 0 0,0-1 0,0 1 0,0 0 0,1-1 0,-1 1 0,1 2 0,0-3 0,0 0 0,0 0 0,1 0 0,-1 0 0,0 0 0,0-1 0,1 1 0,-1-1 0,0 1 0,1-1 0,-1 1 0,0-1 0,1 0 0,-1 0 0,0 1 0,1-1 0,-1 0 0,1 0 0,-1 0 0,1-1 0,-1 1 0,2-1 0,23-3 0,0-2 0,42-14 0,-24 6 0,5-1 0,0 3 0,1 2 0,89-7 0,-117 16 0,0 1 0,1 2 0,-1 0 0,0 1 0,0 1 0,0 1 0,-1 1 0,0 1 0,0 0 0,0 2 0,20 12 0,-19-8 0,-1 2 0,-1 0 0,0 2 0,-1 0 0,0 1 0,25 33 0,-25-25 0,-1 0 0,-1 2 0,-1 0 0,22 55 0,-31-64 0,-1 0 0,0 1 0,5 40 0,-10-49 0,0 0 0,-1 0 0,-1 0 0,1 1 0,-2-1 0,0 0 0,0 0 0,-8 20 0,2-14 0,0 0 0,-2 0 0,0-1 0,0 0 0,-2-1 0,0 0 0,-1-1 0,0 0 0,-1-1 0,-1-1 0,0 0 0,0-1 0,-1-1 0,-1 0 0,-31 13 0,11-9 0,18-7 0,1 0 0,0 1 0,-17 11 0,29-15 0,0 0 0,1 0 0,0 1 0,0-1 0,0 1 0,0 0 0,1 1 0,-1-1 0,2 1 0,-1 0 0,0 0 0,-3 10 0,-37 125 0,24-69 0,8-30 0,1 1 0,-3 0 0,-1-1 0,-2 0 0,-24 40 0,19-47 0,-3-2 0,0 0 0,-2-1 0,-2-2 0,0-1 0,-2-1 0,-2-2 0,0-1 0,-1-2 0,-67 34 0,43-29 0,-2-3 0,-1-3 0,-1-2 0,-1-3 0,-1-3 0,-77 8 0,92-17 0,0-2 0,-89-7 0,113 2 0,-1-2 0,1-1 0,1-1 0,0-1 0,-1-1 0,1-1 0,-24-13 0,14 1 0,28 17 0,-1-1 0,0 1 0,0 0 0,0 1 0,-14-5 0,20 7 0,-1 1 0,1 0 0,-1 0 0,1 1 0,-1-1 0,1 0 0,-1 0 0,1 1 0,-1-1 0,1 1 0,0-1 0,-1 1 0,1 0 0,-1-1 0,1 1 0,0 0 0,0 0 0,0 0 0,-1 0 0,1 0 0,-1 1 0,-5 5 0,-4-1 0,0 1 0,0-2 0,0 1 0,-1-2 0,0 1 0,0-2 0,0 1 0,-14 1 0,-11 0 0,-58 0 0,48-5 0,-1-3 0,0-1 0,1-3 0,0-2 0,1-2 0,0-1 0,0-3 0,-57-27 0,70 26 0,2-1 0,0-1 0,1-1 0,1-2 0,1-1 0,0-1 0,2-1 0,1-2 0,1 0 0,1-2 0,-33-53 0,37 46 0,2 0 0,-19-55 0,-14-80 0,30 96 0,-47-113 0,13 65 0,-60-199 0,77 182-128,7-2 0,5-1 0,7-1 0,1-154-1,16 274 129,2-1 0,1 0 0,9-39 0,-10 55 0,2 0 0,-1 1 0,1-1 0,0 1 0,1 0 0,0 0 0,0 0 0,0 0 0,1 1 0,0 0 0,0 0 0,1 0 0,-1 0 0,9-5 0,-2 4 0,-1 0-1,1 1 0,1 0 0,-1 1 0,1 1 0,0 0 0,0 0 0,1 1 1,25-1-1,11 1 214,65 4 0,-98 0-97,61 4-23,-34-1-74,70-4 0,-99-1-21,0-1-1,0-1 0,-1 0 1,1-1-1,-1 0 0,0-1 1,0-1-1,22-12 0,56-40 3,-35 21 0,108-52 0,-147 80 0,1 2 0,1 0 0,-1 1 0,1 1 0,0 1 0,1 1 0,-1 1 0,0 0 0,1 2 0,26 2 0,-18 3 0,0 1 0,0 2 0,-1 0 0,1 2 0,-2 2 0,0 0 0,0 2 0,-1 0 0,-1 2 0,0 1 0,41 38 0,-24-15 0,-1 2 0,-3 2 0,-2 1 0,-2 2 0,34 60 0,-48-70 153,-12-23-369,-1 0-1,1-1 0,1 1 0,1-2 0,0 1 0,15 14 0,-5-12-6609</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6:19:51.933"/>
    </inkml:context>
    <inkml:brush xml:id="br0">
      <inkml:brushProperty name="width" value="0.025" units="cm"/>
      <inkml:brushProperty name="height" value="0.025" units="cm"/>
    </inkml:brush>
  </inkml:definitions>
  <inkml:trace contextRef="#ctx0" brushRef="#br0">1069 64 24575,'-5'0'0,"-3"5"0,-15 2 0,-15 22 0,-12 16 0,-14 12 0,-24 13 0,-23 4 0,-21 2 0,-14-13 0,5 0 0,29-28 0,31-25 0,31-14-8191</inkml:trace>
  <inkml:trace contextRef="#ctx0" brushRef="#br0" timeOffset="346.12">235 0 24575,'-1'0'0,"0"1"0,0-1 0,0 0 0,0 0 0,0 1 0,0-1 0,0 1 0,0-1 0,1 1 0,-1-1 0,0 1 0,0 0 0,0-1 0,1 1 0,-1 0 0,0 0 0,1-1 0,-1 1 0,1 0 0,-1 0 0,1 0 0,-1 0 0,1 0 0,0 0 0,-1-1 0,1 1 0,0 2 0,-3 3 0,-68 199 0,17-45 0,34-110 0,5-16 0,2 2 0,1-1 0,2 1 0,-7 43 0,17-74 0,-1 0 0,1 0 0,0 0 0,0 0 0,1 0 0,0 0 0,-1 0 0,2 0 0,-1 0 0,0-1 0,1 1 0,0 0 0,0-1 0,1 1 0,-1-1 0,7 8 0,-4-7 0,0 0 0,0-1 0,0 1 0,1-1 0,0 0 0,0-1 0,0 1 0,0-1 0,0-1 0,1 1 0,12 2 0,11 2 83,1-1 0,-1-2 0,45 1 0,95-9-1062,-132 3 261,41-3-6108</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6:22:17.797"/>
    </inkml:context>
    <inkml:brush xml:id="br0">
      <inkml:brushProperty name="width" value="0.025" units="cm"/>
      <inkml:brushProperty name="height" value="0.025" units="cm"/>
      <inkml:brushProperty name="color" value="#E71224"/>
    </inkml:brush>
  </inkml:definitions>
  <inkml:trace contextRef="#ctx0" brushRef="#br0">1 0 24575,'0'11'0,"0"4"-8191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6:22:22.093"/>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6:27:43.512"/>
    </inkml:context>
    <inkml:brush xml:id="br0">
      <inkml:brushProperty name="width" value="0.05" units="cm"/>
      <inkml:brushProperty name="height" value="0.05" units="cm"/>
      <inkml:brushProperty name="color" value="#008C3A"/>
    </inkml:brush>
  </inkml:definitions>
  <inkml:trace contextRef="#ctx0" brushRef="#br0">0 0 24575,'0'30'0,"8"25"0,1 3-8191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6:28:44.841"/>
    </inkml:context>
    <inkml:brush xml:id="br0">
      <inkml:brushProperty name="width" value="0.05" units="cm"/>
      <inkml:brushProperty name="height" value="0.05" units="cm"/>
      <inkml:brushProperty name="color" value="#008C3A"/>
    </inkml:brush>
  </inkml:definitions>
  <inkml:trace contextRef="#ctx0" brushRef="#br0">337 3770 24575,'-6'0'0,"4"0"0,14-3 0,12 0 0,7-7 0,4-1 0,3 2 0,-6-4 0,2 0 0,-6 3-8191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5:20.031"/>
    </inkml:context>
    <inkml:brush xml:id="br0">
      <inkml:brushProperty name="width" value="0.035" units="cm"/>
      <inkml:brushProperty name="height" value="0.035" units="cm"/>
    </inkml:brush>
  </inkml:definitions>
  <inkml:trace contextRef="#ctx0" brushRef="#br0">1196 542 24575,'-4'-9'0,"1"-1"0,0 1 0,1-1 0,0 0 0,1 0 0,0 0 0,1 0 0,0 0 0,0 0 0,1 0 0,1 0 0,2-10 0,-2 11 0,1 0 0,1 0 0,-1 0 0,2 0 0,-1 1 0,1 0 0,0 0 0,1 0 0,0 0 0,0 1 0,1 0 0,-1 1 0,2-1 0,14-10 0,1 3 0,1 1 0,1 1 0,50-18 0,138-35 0,-172 56 0,1 2 0,1 1 0,55 1 0,-84 5 0,1 0 0,-1 2 0,1 0 0,-1 0 0,0 1 0,0 1 0,0 1 0,19 8 0,-27-10 0,1 0 0,-2 1 0,1 0 0,0 0 0,-1 0 0,1 0 0,-1 1 0,-1 0 0,1 0 0,-1 1 0,0-1 0,0 1 0,0 0 0,-1 0 0,0 0 0,0 0 0,0 1 0,-1-1 0,2 9 0,-2-1 0,-1 0 0,0 0 0,-2 24 0,1-26 0,-1-11 0,1-1 0,0 1 0,0 0 0,0 0 0,0 0 0,0-1 0,0 1 0,0 0 0,0 0 0,0 0 0,0 0 0,1-1 0,-1 1 0,0 0 0,0 0 0,1 0 0,-1-1 0,1 1 0,-1 0 0,0-1 0,1 1 0,0 0 0,0-1 0,1 0 0,-1 0 0,0 0 0,1 0 0,-1 0 0,0 0 0,0-1 0,1 1 0,-1 0 0,0-1 0,0 1 0,0-1 0,1 0 0,-1 1 0,2-2 0,144-86 0,-65 48-151,2 3 0,116-34 0,188-21-614,-309 79 765,0 4 0,146 0 0,-193 10 0,1 2 0,-2 0 0,1 2 0,0 2 0,-1 1 0,0 1 0,-1 2 0,0 0 0,50 29 0,-66-31 0,0 1 0,0 0 0,-1 1 0,-1 1 0,0 0 0,-1 0 0,0 1 0,-1 1 0,14 22 0,-19-27 0,0 1 0,-1 0 0,0 0 0,0 0 0,-1 0 0,-1 1 0,1-1 0,-2 1 0,1-1 0,-2 1 0,1 0 0,-2 0 0,1-1 0,-1 1 0,-4 16 0,-1-10 111,-1 0 0,0-1-1,-1 1 1,-1-1 0,0-1 0,-1 0-1,-1 0 1,-1-1 0,0 0 0,-20 18-1,45-42-110,0 0 0,1 1 0,0 1 0,1 0 0,0 1 0,0 1 0,0 0 0,1 1 0,26-4 0,-13 3 0,-1 2 0,1 2 0,0 0 0,52 5 0,-41 2 0,0 2 0,0 1 0,-1 2 0,0 2 0,-1 1 0,0 3 0,40 21 0,-51-22 0,-1 1 0,0 1 0,-2 1 0,0 1 0,-1 1 0,-1 1 0,0 1 0,-2 1 0,-1 1 0,17 27 0,-28-35 0,0 0 0,-1 1 0,0 0 0,7 33 0,-4-13 0,-9-35 0,0 1 0,0-1 0,0 1 0,1-1 0,-1 1 0,0-1 0,1 0 0,0 0 0,-1 0 0,1 0 0,0 0 0,0 0 0,0-1 0,1 1 0,-1 0 0,0-1 0,5 3 0,3-1 0,0 1 0,0-1 0,15 3 0,7 1 0,-16-1 0,0 1 0,0 0 0,-1 1 0,0 1 0,0 0 0,-1 1 0,0 1 0,-1 0 0,0 1 0,0 0 0,-2 1 0,15 19 0,-8-6 0,0 2 0,-2 0 0,-1 1 0,-1 0 0,16 53 0,-24-64 0,-2 0 0,0 0 0,-1 0 0,-1 1 0,0-1 0,-2 1 0,0-1 0,-1 1 0,-1-1 0,-1 0 0,0 1 0,-1-1 0,-1 0 0,-1-1 0,-1 0 0,0 0 0,-1 0 0,-1-1 0,-1 0 0,0 0 0,-1-1 0,0-1 0,-2 0 0,-20 20 0,25-28 0,-1 1 0,0-1 0,0-1 0,0 1 0,0-2 0,-19 8 0,7-6 0,-1-1 0,-23 3 0,43-7 0,1-1 0,-1 1 0,0-1 0,1 1 0,-1 0 0,0-1 0,1 1 0,-1 0 0,1 0 0,0 0 0,-1 0 0,1 1 0,0-1 0,0 0 0,-1 1 0,1-1 0,0 0 0,0 1 0,1-1 0,-1 1 0,-1 2 0,-1 4 0,0 1 0,0 0 0,-1 10 0,-4 12 0,-1-10 2,-1-2 1,0 1-1,-1-2 0,-2 1 0,0-2 0,0 0 1,-2 0-1,0-1 0,-1-1 0,0 0 0,-1-2 1,-35 23-1,3-9-91,0-1 0,-2-2 1,-103 32-1,-351 67-1620,-5-51 1788,66-35-79,411-35 0,0-2 0,0 0 0,0-2 0,-61-12 0,59 0 0,34 14 0,1 0 0,-1 0 0,0 0 0,1-1 0,-1 1 0,1 0 0,-1-1 0,1 1 0,-1 0 0,0-1 0,1 1 0,-1-1 0,1 1 0,0 0 0,-1-1 0,1 0 0,-1 1 0,1-1 0,0 1 0,-1-1 0,1 1 0,0-1 0,0 0 0,-1 1 0,1-1 0,0 1 0,0-1 0,0 0 0,0 1 0,0-1 0,0 0 0,0 1 0,0-1 0,0 0 0,0 1 0,0-1 0,0 0 0,1 1 0,-1-1 0,1 0 0,1-1 0,0 1 0,0 0 0,1-1 0,-1 1 0,1 0 0,-1 1 0,1-1 0,-1 0 0,1 1 0,0-1 0,-1 1 0,1 0 0,-1 0 0,1 0 0,0 0 0,-1 1 0,5 0 0,-2 0 70,-1 0 0,1 0 0,0 0-1,-1 1 1,0-1 0,1 1 0,-1 1 0,0-1 0,0 0 0,0 1 0,0 0-1,-1 0 1,7 7 0,-8-9-45,-1 0-1,0 1 0,0-1 1,0 1-1,0-1 1,0 1-1,-1 0 1,1-1-1,0 1 1,-1 0-1,1-1 1,-1 1-1,0 0 0,0 0 1,1-1-1,-1 1 1,0 0-1,0 0 1,-1 0-1,1-1 1,0 1-1,-1 0 1,1 0-1,-1-1 0,1 1 1,-1 0-1,0-1 1,0 1-1,0-1 1,0 1-1,0-1 1,0 1-1,0-1 1,0 0-1,0 1 0,-1-1 1,1 0-1,-1 0 1,-2 2-1,-1 1-24,-1-1 0,0 1 0,0-1 0,0 0 0,-1 0 0,1-1 0,-1 0 0,0 0 0,-11 1 0,-7 0 0,-33 0 0,52-3 0,-23 0 0,0-2 0,0-1 0,1-2 0,-1-1 0,1 0 0,-40-16 0,-158-80 0,165 73 0,-2-4 0,39 20 0,0 0 0,-1 2 0,0 1 0,-41-11 0,65 20 0,-1 1 0,1-1 0,-1 1 0,0-1 0,1 1 0,-1 0 0,0 0 0,0 0 0,1 0 0,-1 0 0,0 0 0,1 0 0,-1 1 0,0-1 0,1 0 0,-1 1 0,1 0 0,-1-1 0,1 1 0,-1 0 0,1 0 0,-1 0 0,1 0 0,-1 0 0,1 0 0,-2 2 0,1 1 0,0 0 0,1 0 0,-1 0 0,1 0 0,0 0 0,0 0 0,1 0 0,-1 7 0,-6 26 0,6-35 0,0 0 0,1 0 0,-1 0 0,0 0 0,0 0 0,0-1 0,-1 1 0,1 0 0,0-1 0,-1 1 0,1-1 0,-1 1 0,1-1 0,-4 3 0,-4-1 0,1 1 0,-1-1 0,0-1 0,0 1 0,0-2 0,0 1 0,0-1 0,-14 0 0,20-1 0,-48 1 0,0-2 0,0-2 0,1-2 0,-92-21 0,-190-77 0,39-11 0,236 88 0,1-2 0,1-3 0,-51-38 0,98 63 0,0-1 0,0 0 0,0 0 0,1-1 0,0 0 0,0-1 0,1 1 0,-6-12 0,11 19 0,0-1 0,0 1 0,0 0 0,0 0 0,-1 0 0,1 0 0,0-1 0,-1 2 0,1-1 0,0 0 0,-1 0 0,0 0 0,1 1 0,-1-1 0,1 1 0,-1-1 0,0 1 0,1-1 0,-1 1 0,0 0 0,-2 0 0,-11-2 0,4-2 0,0 0 0,1 0 0,0-1 0,0-1 0,0 1 0,1-2 0,0 1 0,0-1 0,1 0 0,0-1 0,0 0 0,0-1 0,1 1 0,1-1 0,-7-11 0,-4-7 0,2-1 0,1-1 0,2 0 0,-11-35 0,-9-55 0,5-2 0,-18-193 0,39 261 0,2-1 0,2 0 0,3 0 0,13-86 0,-11 121 0,1 1 0,1-1 0,1 1 0,0 0 0,2 1 0,0 0 0,0 0 0,2 0 0,0 1 0,1 1 0,1 0 0,0 0 0,1 1 0,0 0 0,1 2 0,26-20 0,-14 18 0,1 0 0,0 2 0,0 1 0,1 1 0,34-7 0,-13 2 0,32-9-341,2 4 0,0 3-1,95-6 1,-120 19-6485</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2T07:06:11.35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250 543,'3'0,"-1"0,1 1,-1-1,0 1,1 0,-1 0,0 0,0 0,0 0,1 0,2 3,16 7,-18-10,1 0,-1-1,0 1,1-1,-1 1,1-1,-1 0,0 0,1-1,-1 1,1-1,-1 1,0-1,0 0,1-1,-1 1,0 0,5-4,-4 2,1-1,-1 0,0 0,-1 0,1 0,-1-1,0 1,0-1,0 0,4-9,-2 1,0-1,-2 0,1 0,-1 0,-1 0,-1 0,0-1,-1-20,-4 8,-1 1,-2 0,0 0,-1 1,-2 0,-1 0,-18-31,22 44,-1 0,0 1,0 0,-1 0,-18-16,23 23,0 1,0 0,0 0,0 0,-1 0,0 1,1 0,-1 0,0 0,0 1,0-1,0 1,0 0,0 1,-1-1,1 1,0 0,-8 1,6 0,1 1,-1 0,1 1,0 0,0 0,0 0,0 0,0 1,1 0,0 0,-1 1,1-1,1 1,-1 0,1 0,0 1,-4 6,-2 6,-1 1,2 0,1 1,-8 25,7-15,2 0,0 1,2 0,2 1,1-1,1 0,1 1,2-1,10 52,-8-62,2 0,0-1,1 1,1-1,1 0,0-1,2 0,0-1,1 0,1-1,1 0,0-1,1 0,33 25,-35-32,1-1,0 0,1-1,0 0,0-1,0-1,0 0,1-1,0-1,0-1,0 0,0-1,0 0,1-2,-1 0,0 0,31-9,-33 7,0-1,-1-1,0 0,0-1,0 0,-1-1,1-1,-2 0,1 0,-1-1,-1-1,1 1,-2-2,1 1,-1-2,-1 1,0-1,-1 0,0-1,8-20,-12 23,-1 0,0 0,-1 0,1 0,-2-1,0 1,0 0,-1 0,0-1,0 1,-1 0,-1 0,0 0,0 1,-1-1,0 1,-1-1,0 1,0 1,-1-1,0 1,-9-10,8 9,-1 1,0 1,0-1,0 1,-1 0,0 1,-1 0,1 1,-1 0,0 0,0 1,-1 0,1 1,-1 0,0 1,0 0,0 1,0 0,0 0,-18 2,23 0,-1 1,0 0,1-1,-1 2,1-1,0 1,0 0,0 0,0 1,0 0,-7 7,6-4,0 0,0 0,1 1,0 0,1 1,0-1,-5 11,-1 7,2 1,1-1,1 1,-6 49,8-36,1 0,2 0,1 0,3 0,1 0,9 41,-9-64,2 1,0-1,1 0,1 0,0 0,1-1,1 0,1-1,0 0,0 0,2-1,0-1,1 0,0-1,25 19,-31-26,0-1,0 1,1-1,0-1,0 1,0-1,0-1,0 0,1 0,-1 0,1-1,-1 0,1-1,-1 0,1 0,-1-1,1 0,-1-1,1 0,-1 0,0 0,0-1,0-1,0 1,0-1,-1 0,0-1,1 0,-2 0,1-1,6-6,-2-1,0-1,0 1,-2-2,0 0,0 0,-1 0,-1-1,-1 0,0 0,-1-1,5-32,-6 22,-1 0,-1 0,-2 0,0 0,-2 0,-1 1,-7-28,6 36,-2-1,0 1,-1 0,-1 0,0 1,-1 0,-1 1,-1 0,0 0,-21-21,23 28,0 1,0 0,-1 1,1 0,-2 1,1 0,-1 0,0 1,0 0,0 1,-1 0,1 1,-1 1,0-1,0 2,0 0,-23 1,27 0,0 2,0-1,1 1,-1 0,1 1,-1-1,1 2,0-1,0 1,0 0,1 0,-1 1,1 0,0 0,1 0,-1 1,1 0,-8 11,5-5,0 1,2-1,-1 1,1 0,1 1,1 0,0-1,0 1,-1 20,4-27,0 0,1 0,0 0,0 1,1-1,0 0,0 0,1-1,3 12,-2-13,-1 0,1 0,0-1,0 1,0-1,0 0,1 0,0 0,0 0,0-1,0 1,9 4,35 16</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2T07:06:12.95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898 452,'0'-12,"-1"-1,-1 1,0 0,-1-1,-1 1,1 0,-2 0,0 1,-9-16,1 4,-1 1,-2 1,-24-27,27 35,0 0,-2 1,1 0,-2 1,1 1,-1 1,-1 0,0 1,0 0,-1 2,-31-8,34 10,0 1,0 1,-1 1,1 0,0 1,-1 1,1 0,0 1,0 0,0 2,0-1,0 2,1 0,-25 13,19-6,2 2,-1 0,2 0,0 2,1 0,0 1,2 1,0 0,-22 38,16-19,1 1,2 0,2 2,-16 62,26-84,1 1,1 0,0 0,2 0,1 34,1-46,0 0,0 0,0-1,1 1,0 0,0-1,1 0,0 1,0-1,0 0,1 0,0-1,0 1,0-1,1 0,0 0,0 0,0-1,9 6,-1-3,0 0,1-1,0 0,0-1,0-1,0 0,24 3,2-3,64 0,-66-5,-1-1,0-1,0-2,0-2,48-15,-70 17,0-1,-1 0,0-1,0 0,0-1,-1-1,0 0,-1-1,0 0,0-1,-1 0,-1-1,0-1,0 1,9-19,-10 14,-2-1,0 0,-1 0,-1 0,0-1,-2 1,0-1,-1 0,-1 0,0 0,-2 0,0-1,-1 2,-1-1,-1 0,-7-20,5 19,-1 0,-1 1,-1 0,-1 0,0 1,-2 0,0 1,-1 1,0-1,-1 2,-1 0,-1 1,0 0,-23-14,23 18,-1 1,0 0,0 2,-1 0,1 1,-2 0,1 2,0 0,-1 1,-23 0,29 3,0 0,0 1,0 1,0 0,0 1,0 0,1 1,-1 1,1-1,0 2,1 0,-1 1,1 0,0 0,-14 14,9-5,0 0,2 2,0 0,1 0,0 1,2 1,-15 33,11-17,2 0,2 1,-12 67,19-80,2 0,0 1,2-1,0 0,2 1,0-1,2 0,1 0,13 39,-10-43,1 1,1-2,0 1,2-1,0-1,1 0,1 0,1-2,0 0,32 26,-16-19,1-1,0-2,2-2,0 0,39 13,-45-21,0-1,1-1,0-2,0-1,0-1,0-1,35-2,-50-2,0-1,0 0,0 0,-1-2,1 0,-1 0,0-1,0-1,0 0,-1-1,0 0,0-1,-1 0,0-1,12-12,-12 9,0 0,-1-1,0-1,-1 0,-1 0,0-1,-1 0,-1 0,0-1,-1 1,-1-1,4-28,-4 11,-2 0,-1 0,-2 0,-9-59,-1 35,-34-104,29 112,-47-90,54 121,-1 1,-1 0,-1 1,0 0,-1 1,-1 1,0 0,-18-13,25 22,1 1,-1 0,0 0,0 0,0 1,0 0,0 1,-1 0,1 0,-1 0,0 1,1 0,-1 0,0 1,0 0,1 1,-1-1,0 1,0 1,1 0,-1 0,1 0,0 1,0 0,0 0,0 1,-9 6,-1 2,0 2,1-1,1 2,0 0,1 1,1 1,0 0,-20 36,11-10,2 0,2 1,2 1,2 0,2 2,2-1,2 1,-2 48,9-77,0 0,2 0,0 0,1 0,1-1,1 1,0-1,1 1,1-1,1-1,0 1,1-1,1-1,1 1,0-2,0 1,2-1,21 20,-11-13,2-1,50 32,-58-42,1 0,1-2,-1 0,1-1,33 7,-46-12,1-1,-1 0,1-1,-1 1,1-1,-1 0,1-1,0 1,-1-1,0 0,1 0,-1-1,1 1,-1-1,0-1,0 1,0-1,0 0,-1 0,1 0,-1 0,0-1,0 0,0 0,0 0,-1 0,1-1,-1 1,0-1,0 0,3-10,1-2,-1-1,-1 0,0 0,-2-1,0 1,-1-1,-1 0,-1-23,-2 6,-2 1,-1-1,-2 1,-1 0,-2 1,-1 0,-2 0,-1 2,-19-32,26 52,0 1,-1 0,0 1,-1 0,0 0,-1 0,0 2,0-1,-22-13,23 18,0-1,0 2,0-1,-1 1,1 0,-1 1,0 0,1 1,-1 0,0 0,0 1,0 1,-18 2,6 2,0 0,1 2,0 0,0 2,0 0,1 1,1 2,0-1,0 2,-26 24,25-19,1 1,0 1,2 0,0 2,1 0,2 0,0 2,-15 36,3 12</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2T07:06:15.414"/>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205 439,'-1'-6,"1"-1,-1 1,1-1,-2 1,-2-10,4 15,-1-1,1 1,-1 0,1-1,-1 1,1 0,-1-1,0 1,0 0,0 0,0 0,0 0,0-1,0 1,0 1,0-1,0 0,0 0,-1 0,1 1,0-1,-1 0,1 1,0-1,-1 1,-2-1,2 2,0-1,1 0,-1 1,0 0,1-1,-1 1,0 0,1 0,-1 0,1 0,-1 0,1 0,-1 0,1 1,0-1,0 0,0 1,0-1,0 1,0-1,-1 4,-17 40,8-6,2 1,1 0,3 0,-1 47,5-74,1 0,1 0,0 0,0 0,2 0,-1 0,2 0,5 16,-6-23,0 0,1 0,-1 0,1 0,1-1,-1 0,0 0,1 0,0 0,1-1,-1 0,1 0,-1 0,1-1,0 1,0-1,11 3,-1-1,0-1,0 0,0-1,1-1,-1-1,1 0,-1-1,1-1,-1-1,0 0,1-1,15-5,-11 2,-2-2,1 0,-1-1,0-1,-1-1,0 0,-1-1,30-28,-30 24,-1-2,-1 0,0 0,-2-2,0 1,-1-2,18-41,-23 45,-1-1,-1-1,0 1,-2-1,0 1,-1-1,-1 0,0 0,-2 0,-2-21,1 29,-1 0,1 1,-2-1,1 1,-1 0,-1 0,0 0,0 1,-1-1,0 1,-1 1,0-1,0 1,-14-11,16 15,0-1,-1 1,0 1,0-1,0 1,-1 0,1 1,0-1,-1 1,0 1,0-1,1 1,-1 0,0 1,0-1,0 2,0-1,0 1,0-1,0 2,1-1,-1 1,-10 4,3 2,0 0,1 0,0 2,0-1,1 1,1 1,0 0,0 1,-12 17,4-3,1 0,1 2,1-1,1 2,2 0,1 1,-14 53,23-75,2 1,-1 0,2 0,-1 1,1-1,0 0,1 0,0 0,4 17,-3-19,1-1,-1 0,1 0,1 0,-1-1,1 1,0-1,0 0,0 0,1 0,-1 0,1-1,1 0,5 4,-1-1,1-1,0 0,0-1,1 0,0 0,0-2,0 1,0-2,0 1,1-2,-1 0,1 0,-1-1,1 0,0-1,-1-1,0 0,1-1,-1 0,12-5,-10 2,-1 0,1-1,-1 0,-1-1,1 0,-1-1,-1-1,0 0,0 0,-1-1,0-1,-1 1,0-1,-1-1,0 0,9-24,-10 19,-1-1,-1 1,-1-1,-1-1,0 1,-1 0,-2-1,0 1,0-1,-2 1,-1-1,0 1,-1 0,-1 0,-1 1,-1 0,-1 0,0 0,-1 1,-1 0,-22-29,20 30,-1 1,-1 0,0 1,-1 1,-1 0,0 1,0 1,-1 1,-27-13,28 16,0 1,-1 1,1 1,-1 0,0 1,0 0,0 2,0 0,-1 1,1 1,-30 4,34-2,0 0,0 1,1 0,-1 1,1 0,0 1,0 1,1 0,0 0,-15 13,14-8,0 0,1 0,0 1,1 0,1 1,0 0,1 0,-8 18,5-6,1 0,1 1,2 0,0 0,-4 47,10-62,0-1,1 0,0 0,1 0,0 0,1 0,0 0,1 0,0 0,1 0,0-1,0 0,1 0,1 0,0-1,0 1,10 10,-4-8,1-1,1 0,0-1,0-1,1 0,0-1,1 0,0-1,17 5,7 0,1-2,66 8,-84-15,1-1,0-1,-1-1,1-1,-1-1,1-1,-1-1,23-8,-32 8,-1-2,0 1,0-1,-1-1,0 0,0-1,-1-1,0 1,0-2,-1 1,0-2,0 1,-2-1,13-20,-13 17,-1 0,-1 0,0-1,-1 0,-1-1,0 1,-1-1,-1 1,-1-1,0 0,0 0,-2 1,0-1,-1 0,-1 0,0 1,-7-20,5 16,-2 1,0 1,-2-1,1 1,-2 0,0 1,-2 0,1 1,-2 0,0 1,0 0,-2 1,-30-21,39 30,0 0,0 0,-1 1,1 0,-1 0,0 1,0-1,0 2,0-1,0 1,0 0,0 0,-1 1,1 0,0 0,0 1,0 0,-1 0,1 1,0 0,0 0,1 1,-1-1,0 1,1 1,0 0,0-1,0 2,-8 6,3-1,1 1,1-1,0 2,0 0,1 0,0 0,-10 26,6-9,1 1,-10 47,4 9</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2-12T07:06:17.11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367 449,'-1'7,"0"-1,0 1,0 0,-1 0,0-1,-6 12,-1 9,2-6,1 0,1 0,-2 28,6-43,1 1,0-1,0 0,0 0,1 0,0 0,0 1,1-2,0 1,0 0,0 0,1 0,-1-1,2 1,-1-1,5 6,0-3,0 0,1-1,0 0,0 0,1-1,0-1,0 1,0-1,0-1,1 0,0-1,-1 0,2 0,-1-1,0-1,0 0,0 0,1-1,12-2,-11 1,0 0,0-1,0-1,0 0,-1 0,1-2,-1 1,0-2,0 1,-1-2,0 0,0 0,0-1,-1 0,-1 0,13-15,-8 5,-2 0,0-1,-2-1,0 0,14-41,-12 23,-2-1,7-56,-13 60,-1 1,-3-70,-2 88,0 0,-1 0,0 0,-1 0,-1 0,-1 1,0 0,-13-23,16 33,0 1,0-1,0 1,0 0,-1 0,0 0,0 0,0 1,0 0,0-1,-1 1,0 1,1-1,-1 1,0 0,0 0,0 0,0 1,-1 0,1 0,0 0,-1 1,1-1,-9 2,5 0,0 1,0 0,1 0,-1 1,1 0,0 1,0-1,0 2,0-1,1 1,0 0,0 1,0 0,-7 8,1 1,1 1,0 1,1 0,1 0,1 1,1 1,0-1,1 1,2 1,-1-1,-3 39,7-47,2 1,0-1,0 1,1-1,0 0,1 1,0-1,1 0,1 0,-1 0,2-1,-1 1,2-1,-1 0,1-1,1 1,-1-1,2 0,-1-1,12 11,-7-9,0 0,1-1,0-1,0 0,1 0,0-2,0 0,0 0,1-1,0-1,0 0,0-1,1-1,19 1,-29-3,-1 0,1 0,-1-1,0 0,1 0,-1 0,0 0,0-1,0 0,0 0,0 0,0-1,0 1,-1-1,1 0,-1-1,0 1,0-1,0 0,0 0,-1 0,0 0,0 0,0-1,0 0,-1 0,1 1,-1-1,0-1,-1 1,1 0,-1 0,0-1,-1 1,1 0,-1-1,0 1,0 0,-2-8,0 3,-1-1,0 0,-1 1,0 0,0 0,-1 0,-1 0,0 1,0 0,-1 0,0 1,0 0,-1 0,0 0,-1 1,-9-6,-4-3,-1 1,-1 2,-1 0,1 2,-40-13,17 11,-1 2,0 2,-1 2,0 2,0 3,0 1,0 3,0 2,-62 12,3 6</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6:20.633"/>
    </inkml:context>
    <inkml:brush xml:id="br0">
      <inkml:brushProperty name="width" value="0.035" units="cm"/>
      <inkml:brushProperty name="height" value="0.035" units="cm"/>
    </inkml:brush>
  </inkml:definitions>
  <inkml:trace contextRef="#ctx0" brushRef="#br0">644 1751 24575,'-1'1'0,"1"-1"0,-1 1 0,1-1 0,-1 1 0,0-1 0,1 1 0,-1-1 0,1 1 0,-1-1 0,0 1 0,0-1 0,1 0 0,-1 1 0,0-1 0,0 0 0,1 0 0,-1 0 0,0 1 0,0-1 0,-1 0 0,0-6 0,9-9 0,8-6 0,0 1 0,21-20 0,-7 7 0,98-110 23,254-319-1246,-257 279 170,-9-4 1,131-289 0,-236 452 1052,-1 1 0,11-44 0,-19 64 1,0 0-1,-1 1 1,1-1-1,-1 0 1,0 0 0,0 0-1,0 0 1,0 0-1,0 0 1,-1 1-1,1-1 1,-1 0-1,0 0 1,-2-5-1,2 7 0,1 0-1,-1 1 0,0-1 0,0 0 0,0 0 1,0 1-1,0-1 0,1 0 0,-1 1 0,0-1 0,-1 1 1,1-1-1,0 1 0,0 0 0,0 0 0,0-1 1,0 1-1,0 0 0,0 0 0,-1 0 0,1 0 0,0 0 1,0 0-1,-2 1 0,-5 1 25,1 0 0,-1 1 0,1 0 0,0 0 0,0 1 0,0 0 0,1 0 0,-9 7 0,-28 26 1104,-58 66 1,64-63-181,-65 54 0,83-82-948,19-12 0,0 0 0,0 0 0,0 0 0,0 1 0,0-1 0,0 0 0,-1 0 0,1 0 0,0 0 0,0 0 0,0 0 0,0 0 0,0 0 0,0 0 0,0 0 0,-1 0 0,1 0 0,0 0 0,0 0 0,0 0 0,0 0 0,0 0 0,0 0 0,-1 0 0,1 0 0,0 0 0,0-1 0,0 1 0,0 0 0,0 0 0,0 0 0,0 0 0,0 0 0,-1 0 0,1 0 0,0 0 0,0 0 0,0 0 0,0-1 0,0 1 0,0 0 0,0 0 0,0 0 0,0 0 0,0 0 0,0 0 0,0 0 0,0-1 0,0 1 0,0 0 0,0 0 0,0 0 0,0 0 0,0 0 0,0 0 0,0-1 0,0 1 0,0 0 0,0 0 0,0 0 0,1-3 0,0 1 0,1 0 0,-1 0 0,1-1 0,-1 1 0,1 0 0,0 0 0,0 1 0,0-1 0,0 0 0,3-1 0,23-16 0,1 2 0,0 0 0,1 3 0,1 0 0,1 2 0,35-9 0,-57 18 0,1 1 0,0 0 0,-1 1 0,1 1 0,0-1 0,-1 2 0,1-1 0,18 4 0,-22-2 0,-1 0 0,1 0 0,0 1 0,-1 0 0,1 0 0,-1 1 0,0-1 0,0 1 0,-1 1 0,1-1 0,-1 1 0,0 0 0,0 0 0,6 8 0,-5-4 0,0-1 0,-1 1 0,0 0 0,-1 1 0,0-1 0,0 1 0,-1 0 0,0 0 0,-1 0 0,2 13 0,-3-8 0,0 0 0,-1 0 0,-1 0 0,-1 0 0,0 0 0,-5 21 0,-2-8 0,-1 1 0,-2-2 0,0 1 0,-2-2 0,-1 0 0,-29 39 0,3-10-1365,6-11-5461</inkml:trace>
  <inkml:trace contextRef="#ctx0" brushRef="#br0" timeOffset="866.18">35 3740 24575,'-1'-11'0,"1"11"0,0 0 0,0 0 0,1 0 0,-1 0 0,0 0 0,0 0 0,0 0 0,0 0 0,0 0 0,0 0 0,0 0 0,0 0 0,0 0 0,0 0 0,1 0 0,-1 0 0,0 0 0,0 0 0,0 0 0,0 0 0,0 0 0,0 0 0,0 0 0,0 0 0,0 0 0,0 0 0,0-1 0,0 1 0,0 0 0,0 0 0,0 0 0,0 0 0,1 0 0,-1 0 0,0 0 0,0 0 0,0 0 0,0 0 0,0-1 0,0 1 0,0 0 0,0 0 0,0 0 0,11 8 0,-7-6 0,0-1 0,0 1 0,0-1 0,0 0 0,0-1 0,1 1 0,-1-1 0,0 0 0,1 0 0,-1 0 0,0 0 0,0-1 0,0 0 0,1 0 0,-1 0 0,0 0 0,0-1 0,0 1 0,4-3 0,12-6 0,-1 0 0,25-18 0,-24 15 0,-1-2 0,-1 0 0,0-1 0,30-35 0,-39 39 0,0-1 0,0 1 0,-2-1 0,1-1 0,-2 1 0,0-1 0,0-1 0,5-25 0,-10 35 0,0 1 0,0-1 0,-1 0 0,1 0 0,-1 1 0,0-1 0,-1 0 0,1 1 0,-1-1 0,0 0 0,0 1 0,0-1 0,-1 1 0,-2-6 0,2 7 0,1 1 0,-1 0 0,0 0 0,0 0 0,0-1 0,0 2 0,0-1 0,0 0 0,-1 0 0,1 1 0,-1-1 0,1 1 0,-1 0 0,1 0 0,-1 0 0,0 0 0,0 0 0,1 0 0,-1 1 0,0-1 0,0 1 0,0 0 0,0 0 0,-4 0 0,0 1 0,-1 1 0,0-1 0,1 1 0,-1 0 0,1 1 0,0 0 0,-1 0 0,1 0 0,1 1 0,-1 0 0,0 1 0,1-1 0,0 1 0,-7 7 0,-3 5 0,-1 1 0,2 1 0,-19 29 0,13-14 0,1 2 0,2-1 0,1 2 0,2 0 0,2 1 0,2 1 0,1 0 0,2 0 0,-4 45 0,11-75 0,1 0 0,0 1 0,1-1 0,-1 0 0,2 0 0,-1 0 0,1 0 0,1 0 0,0-1 0,6 14 0,-6-15 0,1-1 0,0 0 0,0 0 0,1 0 0,0-1 0,0 0 0,0 1 0,1-2 0,0 1 0,0-1 0,0 0 0,0 0 0,10 4 0,-3-2 0,1-2 0,0 1 0,0-2 0,0 0 0,1 0 0,-1-2 0,1 1 0,-1-2 0,22-1 0,3-3 0,0-2 0,49-13 0,-42 6 30,-1-1 0,0-2 0,59-31 0,-86 38-165,0-2 0,0 0 0,-1-1 0,0 0 0,-1-1 0,-1-1 0,0-1 0,-1 0 0,0-1 0,13-22 0,7-26-6691</inkml:trace>
  <inkml:trace contextRef="#ctx0" brushRef="#br0" timeOffset="1102.79">869 3355 24575,'-16'0'0,"-6"-11"0,1 13 0,15 22 0,20 19 0,17 1 0,16 4 0,10-6 0,6 1 0,3-6 0,13 6 0,-2-4 0,-14-14 0,-18-12-8191</inkml:trace>
  <inkml:trace contextRef="#ctx0" brushRef="#br0" timeOffset="1292.52">1382 3355 24575,'-6'-17'0,"-1"-10"0,-11 0 0,-18 20 0,-4 33 0,-16 39 0,-10 26 0,-10 13 0,-3 11 0,12-4 0,7-20 0,13-9 0,31-19 0,29-41 0,13-25-8191</inkml:trace>
  <inkml:trace contextRef="#ctx0" brushRef="#br0" timeOffset="1558.07">1542 2586 24575,'-6'0'0,"4"16"0,3 22 0,0 21 0,12 28 0,3 20 0,-2 20 0,15 16 0,1-1 0,7-8 0,-3-16 0,4-16 0,-5-38 0,-8-40 0,-8-23-8191</inkml:trace>
  <inkml:trace contextRef="#ctx0" brushRef="#br0" timeOffset="1714.47">1542 3291 24575,'-17'0'0,"6"-11"0,27-3 0,21-22 0,16-4 0,9 4 0,-6-2 0,5 5 0,-9 9-8191</inkml:trace>
  <inkml:trace contextRef="#ctx0" brushRef="#br0" timeOffset="2383.6">1958 3324 24575,'0'3'0,"0"0"0,0 0 0,0 0 0,0 0 0,0 0 0,1 0 0,0 0 0,-1 0 0,1 0 0,0 0 0,0 0 0,1 0 0,-1 0 0,1-1 0,-1 1 0,1-1 0,0 1 0,0-1 0,0 0 0,0 1 0,0-1 0,1 0 0,-1 0 0,0-1 0,1 1 0,0 0 0,-1-1 0,1 0 0,0 1 0,0-1 0,0 0 0,6 1 0,-3-1 0,0 0 0,0 0 0,1-1 0,-1 1 0,0-2 0,1 1 0,-1 0 0,0-1 0,1-1 0,-1 1 0,0-1 0,0 0 0,0 0 0,0 0 0,0-1 0,-1 0 0,1 0 0,-1-1 0,0 0 0,0 1 0,0-2 0,0 1 0,-1 0 0,0-1 0,8-10 0,-6 6 0,0 0 0,-1 0 0,1-1 0,-2 1 0,1-1 0,-2 0 0,1 0 0,-1 0 0,-1-1 0,0 1 0,0-1 0,-1 0 0,0 1 0,-2-21 0,0 23 0,0 1 0,-1-1 0,0 1 0,0 0 0,-1 0 0,0 0 0,0 0 0,0 0 0,-1 0 0,0 1 0,0 0 0,-1 0 0,0 0 0,0 0 0,0 1 0,-1-1 0,-9-6 0,9 9 0,1 0 0,-1 0 0,0 0 0,1 1 0,-1 0 0,0 0 0,0 0 0,-1 1 0,1 0 0,0 0 0,0 0 0,-1 1 0,1 0 0,0 1 0,0-1 0,-1 1 0,1 0 0,0 1 0,0-1 0,0 1 0,-11 5 0,7-2 0,1 1 0,-1 0 0,1 1 0,0 0 0,1 0 0,0 0 0,0 1 0,0 1 0,1-1 0,1 1 0,-1 1 0,-5 10 0,3-3 0,0 1 0,2 0 0,0 0 0,0 1 0,2 0 0,-4 19 0,8-29 0,0 0 0,1 0 0,0 0 0,0 0 0,1 0 0,0 0 0,1 0 0,-1 0 0,2 0 0,-1-1 0,1 1 0,1-1 0,0 0 0,0 0 0,0 0 0,1 0 0,0-1 0,1 0 0,-1 0 0,1 0 0,1 0 0,-1-1 0,1 0 0,9 5 0,-7-4 0,1-1 0,0 0 0,0-1 0,1 0 0,0-1 0,0 0 0,0 0 0,0-1 0,0-1 0,0 0 0,1 0 0,-1-1 0,1-1 0,0 0 0,-1 0 0,1-1 0,-1-1 0,15-3 0,-14 1 0,0-1 0,0 0 0,0 0 0,-1-2 0,0 1 0,0-1 0,-1-1 0,0 0 0,0 0 0,0-1 0,-2 0 0,1-1 0,11-16 0,-7 6 0,-1 0 0,-1-1 0,-1 0 0,0-1 0,-2 0 0,9-35 0,-11 30 0,2-7 0,1 1 0,1 1 0,22-48 0,-30 76 0,0 0 0,1 0 0,-1 0 0,1 0 0,-1 1 0,1-1 0,0 1 0,0 0 0,1-1 0,-1 2 0,0-1 0,1 0 0,0 1 0,0-1 0,0 1 0,6-2 0,-6 3 0,0 0 0,0 1 0,0 0 0,0-1 0,0 1 0,0 1 0,0-1 0,0 1 0,1-1 0,-1 1 0,-1 0 0,1 1 0,0-1 0,0 1 0,0 0 0,-1-1 0,1 2 0,3 1 0,5 5 0,0 0 0,-1 1 0,0 0 0,-1 1 0,0 0 0,0 1 0,-1 0 0,-1 0 0,0 1 0,11 25 0,-10-19 0,-1 1 0,-1 0 0,-1 0 0,-1 1 0,-1-1 0,4 43 0,-9-38 0,-1-25 0,-1-6 0,-6-42 0,5 7 0,3 1 0,1 0 0,2-1 0,1 1 0,11-44 0,-11 69 0,1 1 0,1 0 0,0 1 0,0-1 0,2 1 0,-1 0 0,2 1 0,0-1 0,10-11 0,-14 19 0,0 0 0,1 0 0,0 1 0,0-1 0,0 1 0,1 0 0,-1 1 0,1-1 0,0 1 0,0 0 0,0 0 0,1 1 0,-1 0 0,0 0 0,1 1 0,0-1 0,-1 1 0,1 1 0,0-1 0,-1 1 0,10 1 0,-9 0 0,-1 1 0,1-1 0,-1 1 0,0 1 0,1-1 0,-1 1 0,0 0 0,0 0 0,-1 1 0,1-1 0,-1 1 0,0 1 0,0-1 0,0 1 0,0 0 0,-1 0 0,0 0 0,7 11 0,1 7 0,0-1 0,-2 2 0,12 39 0,-2-10 0,-18-47 14,1 0-1,-1 0 0,1 0 1,1 0-1,5 7 0,-7-11-103,0 0 0,-1 0-1,1-1 1,0 1 0,0-1-1,1 1 1,-1-1 0,0 0-1,0 0 1,1 0 0,-1 0-1,1 0 1,-1 0 0,1-1-1,2 1 1,35-1-6736</inkml:trace>
  <inkml:trace contextRef="#ctx0" brushRef="#br0" timeOffset="2723.48">3691 2456 24575,'0'-1'0,"0"0"0,0-1 0,0 1 0,0-1 0,0 1 0,0-1 0,-1 1 0,1 0 0,0-1 0,-1 1 0,1 0 0,-1-1 0,0 1 0,1 0 0,-1-1 0,0 1 0,0 0 0,0 0 0,0 0 0,0 0 0,0 0 0,0 0 0,-1-1 0,0 1 0,0 0 0,-1 1 0,1-1 0,0 0 0,0 1 0,0 0 0,0-1 0,-1 1 0,1 0 0,0 0 0,0 1 0,-1-1 0,-2 1 0,-6 2 0,1 0 0,0 0 0,0 1 0,0 1 0,-10 5 0,1 2 0,0 0 0,1 1 0,0 0 0,1 2 0,1 0 0,1 1 0,0 0 0,-21 31 0,33-44 0,1 1 0,0 0 0,0 1 0,0-1 0,0 0 0,1 1 0,-1-1 0,1 0 0,0 1 0,1 0 0,-1-1 0,1 1 0,0-1 0,0 1 0,0 0 0,1-1 0,0 5 0,1-5 0,-1 0 0,1 0 0,0 0 0,0 0 0,1-1 0,-1 1 0,1-1 0,0 1 0,0-1 0,0 0 0,0 0 0,0 0 0,0-1 0,1 1 0,0-1 0,-1 0 0,1 0 0,5 2 0,7 3 0,1-2 0,-1 1 0,1-2 0,0 0 0,29 2 0,90-3 0,1 1 0,-129-3 0,-1 0 0,0 1 0,0-1 0,0 1 0,0 1 0,-1-1 0,1 1 0,-1 0 0,1 1 0,-1 0 0,0 0 0,0 0 0,-1 0 0,7 8 0,-9-9 0,0 0 0,-1 0 0,0 0 0,0 0 0,0 1 0,0-1 0,-1 1 0,1 0 0,-1-1 0,0 1 0,0 0 0,0 0 0,0-1 0,-1 1 0,0 0 0,0 0 0,0 0 0,0 0 0,0 0 0,-1 0 0,0 0 0,1-1 0,-2 1 0,1 0 0,0 0 0,-1-1 0,-2 6 0,-2 1 0,-1 0 0,0 0 0,0-1 0,-1 1 0,0-2 0,-1 1 0,0-1 0,0 0 0,-15 8 0,6-5 0,0 0 0,-1-1 0,0-2 0,-29 10 0,41-15 15,0-1 0,-1 0-1,1-1 1,-1 0 0,1 0 0,-1 0-1,-14-2 1,18 1-89,1-1 0,0 0 0,-1 0-1,1 0 1,0 0 0,0 0 0,0-1 0,0 1 0,0-1-1,0 0 1,0 0 0,0 0 0,1 0 0,-1-1 0,1 1 0,0-1-1,-1 1 1,1-1 0,-1-3 0,-17-33-6752</inkml:trace>
  <inkml:trace contextRef="#ctx0" brushRef="#br0" timeOffset="2929.93">4075 2522 24575,'0'5'0,"0"13"0,0 15 0,0 11 0,0 11 0,0 0 0,11 13 0,4 6 0,-1-15 0,-3-18-8191</inkml:trace>
  <inkml:trace contextRef="#ctx0" brushRef="#br0" timeOffset="3069.98">3915 1944 24575,'-11'0'0,"2"0"0,13 0 0,7 5 0,17 3 0,4 15 0,-4 5-8191</inkml:trace>
  <inkml:trace contextRef="#ctx0" brushRef="#br0" timeOffset="3735.12">4556 2489 24575,'-5'-10'0,"-1"0"0,1 0 0,-4-14 0,5 15 0,0-1 0,0 1 0,-11-17 0,10 19 0,0 0 0,-1 1 0,0-1 0,0 1 0,0 1 0,-1-1 0,0 1 0,0 0 0,0 1 0,0 0 0,-14-6 0,16 8 0,-1 1 0,1-1 0,-1 1 0,0 0 0,0 0 0,0 1 0,1-1 0,-1 2 0,0-1 0,0 0 0,0 1 0,1 0 0,-1 1 0,0-1 0,1 1 0,-1 0 0,-9 5 0,5 0 0,0 0 0,1 0 0,-1 1 0,2 0 0,-1 0 0,1 1 0,0 1 0,1-1 0,0 1 0,1 0 0,0 1 0,0 0 0,1-1 0,0 2 0,1-1 0,1 1 0,-4 15 0,4-13 0,1 0 0,0 0 0,0 0 0,2 0 0,-1 0 0,2 0 0,0 0 0,1 0 0,0 0 0,1 0 0,1 0 0,0-1 0,0 1 0,11 18 0,-10-24 0,1 1 0,0-1 0,0-1 0,0 1 0,1-1 0,1 0 0,-1-1 0,1 1 0,0-1 0,1-1 0,-1 0 0,1 0 0,0-1 0,0 0 0,0 0 0,1-1 0,0 0 0,-1-1 0,1 0 0,0-1 0,0 0 0,16 0 0,-22-1 0,-1-1 0,1 0 0,0 0 0,0 0 0,-1 0 0,1-1 0,0 1 0,-1-1 0,1 0 0,-1 0 0,0 0 0,0 0 0,0-1 0,0 1 0,0-1 0,0 0 0,-1 0 0,1 0 0,-1 0 0,0 0 0,0-1 0,0 1 0,0-1 0,2-7 0,1-4 0,-1 0 0,-1-1 0,0 0 0,1-29 0,-3-172 0,-2 48 0,1 157 0,1-1 0,0 0 0,1 1 0,1-1 0,0 1 0,0-1 0,1 1 0,7-14 0,-9 22 0,1 0 0,-1 0 0,1 0 0,0 0 0,0 1 0,0-1 0,0 1 0,0 0 0,1 0 0,-1 0 0,1 0 0,0 1 0,0 0 0,0-1 0,0 1 0,0 1 0,1-1 0,-1 0 0,1 1 0,-1 0 0,1 0 0,-1 1 0,1-1 0,9 1 0,-6 1 0,0 0 0,0 0 0,0 1 0,0 0 0,0 0 0,-1 1 0,1 0 0,-1 0 0,1 1 0,-1 0 0,11 8 0,-7-3 0,0 0 0,-1 0 0,0 1 0,-1 0 0,16 22 0,-11-11 0,-14-21 0,0-1 0,0 1 0,0 0 0,0 0 0,0 0 0,0 0 0,0 0 0,0 0 0,0-1 0,0 1 0,0 0 0,0 0 0,0 0 0,1 0 0,-1 0 0,0 0 0,0 0 0,0-1 0,0 1 0,0 0 0,0 0 0,0 0 0,0 0 0,0 0 0,0 0 0,0 0 0,1 0 0,-1 0 0,0 0 0,0 0 0,0-1 0,0 1 0,0 0 0,0 0 0,0 0 0,1 0 0,-1 0 0,0 0 0,0 0 0,0 0 0,0 0 0,0 0 0,0 0 0,1 0 0,-1 0 0,0 0 0,0 0 0,0 0 0,0 0 0,0 1 0,0-1 0,0 0 0,1 0 0,-1 0 0,0 0 0,0 0 0,0 0 0,0 0 0,0 0 0,0 0 0,0 0 0,0 0 0,0 1 0,0-1 0,1 0 0,-1 0 0,1-12 0,-1 0 0,-1-21 0,0 20 0,1 1 0,1-23 0,1 27 0,-1 0 0,1 1 0,1-1 0,-1 1 0,1 0 0,0 0 0,1 0 0,0 0 0,0 0 0,8-9 0,-9 13 0,0 0 0,0 0 0,0 0 0,0 1 0,0-1 0,0 1 0,0 0 0,1 0 0,0 0 0,-1 0 0,1 1 0,0-1 0,-1 1 0,1 0 0,0 0 0,0 1 0,0-1 0,0 1 0,0 0 0,0 0 0,0 0 0,0 0 0,5 2 0,4 1 0,0 1 0,-1 1 0,1 0 0,-1 1 0,0 0 0,-1 1 0,0 0 0,0 1 0,0 0 0,16 17 0,-4-2 0,-2 1 0,0 1 0,23 38 0,-26-34 0,-2 0 0,15 36 0,-24-48 0,-1 0 0,-1 1 0,0 0 0,-1 0 0,2 24 0,-6-36 11,0 0 0,0 0-1,0 0 1,-1 0 0,0 0 0,0 0-1,0 0 1,-1 0 0,0-1-1,-3 8 1,3-9-110,0 0 0,0-1 0,-1 1 1,1-1-1,-1 0 0,0 0 0,0 0 0,0 0 0,0-1 0,-1 1 0,1-1 1,-1 0-1,1 0 0,-8 3 0,-27 7-6727</inkml:trace>
  <inkml:trace contextRef="#ctx0" brushRef="#br0" timeOffset="4129.86">516 4575 24575,'-34'-5'0,"21"-2"0,13 6 0,0 1 0,0 0 0,0-1 0,0 1 0,0 0 0,0-1 0,0 1 0,0 0 0,0-1 0,0 1 0,0 0 0,0-1 0,0 1 0,0 0 0,0-1 0,1 1 0,-1 0 0,0-1 0,0 1 0,0 0 0,0-1 0,1 1 0,-1 0 0,0 0 0,0-1 0,1 1 0,-1 0 0,0 0 0,1 0 0,-1-1 0,0 1 0,0 0 0,1 0 0,-1 0 0,0 0 0,1 0 0,-1 0 0,16-8 0,-1 1 0,1 1 0,31-8 0,8-3 0,114-42 0,75-25-420,83-13-1262,75-9 621,323-63-2014,375-66 3084,-508 111-143,-252 47 134,-105 17 0,-105 18 0,-101 28 11,-29 13-13,1 1 1,-1 0 0,1 0-1,-1-1 1,1 1-1,-1-1 1,1 1 0,-1 0-1,1-1 1,-1 1 0,1-1-1,-1 1 1,0-1 0,1 0-1,-1 1 1,0-1 0,1 1-1,-1-1 1,0 0 0,0 0 3,0 1 1,0-1-1,-1 1 1,1 0 0,0-1-1,0 1 1,-1 0-1,1-1 1,0 1-1,0 0 1,-1-1-1,1 1 1,0 0 0,-1 0-1,1 0 1,-1-1-1,1 1 1,0 0-1,-1 0 1,1 0-1,-1 0 1,1-1 0,0 1-1,-2 0 1,-22-3 279,4 4-2,1-1-1,-1 2 0,1 1 0,0 0 0,-35 12 1,-96 44-356,123-47 129,-129 58-688,5 0-2541</inkml:trace>
  <inkml:trace contextRef="#ctx0" brushRef="#br0" timeOffset="4458.32">1029 4832 24575,'-16'10'0,"27"-12"0,55-22 0,88-24 0,93-20 0,109-25-3974,102-14 3974,84-10-4856,35-2 4856,-25 20 0,-79 16-2350,-120 10 2350,-131 18 0,-114 19 0,-76 4 1633,-42 7-277</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7:40.189"/>
    </inkml:context>
    <inkml:brush xml:id="br0">
      <inkml:brushProperty name="width" value="0.035" units="cm"/>
      <inkml:brushProperty name="height" value="0.035" units="cm"/>
      <inkml:brushProperty name="color" value="#E71224"/>
    </inkml:brush>
  </inkml:definitions>
  <inkml:trace contextRef="#ctx0" brushRef="#br0">3044 5393 24575,'-11'0'0,"-3"5"0,-11 3 0,0-1-8191</inkml:trace>
  <inkml:trace contextRef="#ctx0" brushRef="#br0" timeOffset="1397.77">5513 3951 24575,'5'0'0,"0"0"0,0-1 0,0 0 0,0 0 0,0 0 0,0-1 0,-1 0 0,1 1 0,0-2 0,-1 1 0,6-4 0,-1 1 0,332-213-29,-16-30-1180,-261 197 706,203-157 155,47-24-227,51-17-1723,420-232 112,16 24 304,-573 328 1748,224-126 134,-39 24 0,-61 32 0,-72 30-167,-64 32-501,-140 87 788,105-91 0,-151 114 968,-2-2-1,-1 0 1,-1-2-1,-2-1 1,38-66-1,-35 54 174,53-66 0,-67 94-1182,-6 7 78,11-15 167,-17 24-317,-1-1 0,1 0 0,-1 0 0,1 1 0,-1-1 0,0 0-1,1 0 1,-1 0 0,0 1 0,1-1 0,-1 0 0,0 0 0,0 0 0,0 0 0,0 0 0,0 0 0,0 0 0,0 1-1,0-1 1,0 0 0,-1-2 0,1 3-7,-1 0 0,1-1 0,-1 1 0,1 0 0,-1 0 0,1 0 0,-1 0 0,1 0 0,-1-1 0,0 1 0,1 0 0,-1 0 0,1 0 0,-1 0 0,1 1 0,-1-1 0,1 0 0,-1 0 0,1 0 0,-1 0 0,1 0 0,-1 1 0,1-1 0,-1 0 0,0 1 0,-174 66 0,68-28 0,53-17 0,-1-3 0,-70 14 0,124-32 0,1-1 0,-1 0 0,1 0 0,-1 1 0,1-1 0,-1 0 0,1 0 0,-1 0 0,1 0 0,-1 0 0,0 0 0,1 0 0,-1 0 0,1 0 0,-1 0 0,1 0 0,-1 0 0,0 0 0,1 0 0,-1 0 0,1 0 0,-1-1 0,1 1 0,-1 0 0,1 0 0,-1-1 0,0 0 0,14-9 0,3 1 0,1 1 0,-1 0 0,1 2 0,1 0 0,-1 1 0,22-4 0,-5 3 0,0 2 0,51-1 0,-74 5 0,1 1 0,-1 0 0,1 1 0,-1 0 0,0 0 0,0 1 0,15 6 0,-20-6 0,-1-1 0,0 1 0,0 0 0,-1 0 0,1 0 0,0 1 0,-1 0 0,0 0 0,0 0 0,0 0 0,-1 1 0,1-1 0,-1 1 0,0 0 0,0 0 0,3 9 0,-3-3 23,0 0 0,-1-1 0,0 1-1,-1 0 1,0 0 0,-1 0 0,0 0-1,-1 0 1,0 0 0,-1 0 0,0 0-1,0 0 1,-1-1 0,-7 17 0,-4 5-450,-2-1 0,0 0 1,-26 34-1,-17 18-6399</inkml:trace>
  <inkml:trace contextRef="#ctx0" brushRef="#br0" timeOffset="2598.59">189 4335 24575,'-6'83'0,"0"-24"0,-8 385 0,7-119 0,1-205 0,-36 202 0,35-300 0,6-23 0,1 0 0,-1 0 0,0 1 0,1-1 0,-1 0 0,1 0 0,0 0 0,-1 0 0,1 0 0,0 0 0,0 0 0,-1 0 0,1 0 0,0 0 0,0 0 0,0 0 0,0 0 0,0 0 0,1-2 0,-8-157 0,-24-114 0,8 86 0,-11-244 0,33 407 0,5-37 0,-4 59 0,0 1 0,0-1 0,1 0 0,0 1 0,-1-1 0,1 0 0,0 1 0,0-1 0,1 1 0,-1 0 0,0-1 0,4-3 0,-4 5 0,0 0 0,0 1 0,0-1 0,-1 1 0,1-1 0,0 1 0,0-1 0,0 1 0,0 0 0,0-1 0,0 1 0,0 0 0,0 0 0,0 0 0,0-1 0,0 1 0,0 0 0,1 1 0,-1-1 0,0 0 0,0 0 0,1 1 0,4 1 0,-1 1 0,1 0 0,-1 0 0,0 1 0,0-1 0,0 1 0,-1 0 0,1 0 0,5 8 0,21 28 0,-1 1 0,30 55 0,-34-52 0,2 0 0,42 49 0,-48-68 0,0-2 0,2 0 0,1-2 0,0-1 0,2-1 0,0-1 0,1-1 0,0-2 0,32 13 0,65 14-1365,-81-23-5461</inkml:trace>
  <inkml:trace contextRef="#ctx0" brushRef="#br0" timeOffset="2832.72">671 4078 24575,'0'6'0,"0"12"0,0 20 0,0 20 0,0 26 0,0 22 0,0 9 0,0 7 0,0-2 0,0-9 0,6-25 0,1-9 0,11-19 0,13-19 0,1-16-8191</inkml:trace>
  <inkml:trace contextRef="#ctx0" brushRef="#br0" timeOffset="3781.59">1377 4624 24575,'0'-23'0,"-1"0"0,-1 1 0,-1-1 0,0 1 0,-2-1 0,-1 1 0,-1 1 0,0-1 0,-13-23 0,18 40 0,-2 0 0,1 0 0,0 0 0,-1 1 0,0-1 0,0 1 0,0 0 0,0 0 0,-1 0 0,0 1 0,0-1 0,0 1 0,0 0 0,0 1 0,-1-1 0,1 1 0,-1 0 0,1 1 0,-1-1 0,0 1 0,0 0 0,1 0 0,-1 1 0,-12 0 0,10 1 0,-1 0 0,1 1 0,-1 0 0,1 0 0,0 1 0,-1 0 0,1 0 0,1 1 0,-1 0 0,0 0 0,1 1 0,0 0 0,0 0 0,1 1 0,-1 0 0,-7 10 0,3-2 0,0 2 0,1 0 0,1 0 0,1 0 0,0 1 0,1 1 0,-7 29 0,7-17 0,1-1 0,1 2 0,0 56 0,5-78 0,0 0 0,1 0 0,0 0 0,1 0 0,-1 0 0,2 0 0,-1 0 0,2-1 0,-1 1 0,1-1 0,7 12 0,-8-16 0,0 0 0,0 0 0,1 0 0,-1 0 0,1-1 0,0 1 0,0-1 0,0 0 0,1 0 0,-1 0 0,1-1 0,0 0 0,-1 1 0,1-2 0,0 1 0,0-1 0,0 1 0,1-1 0,-1-1 0,9 1 0,-8-1 0,0-1 0,1 0 0,-1 0 0,0 0 0,0-1 0,1 0 0,-1-1 0,-1 1 0,1-1 0,0 0 0,-1 0 0,1-1 0,-1 0 0,0 0 0,0 0 0,-1 0 0,1-1 0,-1 0 0,6-8 0,2-3 0,-1-2 0,0 1 0,-2-1 0,15-37 0,-12 16 0,-1-1 0,-2 0 0,-1 0 0,2-57 0,-4 35 0,-6 61 0,1-1 0,-1 1 0,0 0 0,1 0 0,-1 0 0,1-1 0,-1 1 0,1 0 0,0 0 0,-1 0 0,1 0 0,1-1 0,-1 1 0,-1 1 0,0 0 0,1 0 0,-1-1 0,1 1 0,-1 0 0,1 0 0,-1 0 0,1 0 0,-1-1 0,1 1 0,-1 0 0,0 0 0,1 0 0,-1 0 0,1 0 0,-1 0 0,1 0 0,-1 1 0,1-1 0,-1 0 0,1 0 0,2 2 0,0-1 0,0 1 0,0 0 0,0 0 0,-1 0 0,1 0 0,2 4 0,-1-3 0,68 79 0,-14-17 0,-55-61 0,1 1 0,1-1 0,0 1 0,0-1 0,7 5 0,-11-8 0,0-1 0,0 1 0,0 0 0,0-1 0,0 0 0,1 1 0,-1-1 0,0 1 0,0-1 0,0 0 0,0 0 0,1 0 0,-1 0 0,0 0 0,0 0 0,0 0 0,1 0 0,-1 0 0,0-1 0,0 1 0,0 0 0,0-1 0,0 1 0,0-1 0,0 1 0,0-1 0,0 0 0,0 1 0,2-2 0,2-6 0,0 1 0,0-1 0,-1 0 0,0 0 0,0 0 0,-1 0 0,0-1 0,-1 1 0,3-12 0,-1 5 0,9-37 0,15-49 0,-24 91 0,0 0 0,0 1 0,1-1 0,0 1 0,1 0 0,0 0 0,8-8 0,-12 14 0,0 0 0,0 1 0,1 0 0,-1 0 0,1 0 0,-1 0 0,1 0 0,0 0 0,0 0 0,0 1 0,0 0 0,0-1 0,0 1 0,0 0 0,0 1 0,0-1 0,1 0 0,-1 1 0,0 0 0,0 0 0,1 0 0,-1 0 0,0 0 0,1 1 0,-1 0 0,0-1 0,0 1 0,0 0 0,0 0 0,6 4 0,-3-2 0,-1 1 0,1 1 0,-1-1 0,0 1 0,0 0 0,0 0 0,-1 0 0,0 0 0,0 1 0,0 0 0,0 0 0,-1 0 0,4 12 0,15 67 0,-17-62 0,-3-22 0,-1-10 0,0-18 0,-2-10 0,-1-3 0,2 0 0,2-1 0,1 1 0,15-69 0,-16 103 0,0-1 0,0 1 0,1 0 0,0 0 0,0 0 0,0 0 0,1 0 0,-1 0 0,2 1 0,6-8 0,-9 11 0,1 0 0,-1 0 0,0 1 0,1-1 0,0 1 0,-1 0 0,1-1 0,0 1 0,-1 0 0,1 0 0,0 1 0,0-1 0,0 1 0,0-1 0,0 1 0,-1 0 0,1 0 0,0 0 0,0 1 0,0-1 0,0 1 0,0-1 0,0 1 0,-1 0 0,6 2 0,-2 0 0,-1 0 0,1 0 0,-1 0 0,0 1 0,0 0 0,0 0 0,0 0 0,-1 0 0,0 1 0,5 6 0,2 5 0,17 33 0,-21-33 0,2-2 0,15 23 0,-24-37 0,0 1 0,0-1 0,0 0 0,1 0 0,-1 0 0,0 1 0,0-1 0,0 0 0,0 0 0,0 0 0,0 1 0,0-1 0,1 0 0,-1 0 0,0 0 0,0 0 0,0 0 0,0 1 0,1-1 0,-1 0 0,0 0 0,0 0 0,0 0 0,1 0 0,-1 0 0,0 0 0,0 0 0,1 0 0,-1 0 0,0 0 0,0 0 0,0 0 0,1 0 0,-1 0 0,0 0 0,0 0 0,0 0 0,1 0 0,-1 0 0,0 0 0,0 0 0,1 0 0,-1 0 0,0-1 0,0 1 0,0 0 0,0 0 0,1 0 0,-1 0 0,0 0 0,0-1 0,0 1 0,0 0 0,0 0 0,1 0 0,-1 0 0,0-1 0,0 1 0,0 0 0,0 0 0,0 0 0,0-1 0,0 1 0,0 0 0,0 0 0,0-1 0,0 1 0,0 0 0,0 0 0,5-22 0,4-29 0,-1-2 0,-1 14 0,3 0 0,21-57 0,-27 85 0,0 0 0,1 0 0,1 1 0,0 0 0,0 0 0,1 1 0,0-1 0,1 1 0,0 1 0,0 0 0,1 0 0,0 0 0,12-7 0,-18 13 0,-1 1 0,1 0 0,-1-1 0,1 1 0,0 0 0,-1 0 0,1 1 0,0-1 0,0 1 0,-1-1 0,1 1 0,0 0 0,0 0 0,0 0 0,-1 0 0,1 1 0,0-1 0,0 1 0,4 1 0,-3 0 0,-1 0 0,0 0 0,0 0 0,0 0 0,0 1 0,0-1 0,0 1 0,-1 0 0,1 0 0,-1 0 0,0 0 0,4 7 0,1 5 0,-1 0 0,0 0 0,-1 1 0,-1 0 0,4 25 0,3 119 0,-9-80 0,-1-71 0,-1-1 0,1 0 0,0 0 0,0 0 0,1 0 0,0 0 0,1 0 0,0-1 0,0 1 0,0-1 0,9 13 0,-12-19 1,1 0 0,0 0 0,0 0 0,0-1 0,0 1 0,0 0 0,0 0 0,0-1 0,0 1 0,0 0 0,0-1 1,0 1-1,0-1 0,0 1 0,1-1 0,-1 0 0,0 1 0,0-1 0,0 0 0,1 0 0,-1 0 0,0 0 0,0 0 0,1 0 0,-1 0 0,2-1 0,0 0-175,0-1 0,0 1-1,0-1 1,0 0 0,0 0 0,0 0 0,4-4 0,26-28-6652</inkml:trace>
  <inkml:trace contextRef="#ctx0" brushRef="#br0" timeOffset="4140.11">2884 3695 24575,'0'5'0,"0"1"0,1-1 0,-1 1 0,1-1 0,0 0 0,1 1 0,-1-1 0,1 0 0,3 6 0,-4-10 0,0 1 0,-1-1 0,1 0 0,0 0 0,0 0 0,0 0 0,0 0 0,0 0 0,0 0 0,0 0 0,1 0 0,-1-1 0,0 1 0,0 0 0,1-1 0,-1 1 0,0-1 0,1 1 0,-1-1 0,0 0 0,1 1 0,-1-1 0,1 0 0,-1 0 0,0 0 0,1 0 0,-1 0 0,1-1 0,-1 1 0,0 0 0,1-1 0,-1 1 0,0 0 0,1-1 0,-1 0 0,0 1 0,0-1 0,1 0 0,-1 0 0,1-1 0,3-1 0,-1-1 0,0 0 0,0 0 0,0 0 0,-1-1 0,1 1 0,-1-1 0,0 0 0,0 0 0,-1 0 0,1 0 0,-1 0 0,0 0 0,-1-1 0,2-6 0,2-13 0,5-50 0,-10 73 0,2-14 0,-2-1 0,0 1 0,-1-1 0,0 1 0,-1-1 0,-6-20 0,7 32 0,-1 0 0,0 0 0,-1-1 0,1 1 0,-1 1 0,0-1 0,0 0 0,0 1 0,-7-8 0,7 10 0,0-1 0,0 1 0,0 0 0,0 0 0,0 0 0,0 1 0,-1-1 0,1 1 0,-1 0 0,1-1 0,-1 2 0,0-1 0,1 0 0,-1 1 0,-7-1 0,6 1 0,0 1 0,0-1 0,0 1 0,0 0 0,1 0 0,-1 0 0,0 1 0,0 0 0,1 0 0,-1 0 0,1 0 0,0 1 0,-7 4 0,5-2 0,1 0 0,-1 1 0,1 0 0,0 0 0,1 0 0,0 0 0,0 1 0,-4 8 0,1 1 0,1 1 0,0-1 0,2 2 0,0-1 0,0 0 0,2 1 0,-1 20 0,3-23 0,0 1 0,1 0 0,1 0 0,0-1 0,1 1 0,1-1 0,0 0 0,1 0 0,1 0 0,14 25 0,-16-33 0,1 1 0,0-1 0,0-1 0,1 1 0,-1-1 0,1 0 0,1 0 0,-1-1 0,1 0 0,0 0 0,1 0 0,-1-1 0,1 0 0,0-1 0,-1 0 0,2 0 0,-1 0 0,0-1 0,0 0 0,1-1 0,16 1 0,-6-2 0,-1-2 0,0 0 0,0 0 0,0-2 0,0 0 0,0-1 0,-1-1 0,29-14 0,-18 6 0,-1-2 0,0-1 0,-1 0 0,33-31 0,-35 25-170,-1-1-1,-1 0 0,-1-2 1,-1 0-1,-1-1 0,-1-1 1,24-54-1,-9-3-6655</inkml:trace>
  <inkml:trace contextRef="#ctx0" brushRef="#br0" timeOffset="5604.89">2115 4720 24575,'-2'-27'0,"-1"0"0,-1 0 0,-10-37 0,13 58 0,-4-12 0,11 43 0,127 438 0,-23-88 0,-22 4 0,-74-291 0,-7-57 0,-5-56 0,1-76 0,5 0 0,4 1 0,29-115 0,-34 188 0,1 0 0,16-36 0,-19 52 0,1 0 0,0 0 0,1 0 0,0 1 0,1 0 0,0 1 0,11-11 0,-15 16 0,-1 1 0,1 0 0,-1 0 0,1 1 0,0-1 0,0 1 0,1 0 0,-1 0 0,0 0 0,1 0 0,-1 1 0,1 0 0,-1 0 0,1 0 0,0 0 0,-1 1 0,1 0 0,0 0 0,-1 0 0,1 0 0,0 1 0,4 1 0,-2 0 0,-1 1 0,1 0 0,-1 0 0,0 1 0,0 0 0,0 0 0,0 0 0,-1 1 0,0-1 0,0 1 0,0 1 0,0-1 0,6 12 0,1 1 0,-2 1 0,0 1 0,-1 0 0,-1 0 0,-1 1 0,8 41 0,-7-17 0,-3 0 0,1 60 0,-6-91 0,-1 1 0,0-1 0,-1 0 0,0 1 0,-1-1 0,-1 0 0,0 0 0,-1-1 0,-8 16 0,11-24 0,-1 0 0,0 0 0,0-1 0,0 1 0,0-1 0,-1 0 0,0 0 0,0 0 0,0-1 0,0 1 0,0-1 0,-1 0 0,1 0 0,-1-1 0,0 1 0,0-1 0,0 0 0,0 0 0,-1-1 0,1 0 0,0 1 0,0-2 0,-1 1 0,1-1 0,-1 0 0,-8 0 0,6-2 0,0 0 0,0 0 0,0-1 0,0 0 0,0 0 0,1-1 0,-1 0 0,1-1 0,0 1 0,1-1 0,-1 0 0,1-1 0,0 0 0,-6-6 0,-1-3 0,-1 0 0,2-1 0,0 0 0,-13-24 0,19 29 0,1 0 0,0 0 0,1-1 0,0 0 0,0 0 0,2 0 0,-1 0 0,0-15 0,3 22 0,0 1 0,0-1 0,0 1 0,1-1 0,0 1 0,-1-1 0,2 1 0,-1-1 0,0 1 0,1 0 0,0 0 0,0 0 0,0 0 0,1 0 0,-1 0 0,1 1 0,0-1 0,0 1 0,0 0 0,1 0 0,-1 0 0,1 0 0,-1 0 0,1 1 0,5-3 0,8-3 0,1 0 0,0 2 0,1 0 0,31-5 0,-34 7 0,20-4 0,186-50 0,-195 49 0,-1-2 0,0 0 0,0-2 0,-2-1 0,1-1 0,22-19 0,-36 25 0,-1-1 0,0 0 0,0 0 0,-1-1 0,-1-1 0,0 1 0,0-1 0,-1-1 0,-1 1 0,6-15 0,-9 18 0,0 0 0,0 0 0,-1-1 0,0 1 0,-1 0 0,0-1 0,0 1 0,-1-1 0,-1 1 0,1-1 0,-1 1 0,-1 0 0,0-1 0,0 1 0,-6-14 0,7 21 0,0-1 0,0 0 0,0 1 0,-1-1 0,0 1 0,1-1 0,-1 1 0,0 0 0,0-1 0,0 1 0,0 0 0,-1 0 0,-4-3 0,6 5 0,1 0 0,-1 0 0,0-1 0,0 1 0,0 0 0,1 0 0,-1 0 0,0 0 0,0 0 0,0 0 0,1 0 0,-1 0 0,0 0 0,0 0 0,1 0 0,-1 1 0,0-1 0,0 0 0,0 1 0,0-1 0,-1 2 0,1-1 0,-1 0 0,1 1 0,-1-1 0,1 1 0,0-1 0,0 1 0,-1-1 0,1 1 0,0 0 0,-1 3 0,-1 3 0,0 0 0,0 1 0,0 0 0,1 0 0,1 0 0,-1 0 0,1 0 0,1 0 0,0 0 0,0 0 0,2 11 0,-1-14 0,0 0 0,1 0 0,-1 0 0,1 0 0,1 0 0,-1-1 0,1 1 0,0-1 0,0 1 0,0-1 0,1 0 0,0 0 0,0-1 0,0 1 0,0-1 0,1 0 0,8 6 0,-7-6 0,1 0 0,0-1 0,-1 0 0,1 0 0,0-1 0,0 0 0,1 0 0,-1 0 0,0-1 0,0 0 0,1-1 0,-1 0 0,1 0 0,-1 0 0,0-1 0,1 0 0,-1-1 0,0 1 0,0-1 0,0-1 0,0 1 0,0-1 0,0-1 0,-1 1 0,1-1 0,-1 0 0,0 0 0,0-1 0,-1 0 0,1 0 0,-1 0 0,0-1 0,-1 0 0,1 1 0,3-8 0,-3 4 0,0 1 0,-1-1 0,1 1 0,-2-1 0,1 0 0,-2 0 0,1-1 0,-1 1 0,0-1 0,-1 1 0,0-1 0,-1 0 0,0 1 0,0-1 0,-1 0 0,0 1 0,-1-1 0,0 1 0,-1 0 0,0-1 0,0 1 0,-1 0 0,0 1 0,0-1 0,-1 1 0,-11-15 0,2 5 0,0 1 0,-1 0 0,-1 1 0,0 0 0,-23-15 0,34 27 0,-1 1 0,0-1 0,1 1 0,-1 0 0,-1 0 0,1 0 0,0 1 0,-1 0 0,1 1 0,-1-1 0,1 1 0,-1 0 0,0 1 0,-6 0 0,5 1 0,1 0 0,0 0 0,-1 1 0,1 0 0,0 1 0,0 0 0,1 0 0,-1 0 0,1 1 0,-1 0 0,1 0 0,-9 8 0,-1 2 0,1 1 0,1 1 0,0 0 0,1 1 0,1 0 0,-17 31 0,21-32 0,0 0 0,1 1 0,0 0 0,2 1 0,0-1 0,1 1 0,0 0 0,0 20 0,3-32 0,1-1 0,0 1 0,1-1 0,-1 1 0,1-1 0,0 1 0,1-1 0,-1 1 0,1-1 0,0 0 0,0 0 0,1 0 0,0 0 0,0 0 0,3 5 0,-3-7 0,0-1 0,0 1 0,1 0 0,-1-1 0,0 0 0,1 1 0,-1-2 0,1 1 0,0 0 0,0-1 0,-1 1 0,1-1 0,0 0 0,0 0 0,0-1 0,0 1 0,0-1 0,1 0 0,-1 0 0,0 0 0,5-2 0,4 0 0,0-1 0,0-1 0,-1 0 0,1 0 0,-1-2 0,0 1 0,0-2 0,-1 1 0,0-2 0,0 1 0,0-1 0,12-13 0,1-4 0,-2 0 0,0-1 0,31-49 0,-30 36 0,-3-1 0,-1 0 0,-2-2 0,-1 0 0,-3-1 0,-1 0 0,10-76 0,-22 119 0,0 0 0,0 0 0,0 0 0,0 0 0,0 1 0,0-1 0,0 0 0,0 0 0,0 0 0,0 0 0,0 0 0,0 0 0,0 0 0,0 0 0,0 0 0,0 0 0,1 0 0,-1 0 0,0 0 0,0 0 0,0 0 0,0 1 0,0-1 0,0 0 0,0 0 0,0 0 0,0 0 0,0 0 0,1 0 0,-1 0 0,0 0 0,0 0 0,0 0 0,0 0 0,0 0 0,0 0 0,0 0 0,0 0 0,0 0 0,1 0 0,-1-1 0,0 1 0,0 0 0,0 0 0,0 0 0,0 0 0,0 0 0,0 0 0,0 0 0,0 0 0,0 0 0,0 0 0,0 0 0,0 0 0,0 0 0,1 0 0,-1-1 0,6 15 0,-3-7 0,5 9 0,0-1 0,1-1 0,1 0 0,0 0 0,1-1 0,1 0 0,0-1 0,0-1 0,1 1 0,0-2 0,1 0 0,1-1 0,-1 0 0,1-1 0,1-1 0,-1 0 0,1-1 0,1-1 0,-1 0 0,1-1 0,0-1 0,-1-1 0,1 0 0,23-1 0,-24-2 0,1 0 0,-1 0 0,0-2 0,0 0 0,0-1 0,0-1 0,25-11 0,-31 12 0,-1-1 0,0 0 0,-1-1 0,1 0 0,-1 0 0,0-1 0,-1 0 0,0 0 0,0-1 0,0 0 0,-1 0 0,0-1 0,7-13 0,-7 9 0,0-1 0,-1 0 0,-1 0 0,0 0 0,-1-1 0,1-15 0,-3 23 0,0 0 0,-1 0 0,0 0 0,0 1 0,-1-1 0,0 0 0,0 0 0,0 0 0,-1 1 0,0-1 0,0 1 0,-1-1 0,0 1 0,-6-10 0,8 15 0,0 0 0,0-1 0,1 1 0,-1 0 0,0 0 0,0 0 0,0 1 0,-1-1 0,1 0 0,0 0 0,0 0 0,0 1 0,-1-1 0,1 1 0,0-1 0,0 1 0,-1-1 0,1 1 0,0 0 0,-1 0 0,1 0 0,-1 0 0,1 0 0,0 0 0,-1 0 0,1 0 0,-1 0 0,1 0 0,0 1 0,-1-1 0,1 1 0,0-1 0,0 1 0,-1-1 0,1 1 0,0 0 0,0 0 0,0-1 0,0 1 0,0 0 0,0 0 0,0 0 0,-1 2 0,-4 4 0,0-1 0,1 1 0,0 1 0,0-1 0,-6 15 0,-2 8 0,2 1 0,2 0 0,0 0 0,2 1 0,-5 59 0,5 169 0,9-110-1365,0-86-5461</inkml:trace>
  <inkml:trace contextRef="#ctx0" brushRef="#br0" timeOffset="5951">1762 6387 24575,'-1'1'0,"0"0"0,-1 0 0,1 0 0,0 0 0,0 0 0,0 0 0,0 0 0,0 0 0,1 1 0,-1-1 0,0 0 0,0 1 0,1-1 0,-1 0 0,1 1 0,-1-1 0,1 1 0,0-1 0,-1 1 0,1-1 0,0 3 0,0-3 0,1-1 0,-1 0 0,1 1 0,-1-1 0,0 0 0,1 0 0,-1 1 0,1-1 0,-1 0 0,0 0 0,1 1 0,-1-1 0,1 0 0,-1 0 0,1 0 0,-1 0 0,1 0 0,-1 0 0,1 0 0,-1 0 0,1 0 0,-1 0 0,1 0 0,0 0 0,25-8 0,114-58 0,-85 39 0,129-62 0,60-28-432,58-25-1295,785-296-3220,-785 336 4947,-91 32 0,-102 34 0,-87 32 0,-22 4 0,1 0 0,-1 0 0,0 0 0,0 0 0,0 0 0,0 0 0,0 0 0,0 0 0,0 0 0,1 1 0,-1-1 0,0 0 0,0 0 0,0 0 0,0 0 0,0 0 0,0 0 0,0 0 0,0 0 0,0 1 0,0-1 0,0 0 0,1 0 0,-1 0 0,0 0 0,0 0 0,0 0 0,0 1 0,0-1 0,0 0 0,0 0 0,0 0 0,0 0 0,0 0 0,0 0 0,0 1 0,0-1 0,-1 0 0,1 0 0,0 0 0,0 0 0,0 0 0,0 0 0,0 0 0,0 1 0,0-1 0,0 0 0,0 0 0,0 0 0,0 0 0,0 0 0,-1 0 0,1 0 0,0 0 0,0 0 0,0 0 0,0 0 0,0 1 0,0-1 0,-1 0 0,-28 22 0,24-18 0,-76 51 25,-148 100-231,110-81-698</inkml:trace>
  <inkml:trace contextRef="#ctx0" brushRef="#br0" timeOffset="6275.03">1793 6996 24575,'0'11'0,"-11"4"0,13-1 0,17-8 0,27-16 0,33-23 0,42-27 0,59-32 0,82-31-2040,77-40 2040,47-30-3383,7-3 3383,-37 14 0,-67 39 0,-82 33-880,-78 40 880,-60 32-1888</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7:51.740"/>
    </inkml:context>
    <inkml:brush xml:id="br0">
      <inkml:brushProperty name="width" value="0.035" units="cm"/>
      <inkml:brushProperty name="height" value="0.035" units="cm"/>
      <inkml:brushProperty name="color" value="#E71224"/>
    </inkml:brush>
  </inkml:definitions>
  <inkml:trace contextRef="#ctx0" brushRef="#br0">543 2440 24575,'-12'0'0,"13"0"0,25 0 0,113 0 0,382-23-199,-263 8-633,635-13 625,-870 28 207,-42 0 0,-27 1-1159,-9-1-4635</inkml:trace>
  <inkml:trace contextRef="#ctx0" brushRef="#br0" timeOffset="339.75">929 2696 24575,'16'0'0,"27"0"0,23 0 0,22 0 0,28 0 0,28 0 0,28 0 0,5 0 0,-10-5 0,-23-2 0,-35-10 0,-49-3 0,-49 2 0,-38 5 0,-25-7 0,-4 0-8191</inkml:trace>
  <inkml:trace contextRef="#ctx0" brushRef="#br0" timeOffset="2161.49">607 740 24575,'-3'0'0,"1"0"0,-1 0 0,1 0 0,-1-1 0,0 1 0,1-1 0,-1 0 0,1 1 0,0-1 0,-1 0 0,1-1 0,0 1 0,-1 0 0,1-1 0,0 1 0,0-1 0,-3-3 0,2 2 0,1 0 0,0 0 0,0-1 0,0 1 0,0-1 0,0 0 0,1 1 0,0-1 0,0 0 0,-2-6 0,2-2 0,0 1 0,1 0 0,0 0 0,0-1 0,1 1 0,1 0 0,4-19 0,0 13 0,0 0 0,1 1 0,1 0 0,0 0 0,1 0 0,12-13 0,6-7 0,42-41 0,-38 46 0,1 2 0,2 0 0,1 3 0,1 0 0,1 3 0,1 1 0,2 1 0,-1 3 0,2 1 0,1 2 0,46-10 0,106-12 0,-156 32 0,-1 3 0,1 1 0,52 6 0,-71-3 0,1 1 0,0 1 0,-1 1 0,0 1 0,0 0 0,-1 2 0,31 16 0,-36-16 0,-1 1 0,0 0 0,0 1 0,0 0 0,-2 1 0,1 0 0,-1 1 0,-1 0 0,0 0 0,-1 1 0,8 16 0,-6-8 0,-2 1 0,0 0 0,-2 0 0,0 1 0,-1-1 0,-2 1 0,0 0 0,-1 0 0,-2 0 0,0 0 0,-2 1 0,0-1 0,-2 0 0,0-1 0,-1 1 0,-2-1 0,-15 37 0,19-52 0,0 0 0,0-1 0,-1 1 0,0 0 0,-1-1 0,1 0 0,-1 0 0,0 0 0,-1-1 0,1 0 0,-9 7 0,14-12 0,-1 0 0,1 0 0,0 0 0,0 0 0,0 1 0,-1-1 0,1 0 0,0 0 0,0 0 0,-1 0 0,1 0 0,0 0 0,0 0 0,-1 0 0,1 0 0,0 0 0,-1 0 0,1 0 0,0 0 0,0 0 0,-1 0 0,1 0 0,0 0 0,0 0 0,-1 0 0,1 0 0,0 0 0,0 0 0,-1 0 0,1-1 0,0 1 0,0 0 0,-1 0 0,1 0 0,0 0 0,0-1 0,0 1 0,0 0 0,-1 0 0,1 0 0,0-1 0,0 1 0,0 0 0,0 0 0,0-1 0,0 1 0,-1 0 0,1 0 0,0-1 0,0 1 0,0 0 0,0-1 0,0 1 0,0 0 0,0 0 0,0-1 0,0 1 0,0 0 0,0 0 0,1-1 0,-1 1 0,1-5 0,0 0 0,0 0 0,0 0 0,1 0 0,0 1 0,0-1 0,0 1 0,4-6 0,30-39 0,-17 27 0,1 1 0,1 1 0,1 1 0,1 0 0,1 2 0,0 1 0,1 1 0,48-21 0,-49 25 0,0 2 0,1 1 0,0 1 0,0 1 0,1 1 0,0 1 0,0 2 0,0 0 0,0 2 0,32 4 0,-44-2 0,0 1 0,0 0 0,0 1 0,0 1 0,-1 0 0,1 1 0,-2 1 0,1 0 0,-1 0 0,0 2 0,0-1 0,-1 1 0,0 1 0,-1 0 0,0 0 0,0 1 0,8 14 0,1 3 0,-2 1 0,-2 1 0,0 0 0,-2 1 0,-2 0 0,12 46 0,-6-3-162,-2 1-1,-4 0 0,-4 0 0,-2 1 1,-7 85-1,-2-96 57,-4-1-1,-2 0 1,-2-1-1,-4 0 1,-2-1-1,-36 80 0,32-99 102,-1-1-1,-36 48 0,56-86 6,0-1 0,0 1 0,1 0 0,-1 0 0,1 1 0,0-1 0,1 0 0,-1 1 0,1-1 0,-2 10 0,3-11 0,1-1 0,-1 1 0,1 0 0,0-1 0,-1 1 0,1-1 0,1 1 0,-1-1 0,0 1 0,1-1 0,-1 0 0,1 1 0,-1-1 0,1 0 0,0 0 0,0 0 0,0-1 0,0 1 0,3 1 0,46 37 322,-31-25-58,0 0 0,-2 1 0,0 0 0,26 32 1,-31-29-255,-1 0 0,-1 0 1,0 1-1,-2 0 0,0 1 1,-1 0-1,-1 0 0,-1 1 1,5 38-1,-9-43-11,-1 0 1,0 0-1,-1 0 1,-1 0 0,-1 0-1,0 0 1,-1 0-1,-1 0 1,0-1-1,-1 0 1,-1 0-1,-1 0 1,-11 19-1,5-15 1,-1-1 0,-1-1 0,-1 0 0,-1-1 0,0 0 0,-1-2 0,-1 0 0,-1-1 0,0-1 0,0-1 0,-1-1 0,-44 17 0,16-11 0,0-2 0,-1-2 0,-1-3 0,-98 8 0,124-16 0,0-1 0,0-1 0,0-1 0,0-1 0,0-1 0,0-2 0,1 0 0,0-1 0,-35-15 0,31 6 0,25 12 0,-2 0 0,1 0 0,0 1 0,0 0 0,-1 0 0,1 0 0,-1 0 0,0 1 0,1 0 0,-1 0 0,0 0 0,0 0 0,-7 1 0,7 2 0,-1 0 0,1 1 0,0-1 0,0 1 0,0 1 0,1-1 0,-1 1 0,1-1 0,-1 1 0,-6 9 0,-1 0 0,-6 4 0,-1-1 0,0 0 0,-1-2 0,-1 0 0,0-1 0,-1-1 0,0-1 0,-1-1 0,0-1 0,0-1 0,-1-2 0,0 0 0,0-1 0,-33 2 0,46-6 0,0-1 0,0 0 0,0 0 0,0-2 0,0 1 0,0-1 0,1-1 0,-1 0 0,0 0 0,1-1 0,0 0 0,0-1 0,1 0 0,-1-1 0,1 0 0,0 0 0,0-1 0,1 0 0,-12-14 0,5 5 0,1-1 0,1-1 0,1 0 0,-18-34 0,-27-82 0,30 64 0,26 67 0,-3-5 0,1-1 0,-1 1 0,0 1 0,-11-15 0,14 19 0,-1 1 0,0 0 0,0 1 0,0-1 0,0 0 0,-1 1 0,1-1 0,0 1 0,-1 0 0,1-1 0,-1 1 0,0 0 0,1 1 0,-1-1 0,0 0 0,1 1 0,-1 0 0,0-1 0,1 1 0,-6 1 0,-99 14 0,30-2 0,29-7 0,-1-2 0,-86-4 0,117-1 0,1-1 0,-1-1 0,1-1 0,0 0 0,0-1 0,0-1 0,1-1 0,0 0 0,0-1 0,1-1 0,-16-11 0,11 3 0,2 0 0,0-1 0,1 0 0,1-2 0,1 0 0,0-1 0,2 0 0,0-1 0,2 0 0,0-1 0,-10-34 0,2-6 0,2 0 0,4-1 0,-7-74 0,19 124 0,-14-163 0,15 153 0,1 0 0,0-1 0,2 1 0,1 0 0,8-28 0,-8 43 0,-1-1 0,1 0 0,1 1 0,0 0 0,11-17 0,-15 26 0,-1 0 0,0-1 0,0 1 0,0 0 0,0 0 0,1-1 0,-1 1 0,0 0 0,0 0 0,0-1 0,0 1 0,0 0 0,0-1 0,0 1 0,0 0 0,0 0 0,0-1 0,0 1 0,0 0 0,0-1 0,0 1 0,0 0 0,0 0 0,0-1 0,0 1 0,0 0 0,0-1 0,0 1 0,-1 0 0,1 0 0,0-1 0,0 1 0,0 0 0,-1 0 0,1 0 0,0-1 0,0 1 0,0 0 0,-1 0 0,1 0 0,0 0 0,0-1 0,-1 1 0,1 0 0,0 0 0,0 0 0,-1 0 0,1 0 0,0 0 0,-1 0 0,-3-2 0,-2-4 0,-1 1 0,1-1 0,0 0 0,0-1 0,1 1 0,0-1 0,0 0 0,0 0 0,1-1 0,0 1 0,1-1 0,-1 0 0,2 0 0,-3-9 0,-3-16 0,2 0 0,-2-41 0,7 64 0,-2-22 0,2-1 0,0 1 0,3-1 0,10-63 0,-7 77 0,0-1 0,1 1 0,1 0 0,1 0 0,0 1 0,2 0 0,0 1 0,1-1 0,16-18 0,-19 27 0,0 0 0,1 0 0,1 1 0,-1 0 0,17-10 0,-19 14 0,-1 1 0,1-1 0,0 1 0,0 1 0,0-1 0,1 1 0,-1 0 0,0 1 0,15-2 0,-20 3 0,1 0 0,-1 0 0,0 1 0,0-1 0,1 0 0,-1 1 0,0 0 0,0-1 0,3 2 0,-4-2 0,-1 1 0,1-1 0,0 0 0,-1 1 0,1-1 0,-1 1 0,1-1 0,-1 1 0,1-1 0,-1 1 0,1-1 0,-1 1 0,1 0 0,-1-1 0,0 1 0,1 0 0,-1-1 0,0 1 0,0 0 0,1 0 0,-2 1 0,1-1 0,0 1 0,-1-1 0,1 1 0,-1-1 0,1 0 0,-1 1 0,0-1 0,1 0 0,-1 1 0,0-1 0,0 0 0,0 0 0,0 0 0,0 0 0,0 0 0,-1 0 0,1 0 0,0 0 0,0 0 0,-1-1 0,1 1 0,0 0 0,-1-1 0,1 1 0,-3 0 0,-3 1 0,0 0 0,0 0 0,0 0 0,0-1 0,0 0 0,-1 0 0,1-1 0,0 0 0,0 0 0,0 0 0,-1-1 0,1-1 0,0 1 0,-9-4 0,10 3 0,1 0 0,-1-1 0,1 0 0,0 0 0,0 0 0,0 0 0,1-1 0,-1 0 0,1 0 0,0 0 0,0 0 0,0-1 0,0 1 0,1-1 0,0 0 0,0 0 0,0-1 0,-3-8 0,3 3 0,1-1 0,0 0 0,0 0 0,1 0 0,0 0 0,1 0 0,1 0 0,0 0 0,1 0 0,0 1 0,0-1 0,1 0 0,1 1 0,0-1 0,6-11 0,3-4 0,2 0 0,0 0 0,2 2 0,35-43 0,-28 41 0,2 1 0,1 1 0,1 1 0,1 2 0,0 0 0,2 3 0,1 0 0,0 2 0,1 1 0,1 2 0,0 1 0,69-15 0,-94 26 0,1 0 0,-1 1 0,1 0 0,-1 1 0,1 0 0,-1 1 0,1 0 0,11 2 0,-16-1 0,0 0 0,0-1 0,0 2 0,0-1 0,-1 0 0,1 1 0,-1 0 0,0 0 0,0 1 0,0-1 0,0 1 0,-1 0 0,1-1 0,-1 2 0,0-1 0,4 7 0,5 12 45,11 31-1,-16-34-528,2-1-1,20 35 0,-1-16-6341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7:56.856"/>
    </inkml:context>
    <inkml:brush xml:id="br0">
      <inkml:brushProperty name="width" value="0.035" units="cm"/>
      <inkml:brushProperty name="height" value="0.035" units="cm"/>
      <inkml:brushProperty name="color" value="#E71224"/>
    </inkml:brush>
  </inkml:definitions>
  <inkml:trace contextRef="#ctx0" brushRef="#br0">52 1671 24575,'-2'1'0,"0"-1"0,0 0 0,0 1 0,1-1 0,-1 1 0,0 0 0,1 0 0,-1-1 0,0 1 0,1 0 0,-1 0 0,1 1 0,0-1 0,-1 0 0,1 0 0,0 1 0,-1-1 0,1 1 0,0-1 0,0 1 0,0-1 0,1 1 0,-1 0 0,0-1 0,1 1 0,-2 2 0,-1 6 0,0 1 0,1-1 0,-2 12 0,4-20 0,-1 4 0,1 0 0,-1-1 0,1 1 0,0-1 0,0 1 0,1 0 0,0-1 0,0 1 0,3 8 0,-3-11 0,0-1 0,0 1 0,1-1 0,-1 1 0,1-1 0,-1 0 0,1 0 0,0 0 0,0 0 0,0 0 0,0 0 0,1-1 0,-1 1 0,0 0 0,1-1 0,-1 0 0,1 0 0,-1 0 0,1 0 0,0 0 0,4 1 0,0-1 0,0 0 0,0-1 0,0 0 0,0 0 0,0 0 0,0-1 0,0 0 0,14-3 0,-1-3 0,-1 0 0,21-11 0,38-23 0,-3-5 0,-1-2 0,106-92 0,-128 95-56,-1-2-1,-2-3 0,-3-2 1,-2-1-1,73-117 0,-94 130 23,-2-1 0,-1-1 1,-3 0-1,-1-2 0,-2 0 0,-2 0 0,-2-2 0,-2 1 0,4-89 0,-11 102 34,-2-1 0,-1 1 0,-2-1 0,-1 1 0,-1 1 0,-15-46 0,18 69 0,-1 0 0,1 0 0,-1 1 0,-1-1 0,1 1 0,-1 0 0,-1 0 0,1 1 0,-1-1 0,0 1 0,-9-7 0,13 12 0,0 0 0,0-1 0,-1 1 0,1 0 0,0 1 0,0-1 0,-1 0 0,1 1 0,0-1 0,-1 1 0,1-1 0,-1 1 0,1 0 0,-1 0 0,1 1 0,0-1 0,-4 1 0,2 0 0,0 1 0,1 0 0,-1 0 0,1 0 0,-1 0 0,1 0 0,0 1 0,0-1 0,0 1 0,0 0 0,0 0 0,1 0 0,-5 6 0,-2 7 0,0-1 0,1 1 0,1 1 0,0 0 0,-6 27 0,-33 171 0,3 78-491,-43 715-2083,65 9 2102,29-712 353,-7-292 104,0 0 1,1-1-1,0 1 0,1-1 1,1 0-1,0 0 0,8 18 1,-10-28 22,-1 1-1,1 0 1,0-1 0,0 1 0,0-1 0,0 0-1,1 1 1,-1-1 0,1 0 0,-1-1 0,1 1 0,-1 0-1,1-1 1,3 2 0,-2-2 21,-1 0 1,1-1-1,0 1 1,-1-1-1,1 0 0,-1 0 1,1 0-1,0 0 0,-1 0 1,1-1-1,-1 0 0,1 0 1,-1 0-1,1 0 0,2-2 1,4-2 206,0 0 0,-1-1 0,0 0 0,0-1 0,-1 0 1,1 0-1,-2 0 0,1-1 0,12-18 0,5-9-243,23-45 0,-48 79 9,22-42 10,-1-2 1,-3 0 0,-1-1 0,-3 0 0,-1-2 0,-3 1 0,-2-2 0,4-88 0,-11 74 4,-3 0-1,-2 0 1,-4 0 0,-2 0-1,-3 1 1,-25-75 0,25 101-48,0 1 1,-3 0-1,-37-62 1,46 86 22,0 0 0,-1 1 0,0 0 0,-1 0-1,0 1 1,0 0 0,-1 1 0,0 0 0,-1 0 0,0 1 0,0 0 0,0 1-1,-1 1 1,-19-7 0,23 10 45,-1 0 0,1 1 0,0 0 0,-1 1 0,1 0 0,-1 0 0,1 1 0,-1 0 0,-12 3 0,16-3-3,1 1 1,0-1-1,0 0 0,0 1 1,0 0-1,0 0 0,0 0 0,1 0 1,-1 1-1,1 0 0,-1-1 1,1 1-1,0 0 0,0 1 1,0-1-1,1 0 0,-1 1 1,1 0-1,-3 5 0,5-8-23,-1 0-1,1 0 0,-1 0 1,1 0-1,0 1 0,-1-1 1,1 0-1,0 0 0,0 1 0,0-1 1,0 0-1,0 0 0,0 0 1,0 1-1,0-1 0,1 0 1,-1 0-1,0 0 0,1 1 1,-1-1-1,1 0 0,0 0 0,-1 0 1,1 0-1,0 0 0,-1 0 1,1 0-1,0 0 0,0 0 1,0 0-1,0-1 0,0 1 1,0 0-1,0-1 0,0 1 1,0 0-1,0-1 0,3 1 0,0 1-3,0-1 0,1 0 0,-1 0 0,1 0 0,-1-1 0,1 0 0,0 0-1,-1 0 1,9-1 0,5-3-7,0-1 0,0 0 0,-1-1 0,24-13 0,65-41 0,-72 40 0,-3 2 0,222-143 0,-228 141 0,-12 10 0,0-1 0,1 2 0,1 0 0,18-9 0,-32 17 0,-1 1 0,1 0 0,0-1 0,0 1 0,0-1 0,0 1 0,0 0 0,1 0 0,-1 0 0,0 0 0,0-1 0,0 1 0,0 1 0,0-1 0,0 0 0,0 0 0,0 0 0,0 0 0,0 1 0,0-1 0,0 1 0,0-1 0,0 0 0,0 1 0,0 0 0,0-1 0,-1 1 0,1-1 0,0 1 0,0 0 0,-1 0 0,1 0 0,0-1 0,-1 1 0,1 0 0,0 0 0,-1 0 0,0 0 0,1 0 0,0 1 0,1 5 0,-1-1 0,1 1 0,-1 0 0,-1 0 0,1 8 0,0-2 0,0-3 0,1 0 0,0 0 0,0-1 0,1 1 0,0-1 0,1 1 0,9 15 0,-12-21 0,1-1 0,0 0 0,0-1 0,1 1 0,-1 0 0,1-1 0,-1 1 0,1-1 0,0 0 0,0 0 0,0 0 0,0 0 0,0 0 0,0-1 0,0 1 0,1-1 0,-1 0 0,0 0 0,1 0 0,-1 0 0,1-1 0,0 0 0,-1 1 0,1-1 0,5-1 0,0-1 0,-1 0 0,1-1 0,-1 0 0,0 0 0,0-1 0,0 0 0,-1 0 0,1-1 0,-1 0 0,0 0 0,-1 0 0,1-1 0,-1 0 0,8-11 0,-4 5 0,-1 0 0,0-1 0,-1 0 0,0 0 0,-1-1 0,0 0 0,6-22 0,-11 24 0,0 0 0,0 0 0,-1 0 0,-1 0 0,0 0 0,0 0 0,-1 0 0,-1 0 0,0 1 0,-1-1 0,0 0 0,-1 1 0,0 0 0,0 0 0,-2 0 0,1 0 0,-1 1 0,-1 0 0,-11-14 0,12 15 0,-1 1 0,0 0 0,-1 0 0,0 1 0,0 0 0,-1 0 0,0 1 0,0 0 0,0 0 0,-1 1 0,0 0 0,0 1 0,0 0 0,0 1 0,-1 0 0,0 0 0,1 1 0,-1 1 0,0 0 0,0 0 0,-15 2 0,19 0 0,0 0 0,0 1 0,0 0 0,0 0 0,1 1 0,-1 0 0,1 0 0,0 0 0,0 1 0,-10 7 0,8-3 0,-1 0 0,1 0 0,1 1 0,-1 0 0,1 0 0,-5 11 0,1-1 0,1 1 0,1 1 0,1 0 0,1 0 0,1 0 0,-5 27 0,10-40 0,0 0 0,0 0 0,1 0 0,-1 0 0,2 0 0,-1 0 0,1 0 0,1-1 0,-1 1 0,1 0 0,1-1 0,-1 1 0,1-1 0,1 1 0,-1-1 0,1 0 0,7 9 0,-5-9 0,0 0 0,1-1 0,-1 0 0,1-1 0,0 0 0,1 0 0,-1 0 0,1-1 0,0 0 0,0 0 0,0-1 0,1 0 0,-1-1 0,1 0 0,12 2 0,-2-2 0,0 0 0,0-1 0,0-1 0,0-1 0,0-1 0,-1-1 0,1 0 0,0-1 0,-1-1 0,0-1 0,0-1 0,28-14 0,-28 10 0,1 0 0,-2-1 0,0-1 0,-1-1 0,0 0 0,-1-1 0,0-1 0,-1 0 0,-1-1 0,-1 0 0,13-24 0,-12 16 0,-1-1 0,-2 0 0,0-1 0,10-48 0,-17 61 0,0-1 0,-1 0 0,-1 0 0,0 0 0,-1 0 0,-1 0 0,0 0 0,-1 0 0,-1 1 0,-7-24 0,10 36 0,-1 0 0,0 1 0,1-1 0,-1 1 0,0-1 0,0 1 0,0-1 0,0 1 0,0 0 0,0 0 0,-3-3 0,4 4 0,0 0 0,-1 0 0,1 0 0,0-1 0,-1 1 0,1 0 0,0 0 0,-1 0 0,1 0 0,-1 0 0,1 0 0,0 0 0,-1 0 0,1 0 0,-1 0 0,1 0 0,0 0 0,-1 0 0,1 0 0,-1 0 0,1 0 0,0 1 0,-1-1 0,1 0 0,0 0 0,-1 0 0,1 0 0,0 1 0,-1 0 0,-1 0 0,1 1 0,0 0 0,0 0 0,-1 0 0,1 0 0,0 0 0,1 0 0,-1 0 0,0 1 0,1-1 0,-1 0 0,1 0 0,0 0 0,-1 4 0,2-1 0,-1 1 0,1-1 0,0 0 0,0 1 0,0-1 0,1 0 0,0 0 0,0 0 0,0 0 0,1 0 0,-1 0 0,1-1 0,0 1 0,1-1 0,-1 0 0,1 0 0,-1 0 0,1 0 0,1-1 0,-1 1 0,0-1 0,10 4 0,-7-3 0,0 0 0,0-1 0,0 1 0,1-2 0,-1 1 0,1-1 0,0-1 0,-1 1 0,1-1 0,0 0 0,0-1 0,0 0 0,0 0 0,0-1 0,8-2 0,-8 1 0,0-1 0,0 0 0,0 0 0,-1-1 0,1 0 0,-1-1 0,0 1 0,-1-1 0,11-10 0,0-2 0,28-37 0,-24 30 0,-20 23 0,-1 1 0,0 0 0,0 0 0,1 0 0,-1 0 0,0 0 0,1-1 0,-1 1 0,0 0 0,0 0 0,1 0 0,-1 0 0,0 0 0,1 0 0,-1 0 0,0 0 0,1 0 0,-1 0 0,0 0 0,0 0 0,1 0 0,-1 0 0,0 1 0,1-1 0,-1 0 0,0 0 0,0 0 0,1 0 0,-1 0 0,0 1 0,0-1 0,1 0 0,-1 0 0,0 0 0,0 1 0,0-1 0,1 0 0,-1 0 0,0 1 0,0-1 0,0 0 0,0 0 0,0 1 0,0-1 0,1 0 0,-1 1 0,0-1 0,0 0 0,0 1 0,2 9 0,0 0 0,-1 0 0,0-1 0,-1 1 0,-1 20 0,0-6 0,-3 102 0,0 108 0,5-219 30,0 1 0,1 0 0,7 25 0,-7-35-154,0 0 0,0 0 1,1 0-1,-1-1 0,1 1 0,1-1 1,-1 0-1,1 0 0,0 0 0,0 0 1,9 8-1,12 2-6702</inkml:trace>
  <inkml:trace contextRef="#ctx0" brushRef="#br0" timeOffset="1071.81">2554 1159 24575,'4'8'0,"3"0"0,16 34 0,-1 0 0,-3 1 0,-1 1 0,-3 0 0,-1 2 0,-2 0 0,-3 0 0,8 84 0,-16-115 0,-1 0 0,0 0 0,-1 0 0,-5 24 0,1-29 0,2-13 0,-3-19 0,2-26 0,2 1 0,1-1 0,13-95 0,-8 115 0,1 0 0,1 1 0,2-1 0,12-28 0,-16 44 0,2 0 0,0 1 0,0-1 0,1 1 0,0 1 0,1 0 0,0 0 0,1 0 0,0 1 0,0 0 0,13-9 0,-18 15 0,1 0 0,0 1 0,0-1 0,0 1 0,1 0 0,-1 0 0,0 0 0,1 1 0,-1 0 0,1 0 0,-1 0 0,1 1 0,0 0 0,-1 0 0,1 0 0,-1 1 0,1 0 0,-1 0 0,1 0 0,-1 1 0,1 0 0,-1 0 0,0 0 0,0 0 0,0 1 0,0 0 0,7 6 0,1 1 0,-1 1 0,1 0 0,-2 1 0,0 0 0,0 1 0,-1 0 0,-1 1 0,8 15 0,-6-7 0,-1 0 0,0 0 0,-2 1 0,8 35 0,-13-42 0,0 0 0,-1 0 0,-1 1 0,0-1 0,-1 0 0,-1 1 0,-3 19 0,0-25 0,0-14 0,-2-22 0,3-6 0,2-1 0,1 0 0,1 1 0,2-1 0,8-37 0,-8 53 0,1 0 0,1 0 0,0 0 0,1 0 0,1 1 0,0 0 0,1 1 0,1-1 0,0 1 0,1 1 0,20-21 0,-25 29 0,0 0 0,0 1 0,1 0 0,-1 0 0,1 1 0,0-1 0,0 1 0,0 0 0,0 1 0,1 0 0,-1 0 0,1 0 0,13-2 0,-15 4 0,0 1 0,0-1 0,0 1 0,-1-1 0,1 1 0,0 1 0,0-1 0,0 1 0,-1 0 0,1 0 0,-1 0 0,1 1 0,-1-1 0,0 1 0,0 0 0,0 0 0,0 1 0,-1-1 0,4 5 0,3 4 0,-1 0 0,-1 0 0,0 1 0,-1 0 0,0 1 0,7 20 0,23 92 0,-29-98 0,2 14 0,-3-12 0,14 38 0,-18-60 0,0-1 0,1 1 0,-1-1 0,2 0 0,-1 0 0,1 0 0,0-1 0,1 0 0,9 10 0,-12-14 0,-1 0 0,1 0 0,-1 0 0,1-1 0,0 1 0,0-1 0,-1 0 0,1 1 0,0-1 0,0-1 0,0 1 0,0 0 0,1-1 0,-1 1 0,0-1 0,0 0 0,5-1 0,-4 1 0,0-1 0,0-1 0,0 1 0,0 0 0,-1-1 0,1 0 0,0 0 0,-1 0 0,1-1 0,-1 1 0,6-6 0,-1 0 0,0-1 0,0-1 0,-1 0 0,0 0 0,-1 0 0,0-1 0,0 0 0,3-12 0,7-31 0,-4 1 0,-1-2 0,4-70 0,-17 157 0,0-2 0,2 1 0,1-1 0,5 33 0,-5-54 0,1-1 0,1 1 0,-1-1 0,1 1 0,1-1 0,5 11 0,-6-15 0,0 0 0,0 0 0,0 0 0,0-1 0,1 1 0,-1-1 0,1 0 0,0 0 0,0 0 0,0 0 0,0-1 0,7 4 0,-8-5 0,0 0 0,0 0 0,0 0 0,0-1 0,1 1 0,-1-1 0,0 1 0,0-1 0,1 0 0,-1-1 0,0 1 0,0-1 0,0 1 0,0-1 0,1 0 0,-1 0 0,0 0 0,0 0 0,-1-1 0,1 1 0,0-1 0,0 0 0,-1 0 0,1 0 0,3-4 0,2-2 0,0 0 0,-1-1 0,0 0 0,-1 0 0,0-1 0,5-12 0,3-12 0,-1 0 0,-2-2 0,-2 1 0,7-51 0,-7 36 0,-9 56 0,-1 0 0,1 0 0,0 0 0,1 0 0,-1 0 0,1 0 0,1 0 0,-1 0 0,1 0 0,0-1 0,0 1 0,1-1 0,-1 1 0,1-1 0,0 0 0,6 7 0,-1-1 0,1-1 0,0 0 0,1 0 0,-1-1 0,2-1 0,19 14 0,-17-15 0,-1 0 0,1-1 0,1 0 0,-1-1 0,1 0 0,0-2 0,0 1 0,0-2 0,1 0 0,-1 0 0,0-2 0,1 0 0,20-2 0,-24 1 0,0-1 0,-1 0 0,1-1 0,-1 0 0,0-1 0,0 0 0,0-1 0,0 0 0,-1 0 0,0-1 0,0 0 0,0-1 0,-1 0 0,0 0 0,0-1 0,-1 0 0,0 0 0,9-14 0,-6 4 0,0-1 0,-2 0 0,0 0 0,-1-1 0,-1 0 0,0 0 0,4-41 0,-4-9 0,-3-72 0,-5 39 0,-30-198 0,30 289 0,-1-1 0,0 1 0,-8-21 0,11 32 0,0 1 0,0-1 0,-1 0 0,1 1 0,0-1 0,0 1 0,0-1 0,-1 1 0,1-1 0,0 1 0,-1-1 0,1 1 0,0-1 0,-1 1 0,1-1 0,-1 1 0,1 0 0,-1-1 0,1 1 0,-1 0 0,1-1 0,-1 1 0,1 0 0,-1-1 0,1 1 0,-1 0 0,1 0 0,-1 0 0,0 0 0,1 0 0,-1 0 0,1 0 0,-1 0 0,1 0 0,-1 0 0,0 0 0,1 0 0,-1 0 0,1 0 0,-1 0 0,0 0 0,1 1 0,-1-1 0,1 0 0,-1 0 0,1 1 0,-1-1 0,1 1 0,-1 0 0,-3 3 0,1 0 0,0 0 0,0 1 0,1 0 0,-1-1 0,1 1 0,0 0 0,0 0 0,1 1 0,-2 4 0,-10 66 0,11-63 0,-11 94 0,4 2 0,5-1 0,16 178 0,-8-251 17,2 0 0,1-1 1,2 1-1,1-2 0,2 1 0,31 60 0,-35-79-46,2 0 1,0-1-1,0 0 0,2 0 0,0-1 1,24 21-1,-27-27-88,1 0 1,0-1-1,0 0 0,1 0 0,0-1 1,0 0-1,0-1 0,0-1 0,1 0 1,23 4-1,25-5-6709</inkml:trace>
  <inkml:trace contextRef="#ctx0" brushRef="#br0" timeOffset="1461.51">5536 1029 24575,'-13'-6'0,"0"-1"0,0 2 0,0 0 0,-1 0 0,0 1 0,0 1 0,0 0 0,0 1 0,0 1 0,0 0 0,-23 2 0,21 0 0,-1 0 0,1 2 0,0 0 0,1 0 0,-1 2 0,0 0 0,1 1 0,0 0 0,-26 16 0,30-15 0,0 0 0,1 1 0,0 1 0,0-1 0,1 1 0,0 1 0,1 0 0,0 0 0,1 1 0,0-1 0,0 2 0,-7 18 0,12-26 0,0 1 0,0 0 0,1-1 0,0 1 0,0 0 0,0 0 0,1 0 0,0 0 0,0 0 0,0 0 0,0 0 0,1 0 0,0 0 0,0 0 0,3 8 0,-3-10 0,1 0 0,0 0 0,0 0 0,0 0 0,0-1 0,0 1 0,1-1 0,-1 1 0,1-1 0,-1 0 0,1 0 0,0 0 0,0 0 0,0 0 0,0-1 0,0 1 0,1-1 0,-1 0 0,0 0 0,1 0 0,-1 0 0,1-1 0,4 1 0,2 0 0,-1-1 0,1-1 0,0 1 0,-1-1 0,1-1 0,-1 0 0,0 0 0,0-1 0,0 0 0,0-1 0,0 0 0,0 0 0,-1-1 0,16-10 0,3-7 0,0-2 0,41-46 0,-1 0 0,-65 68 0,-1 1 0,1-1 0,0 1 0,0 0 0,-1-1 0,1 1 0,0 0 0,0 0 0,0 0 0,0 0 0,0 1 0,0-1 0,4 0 0,-5 1 0,0 0 0,-1 0 0,1 0 0,0 0 0,0 1 0,0-1 0,0 0 0,0 0 0,-1 1 0,1-1 0,0 1 0,0-1 0,-1 0 0,1 1 0,0-1 0,-1 1 0,1 0 0,0-1 0,-1 1 0,1 0 0,-1-1 0,1 1 0,0 1 0,1 4 0,1-1 0,-1 1 0,-1 0 0,1 1 0,-1-1 0,0 0 0,0 9 0,3 65 0,-4-46 0,2 0 0,11 57 0,-10-81 0,-1 0 0,2 0 0,-1 0 0,1-1 0,1 1 0,0-1 0,0 0 0,1 0 0,0-1 0,0 0 0,1 0 0,0 0 0,10 8 0,-8-9 12,1 0 0,0-1 1,0 0-1,1-1 0,-1 0 0,1-1 0,0 0 0,23 5 0,-7-5-503,0 0-1,48-1 1,5-5-6335</inkml:trace>
  <inkml:trace contextRef="#ctx0" brushRef="#br0" timeOffset="2086.23">6660 357 24575,'2'92'-6,"18"111"0,30 82 65,2 19-1562,-47-269 1515,-1 1 0,-2-1 0,-1 0 0,-7 56 1,5-85-7,0 0 1,0 0 0,-1 0 0,0 0-1,0 0 1,0 0 0,-1-1 0,0 1-1,0-1 1,-1 0 0,1 1 0,-6 4 0,7-8-8,0 0 0,0-1 1,0 1-1,-1-1 1,1 1-1,0-1 0,0 0 1,-1 0-1,1 0 1,-1 0-1,1-1 1,-1 1-1,0 0 0,1-1 1,-1 0-1,1 0 1,-1 0-1,0 0 0,1 0 1,-1 0-1,1-1 1,-1 1-1,0-1 0,1 1 1,-1-1-1,1 0 1,0 0-1,-1-1 1,-3-1-1,1 0 1,1 0 0,-1-1 0,1 1 0,0-1 0,0 0 0,0 0 0,1 0 0,-1 0 0,1-1 0,0 0 0,-4-9 0,0-2 0,1 1 0,1-1 0,-5-20 0,-3-39-14,3-2-1,-1-129 1,10 83-40,5 0 0,6 0-1,44-208 1,-42 283 54,20-49 0,-24 76 0,2-1 0,1 2 0,0-1 0,16-20 0,-21 33 0,0 0 0,1 0 0,0 1 0,1 0 0,-1 0 0,1 1 0,0 0 0,1 0 0,0 1 0,11-6 0,-14 9 0,-1 0 0,1 0 0,0 0 0,0 1 0,1 0 0,-1 0 0,0 1 0,0 0 0,0 0 0,1 0 0,-1 1 0,0 0 0,0 0 0,0 0 0,0 1 0,0 0 0,6 3 0,-1 1 19,0 0 1,0 2-1,0-1 0,0 1 0,-1 1 0,-1-1 0,0 2 0,0-1 0,0 1 0,-1 1 0,-1 0 0,0 0 0,0 0 0,-1 1 0,-1 0 0,7 19 0,-6-12 96,0 0 0,-1 1-1,-1-1 1,-1 1 0,-1 0-1,-1 0 1,0 0-1,-2 0 1,0 0 0,-5 26-1,0-26-114,0 1 0,0-1 0,-2 0 0,-1 0 0,0-1 0,-1-1 0,-2 1 0,1-2 0,-2 1 0,0-2 0,-2 0 0,1 0 0,-2-2 0,0 1 0,-33 20 0,28-26 0,16-10 0,12-4 0,-4 3 0,1 0 0,-1 0 0,1 1 0,0 0 0,-1-1 0,1 1 0,0 1 0,0-1 0,0 0 0,0 1 0,0 0 0,0 0 0,0 0 0,5 1 0,-2 1 0,1 0 0,-1 0 0,0 1 0,0 0 0,0 0 0,14 8 0,-2 2 0,-1 1 0,0 1 0,-1 1 0,20 23 0,-10-8 0,0 2 0,-3 1 0,0 1 0,-3 0 0,-1 2 0,18 45 0,-34-72 0,0 1 0,-1-1 0,0 1 0,-1 0 0,-1 0 0,1 0 0,-2 0 0,1-1 0,-2 1 0,1 0 0,-4 16 0,2-20 0,0 0 0,-1 0 0,1-1 0,-1 1 0,-1-1 0,1 1 0,-1-1 0,0 0 0,0-1 0,-1 1 0,0-1 0,0 0 0,0 0 0,-1 0 0,1-1 0,-1 1 0,0-2 0,-7 5 0,1-3 0,0 0 0,0 0 0,0-1 0,-1 0 0,0-1 0,1 0 0,-1-2 0,0 1 0,-21-1 0,26-1 0,0-1 0,0 1 0,0-1 0,0-1 0,0 0 0,0 0 0,0 0 0,0-1 0,1 0 0,-1-1 0,1 1 0,0-1 0,0-1 0,0 0 0,1 0 0,-8-7 0,7 4 14,0-1-1,0 0 0,1-1 0,0 0 1,0 0-1,1 0 0,1 0 1,-4-12-1,6 16-91,0 1 0,1 0 0,0-1-1,0 1 1,0-1 0,1 1 0,0-1 0,0 1 0,0-1-1,1 1 1,0-1 0,0 1 0,0 0 0,1-1 0,0 1-1,0 0 1,0 0 0,4-7 0,20-18-6748</inkml:trace>
  <inkml:trace contextRef="#ctx0" brushRef="#br0" timeOffset="2831.87">8071 999 24575,'0'-2'0,"0"1"0,0 0 0,-1 0 0,1 0 0,0 0 0,-1-1 0,1 1 0,0 0 0,-1 0 0,1 0 0,-1 0 0,0 0 0,1 0 0,-1 0 0,0 0 0,1 0 0,-3-1 0,-4-7 0,-43-61 0,29 39 0,-1 1 0,-1 0 0,-42-39 0,53 58 0,0 0 0,-2 1 0,1 1 0,-1 0 0,-1 1 0,1 0 0,-30-9 0,37 14 0,-1 1 0,0 1 0,0-1 0,0 1 0,0 1 0,0 0 0,0 0 0,0 0 0,0 1 0,0 0 0,0 1 0,0 0 0,0 0 0,0 0 0,1 1 0,-1 0 0,-13 9 0,8-4 0,1 1 0,0 1 0,0 0 0,1 1 0,0 0 0,1 0 0,0 1 0,1 1 0,-9 16 0,7-9 0,1 0 0,1 0 0,1 1 0,0 0 0,-7 39 0,14-53 0,-1 1 0,2 0 0,-1 0 0,1 0 0,0 0 0,1 0 0,-1 0 0,2-1 0,-1 1 0,1 0 0,0-1 0,1 1 0,-1-1 0,2 0 0,-1 1 0,1-2 0,0 1 0,0 0 0,1-1 0,0 0 0,0 0 0,1 0 0,-1 0 0,1-1 0,0 0 0,1-1 0,-1 1 0,1-1 0,0 0 0,13 5 0,-12-6 0,1 0 0,-1 0 0,1-1 0,-1 0 0,1 0 0,0-1 0,-1 0 0,1-1 0,0 0 0,0 0 0,0-1 0,-1 0 0,1 0 0,0-1 0,-1-1 0,15-5 0,-14 4 0,1-1 0,-1 0 0,0-1 0,0 1 0,-1-2 0,1 0 0,-1 0 0,-1 0 0,0-1 0,0 0 0,0 0 0,-1-1 0,8-15 0,-4 5 0,-1-1 0,-2 0 0,0 0 0,-1-1 0,5-30 0,-5 5 0,1-62 0,-7 81 0,-1 26 0,0 15 0,-2 22 0,3-1 0,6 64 0,-3-80 0,0 0 0,2 0 0,0 0 0,1-1 0,1 0 0,1 0 0,10 18 0,-14-29 0,1 0 0,0 0 0,0 0 0,1-1 0,0 1 0,0-2 0,0 1 0,1-1 0,0 1 0,0-2 0,0 1 0,1-1 0,-1 0 0,1-1 0,8 3 0,-11-5 0,0 1 0,0-2 0,0 1 0,0 0 0,0-1 0,0 0 0,0 0 0,0-1 0,1 1 0,-1-1 0,0 0 0,-1 0 0,1-1 0,0 1 0,0-1 0,0-1 0,-1 1 0,1 0 0,-1-1 0,0 0 0,0 0 0,0 0 0,0-1 0,-1 1 0,1-1 0,3-5 0,3-5 0,-2-1 0,0 1 0,0-2 0,-2 1 0,0-1 0,0 0 0,3-18 0,-7 27 0,21-79 0,-4 13 0,4 1 0,52-118 0,-71 181 0,1 1 0,0 0 0,0-1 0,1 2 0,-1-1 0,2 1 0,9-10 0,-14 15 0,0 1 0,0 0 0,0 0 0,0-1 0,0 1 0,0 0 0,0 1 0,1-1 0,-1 0 0,0 1 0,0-1 0,0 1 0,1 0 0,-1-1 0,3 1 0,-2 1 0,0 0 0,0-1 0,-1 1 0,1 0 0,0 0 0,-1 1 0,1-1 0,0 0 0,-1 1 0,0 0 0,1-1 0,-1 1 0,0 0 0,0 0 0,2 3 0,7 8 0,0 1 0,-1 0 0,-1 1 0,0 1 0,-1-1 0,0 1 0,7 24 0,27 125 0,-11 22 0,-27-154 0,-2 0 0,-2 0 0,-5 53 0,2-71 0,0 1 0,-6 20 0,7-33 0,1 1 0,0 0 0,-1 0 0,0 0 0,0-1 0,0 1 0,0-1 0,-1 0 0,1 0 0,-1 0 0,0 0 0,-6 5 0,9-7 0,-1-1 0,0 1 0,0-1 0,0 0 0,1 1 0,-1-1 0,0 0 0,0 0 0,0 1 0,0-1 0,0 0 0,0 0 0,0 0 0,1 0 0,-1 0 0,0 0 0,0 0 0,0-1 0,0 1 0,0 0 0,0 0 0,1-1 0,-1 1 0,0-1 0,0 1 0,0 0 0,1-1 0,-1 0 0,0 1 0,0-1 0,1 1 0,-1-1 0,1 0 0,-1 1 0,1-1 0,-1 0 0,1 0 0,-1 1 0,0-3 0,-2-3 0,0 0 0,1 0 0,-1-1 0,-2-10 0,0-10 2,0 0-1,2 0 0,0-1 1,2 0-1,4-42 1,4 14-73,23-95 0,-15 93-142,2 1 0,49-105 0,-55 138 210,2 1 0,1 0 0,0 1 1,2 1-1,0 0 0,2 1 0,0 1 1,1 0-1,23-17 0,-33 30 3,0 1 0,0-1 0,0 1 0,1 1 0,-1-1 0,1 2 0,0 0 0,17-4 0,-20 6 0,-1 0 0,1 1 0,0 0 0,0 0 0,-1 1 0,1 0 0,0 0 0,-1 0 0,1 1 0,-1 0 0,1 0 0,-1 1 0,0-1 0,7 6 0,-2-1 39,-1 0 0,0 1 0,0 1 0,-1 0-1,0 0 1,-1 1 0,0 0 0,0 0 0,-1 1-1,-1 0 1,0 0 0,0 1 0,-1 0 0,0-1 0,-1 2-1,-1-1 1,0 0 0,2 19 0,-3-17-112,-1-1 1,0 0 0,-1 1-1,0-1 1,-1 0-1,-1 0 1,0 1 0,-1-1-1,0-1 1,-1 1 0,0 0-1,-1-1 1,-1 0-1,0 0 1,0 0 0,-2-1-1,-11 15 1,-29 21-6754</inkml:trace>
  <inkml:trace contextRef="#ctx0" brushRef="#br0" timeOffset="3208.96">4830 2153 24575,'3'0'0,"0"0"0,0 0 0,0-1 0,0 1 0,-1-1 0,1 0 0,3-1 0,17-5 0,226-46 0,-17 0-539,74-7-1620,69-12 1145,1559-210-1362,-1781 265 2376,-101 9 0,-48 7 0,-5 0 0,-23 1 0,-175 17 1254,-340 74 0,301-42-359,6-3-6401</inkml:trace>
  <inkml:trace contextRef="#ctx0" brushRef="#br0" timeOffset="3506.27">4992 2280 24575,'-3'1'0,"-1"-1"0,1 1 0,-1 0 0,1-1 0,-1 2 0,1-1 0,0 0 0,-1 1 0,1-1 0,0 1 0,0 0 0,0 0 0,-2 3 0,4-5 0,0 1 0,1-1 0,-1 1 0,0 0 0,1-1 0,-1 1 0,1 0 0,-1 0 0,1-1 0,-1 1 0,1 0 0,0 0 0,-1 0 0,1 0 0,0 0 0,0-1 0,0 1 0,0 0 0,0 0 0,0 0 0,0 2 0,0-2 0,1 0 0,0 0 0,-1 1 0,1-1 0,0 0 0,0 0 0,0 0 0,0 0 0,0 0 0,0 0 0,0 0 0,0 0 0,0 0 0,0-1 0,1 1 0,-1 0 0,0-1 0,1 1 0,0 0 0,7 2 0,-1 0 0,1-1 0,0 0 0,-1 0 0,1-1 0,0 0 0,10 0 0,72-7 0,-52 2 0,177-20 0,78-23-697,75-13-2092,-238 39 2547,1798-296-214,-1691 276 456,-142 20 0,-52 11 0,45-5 0,-87 14-44,0 1-1,0 0 1,0 0-1,0 0 1,0 0-1,0 0 1,0 0-1,0 0 1,-1 0-1,1 1 1,0-1-1,0 1 0,0 0 1,2 0-1,-4 0-106,1-1-1,-1 1 0,0-1 0,1 1 0,-1-1 1,0 1-1,1-1 0,-1 1 0,0 0 0,0-1 0,0 1 1,0-1-1,1 1 0,-1 0 0,0-1 0,0 1 1,0 0-1,0-1 0,0 1 0,0-1 0,-1 2 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8:13.626"/>
    </inkml:context>
    <inkml:brush xml:id="br0">
      <inkml:brushProperty name="width" value="0.035" units="cm"/>
      <inkml:brushProperty name="height" value="0.035" units="cm"/>
      <inkml:brushProperty name="color" value="#E71224"/>
    </inkml:brush>
  </inkml:definitions>
  <inkml:trace contextRef="#ctx0" brushRef="#br0">5313 4297 24575,'3'-1'0,"0"0"0,0 0 0,1-1 0,-1 1 0,0-1 0,-1 0 0,1 0 0,0 0 0,0 0 0,-1 0 0,1-1 0,-1 1 0,0-1 0,3-3 0,2-2 0,0 0 0,0-1 0,-1 0 0,0 0 0,0 0 0,7-16 0,-13 23 0,1 1 0,-1 0 0,1 0 0,-1 0 0,1-1 0,-1 1 0,0 0 0,0 0 0,1-1 0,-1 1 0,0 0 0,0-1 0,0 1 0,-1-2 0,1 2 0,0 1 0,-1 0 0,1 0 0,0-1 0,0 1 0,-1 0 0,1 0 0,0 0 0,-1-1 0,1 1 0,0 0 0,-1 0 0,1 0 0,0 0 0,-1 0 0,1 0 0,-1 0 0,1 0 0,0 0 0,-1 0 0,1 0 0,0 0 0,-1 0 0,1 0 0,0 0 0,-1 0 0,1 0 0,0 0 0,-1 0 0,1 0 0,-1 1 0,-5 2 0,0 0 0,0 0 0,0 1 0,-6 5 0,-42 34-1,1 3 0,-51 58 0,-86 117-6,-40 43-878,-388 286-1036,-48-53-2185,327-255 3445,-592 437-1511,54 69 1333,498-341 794,34 20 629,165-188 403,134-175 1205,31-44-1567,1 1 0,1 0-1,-13 30 1,10-9-4439</inkml:trace>
  <inkml:trace contextRef="#ctx0" brushRef="#br0" timeOffset="452.87">214 8241 24575,'-2'63'0,"-13"79"0,6-74 0,-94 511 0,39-262 0,59-288 0,-9 52 0,13-71 0,1-1 0,0 1 0,0 0 0,0 0 0,4 15 0,-4-24 0,0 1 0,1-1 0,-1 0 0,0 1 0,1-1 0,-1 0 0,1 0 0,-1 1 0,1-1 0,0 0 0,-1 0 0,1 0 0,0 0 0,0 0 0,0 0 0,0 0 0,0 0 0,0 0 0,0 0 0,0 0 0,0-1 0,0 1 0,0 0 0,1-1 0,-1 1 0,0-1 0,1 1 0,-1-1 0,0 0 0,1 1 0,-1-1 0,0 0 0,1 0 0,-1 0 0,2 0 0,4-2 0,0 0 0,0 0 0,0 0 0,0-1 0,11-5 0,145-88 0,-103 58 0,-28 18 0,205-122 0,-159 99 0,92-35 0,-165 76-37,29-11 118,39-11 0,-63 22-247,1-1 1,-1 2-1,1-1 1,-1 2-1,1-1 1,-1 1-1,1 1 1,15 2-1,5 8-6660</inkml:trace>
  <inkml:trace contextRef="#ctx0" brushRef="#br0" timeOffset="3042.98">6115 3815 24575,'-10'17'0,"2"-1"0,0 2 0,1-1 0,-6 23 0,-2 4 0,10-31 0,1-5 0,1 1 0,0-1 0,0 1 0,1-1 0,0 1 0,0 0 0,0 17 0,2-25 0,0-1 0,0 1 0,0-1 0,0 0 0,1 1 0,-1-1 0,0 0 0,0 1 0,0-1 0,1 1 0,-1-1 0,0 0 0,0 1 0,1-1 0,-1 0 0,0 0 0,1 1 0,-1-1 0,0 0 0,1 0 0,-1 1 0,0-1 0,1 0 0,-1 0 0,1 0 0,-1 0 0,0 1 0,1-1 0,-1 0 0,1 0 0,-1 0 0,0 0 0,1 0 0,-1 0 0,1 0 0,-1 0 0,0 0 0,1 0 0,-1-1 0,1 1 0,-1 0 0,0 0 0,1 0 0,-1 0 0,1-1 0,-1 1 0,0 0 0,1 0 0,-1-1 0,5-2 0,0 0 0,0 0 0,0-1 0,0 0 0,-1 0 0,0 0 0,0 0 0,5-7 0,31-48 0,-37 54 0,25-43 12,-2-1-1,33-84 1,21-123-564,-24 1-1517,-13-56 1551,2-364 518,-35 5 0,-11 523 0,1 104 0,8 61 0,-1 3 0,27 71-9,48 91 0,60 85-1537,-60-120 2351,80 204-1,-149-321-714,-2 1 1,-2 0-1,-1 1 0,6 42 0,-14-70-90,1 0 0,-1 0 0,0 0 0,-1 0 0,1 0 0,-1 0 0,0 0 0,0 0 0,0 0 0,-1 0 0,0-1 0,0 1 0,0 0 0,0-1 0,-1 0 0,0 1 0,-3 4 0,1-5 0,0 1 0,-1-1 0,1 0 0,-1-1 0,0 1 0,0-1 0,0 0 0,0 0 0,0-1 0,-1 0 0,1 0 0,-9 1 0,-7 1 145,0 0 0,0-2 0,0 0 0,-1-2 0,1 0 0,0-2 0,0 0 0,-37-10-1,43 8-43,0-1-1,0-1 0,0-1 1,1 0-1,0-1 0,1-1 0,0 0 1,0-1-1,1-1 0,0 0 1,1 0-1,-14-17 0,5 1-100,2 0 0,1-2 0,2 0 0,-17-39 0,-37-127 0,67 187 0,-19-75 0,21 75 0,-1-1 0,1 0 0,0 1 0,1-1 0,0 0 0,2-13 0,-2 22 0,0 0 0,0-1 0,0 1 0,0 0 0,0-1 0,0 1 0,0 0 0,0-1 0,0 1 0,0-1 0,0 1 0,0 0 0,0 0 0,0-1 0,0 1 0,1 0 0,-1-1 0,0 1 0,0 0 0,0-1 0,1 1 0,-1 0 0,0 0 0,0-1 0,1 1 0,-1 0 0,0 0 0,0 0 0,1-1 0,-1 1 0,0 0 0,1 0 0,-1 0 0,0 0 0,1 0 0,-1 0 0,0 0 0,1 0 0,-1 0 0,0 0 0,1 0 0,-1 0 0,0 0 0,1 0 0,-1 0 0,0 0 0,1 0 0,-1 0 0,0 0 0,1 0 0,-1 0 0,0 1 0,1-1 0,-1 0 0,0 0 0,0 0 0,1 1 0,-1-1 0,0 0 0,0 0 0,1 1 0,-1-1 0,0 1 0,12 10 0,-1 2 0,0-1 0,-1 2 0,0-1 0,14 28 0,-20-34 0,55 98 0,47 75 0,-89-155 0,1-1 0,2 0 0,0-1 0,44 36 0,-55-52 0,0 0 0,1 0 0,0-1 0,0-1 0,0 0 0,1 0 0,0-1 0,0 0 0,0-1 0,1 0 0,-1-1 0,1 0 0,-1-1 0,1 0 0,-1-1 0,1-1 0,0 1 0,-1-2 0,1 0 0,-1 0 0,14-5 0,-8 2 0,0-2 0,-1 0 0,0 0 0,0-2 0,0 0 0,-2 0 0,1-2 0,-1 0 0,0 0 0,14-18 0,-13 12 0,0-1 0,-1-1 0,-2 0 0,0-1 0,0 0 0,-2-1 0,13-37 0,-8 6-9,-3 0 0,-1-1-1,-3 0 1,-2 0 0,-2-77-1,-32-273-1394,-19 61 1039,-30 11 438,72 314-73,0 0 0,-2 0 0,0 1 0,-11-20 0,16 34 0,1 0 0,-1 0 0,1 0 0,-1 0 0,0 0 0,1 0 0,-1 1 0,0-1 0,0 1 0,0-1 0,-3 0 0,4 1 0,0 1 0,0 0 0,0 0 0,0-1 0,0 1 0,0 0 0,-1 0 0,1 0 0,0 0 0,0 0 0,0 0 0,0 0 0,0 1 0,0-1 0,0 0 0,0 0 0,0 1 0,0-1 0,-1 1 0,-1 2 0,0 0 0,0-1 0,0 1 0,0 0 0,1 1 0,-1-1 0,1 0 0,0 1 0,0-1 0,0 1 0,-2 6 0,-3 9 0,1 0 0,1 1 0,-6 37 0,1 68 0,9-60 0,2 1 0,4-1 0,2 0 0,3 0 0,3-1 0,3 0 0,2-1 0,3-1 0,58 115 0,-69-157 0,0 0 0,2-1 0,1-1 0,0 0 0,1 0 0,17 15 0,-30-31 29,1 0 0,0-1 0,0 1 1,0-1-1,0 1 0,0-1 0,0 0 0,0 0 1,0 0-1,1 0 0,-1 0 0,0 0 0,1-1 1,-1 1-1,1-1 0,-1 0 0,1 1 1,-1-1-1,1 0 0,-1 0 0,0-1 0,1 1 1,-1 0-1,1-1 0,-1 0 0,0 1 0,1-1 1,-1 0-1,4-2 0,-2-1 44,1 0 0,-1 0 0,0 0 0,0-1 0,0 1 0,0-1 0,-1 0 0,0 0 0,0 0 0,0 0 0,3-9 0,5-17-73,-2-1 0,-1 0 0,5-38 0,-10 44 0,2 1 0,0 0 0,2 0 0,0 1 0,2 0 0,17-34 0,-25 55 0,1 0 0,0-1 0,0 1 0,0 0 0,0 0 0,1 0 0,-1 0 0,1 1 0,0-1 0,0 1 0,0-1 0,0 1 0,0 0 0,0 0 0,7-2 0,-8 4 0,1 0 0,0 0 0,0 0 0,0 0 0,0 0 0,0 1 0,0 0 0,0-1 0,0 1 0,0 0 0,0 1 0,-1-1 0,1 0 0,0 1 0,-1-1 0,1 1 0,-1 0 0,0 0 0,0 0 0,3 3 0,44 40 0,56 47 0,-87-79 0,0 0 0,1-1 0,0-1 0,27 11 0,-42-20 0,0 0 0,0 0 0,0-1 0,0 0 0,0 0 0,1 0 0,-1 0 0,0-1 0,0 1 0,1-1 0,-1 0 0,0 0 0,0-1 0,1 1 0,-1-1 0,0 0 0,0 0 0,0-1 0,0 1 0,0-1 0,0 0 0,0 0 0,-1 0 0,1 0 0,-1-1 0,1 1 0,-1-1 0,0 0 0,0 0 0,0 0 0,0-1 0,-1 1 0,1-1 0,-1 1 0,2-6 0,3-4 0,-1-1 0,-1 0 0,0 0 0,-1 0 0,4-29 0,2-74 0,-9 107 0,-1-32 0,-1 31 0,1-1 0,1 1 0,3-20 0,-5 31 0,1 0 0,0-1 0,0 1 0,0 0 0,0 0 0,0-1 0,0 1 0,0 0 0,1 0 0,-1 0 0,0-1 0,0 1 0,0 0 0,0 0 0,0-1 0,0 1 0,0 0 0,0 0 0,1 0 0,-1-1 0,0 1 0,0 0 0,0 0 0,0 0 0,1 0 0,-1-1 0,0 1 0,0 0 0,0 0 0,1 0 0,-1 0 0,0 0 0,0 0 0,1 0 0,-1-1 0,0 1 0,0 0 0,1 0 0,-1 0 0,0 0 0,0 0 0,1 0 0,-1 0 0,0 0 0,0 1 0,1-1 0,-1 0 0,11 9 0,-8-5 0,5 2 0,0 0 0,0 0 0,0 0 0,0-1 0,1 0 0,0-1 0,0 0 0,0 0 0,0-1 0,1 0 0,0-1 0,-1 0 0,16 1 0,-20-2 0,1-1 0,-1 0 0,0-1 0,0 1 0,0-1 0,0 0 0,0 0 0,0-1 0,0 0 0,0 0 0,0 0 0,-1 0 0,1 0 0,-1-1 0,0 0 0,0 0 0,1 0 0,-2-1 0,1 1 0,0-1 0,-1 0 0,0 0 0,0 0 0,0-1 0,0 1 0,-1-1 0,3-5 0,-2 1 0,0 0 0,-1 0 0,0-1 0,0 1 0,-1 0 0,0-1 0,-1 1 0,0-1 0,0 1 0,-3-13 0,2 15 0,0-1 0,-1 1 0,0 0 0,0-1 0,0 1 0,-1 0 0,-1 1 0,1-1 0,-1 0 0,0 1 0,0 0 0,-1 0 0,-7-8 0,11 13 0,-1-1 0,0 0 0,0 1 0,0-1 0,0 1 0,0 0 0,0 0 0,-1 0 0,1 0 0,0 0 0,-1 0 0,1 0 0,0 1 0,-1-1 0,1 1 0,-1 0 0,1-1 0,-1 1 0,1 0 0,-4 1 0,3 0 0,0 0 0,0 0 0,0 1 0,0-1 0,0 1 0,0 0 0,0 0 0,1 0 0,-1 0 0,1 0 0,0 0 0,-1 1 0,-2 3 0,-2 5 0,0 0 0,0 0 0,1 1 0,1 0 0,0 0 0,-5 21 0,3-8 0,2 0 0,1-1 0,1 2 0,1-1 0,1 0 0,4 47 0,-1-62 0,-1 0 0,2 0 0,0-1 0,0 1 0,0 0 0,1-1 0,1 0 0,8 14 0,-8-17 0,0 0 0,-1-1 0,2 1 0,-1-1 0,1 0 0,-1-1 0,1 1 0,1-1 0,-1 0 0,1-1 0,-1 1 0,1-1 0,7 2 0,-3-2 0,0-1 0,0 0 0,0-1 0,0 0 0,0 0 0,0-1 0,0 0 0,0-1 0,0-1 0,0 0 0,0 0 0,0-1 0,0 0 0,-1-1 0,0 0 0,1-1 0,-2 0 0,13-8 0,-9 5 0,0-2 0,-1 1 0,0-2 0,0 1 0,-1-2 0,-1 0 0,0 0 0,0 0 0,-1-1 0,-1-1 0,0 0 0,8-21 0,-6 6 0,-2-1 0,-1-1 0,-2 1 0,-1-1 0,1-45 0,-5 74 0,0 0 0,-1-1 0,1 1 0,1 0 0,-1-1 0,0 1 0,1-1 0,-1 1 0,1 0 0,0 0 0,-1-1 0,1 1 0,0 0 0,0 0 0,1 0 0,-1 0 0,2-2 0,0 2 0,0 1 0,0 0 0,0 0 0,0 1 0,0-1 0,0 0 0,0 1 0,0 0 0,1 0 0,-1 0 0,4 0 0,0 0 0,7 0 0,-1-1 0,1 0 0,0-1 0,-1-1 0,1 0 0,-1-1 0,0 0 0,0-1 0,0-1 0,16-9 0,-21 10 0,-1 0 0,0-1 0,0 1 0,0-1 0,-1-1 0,0 1 0,0-1 0,-1 0 0,1 0 0,-2-1 0,1 1 0,-1-1 0,0 0 0,-1-1 0,0 1 0,0 0 0,2-13 0,-4 16 0,0-1 0,-1 1 0,0 0 0,0 0 0,0-1 0,-1 1 0,1 0 0,-1 0 0,-1 0 0,-2-10 0,3 13 0,0 0 0,0 0 0,0 0 0,0 0 0,-1 0 0,1 0 0,0 0 0,-1 0 0,1 0 0,-1 1 0,0-1 0,0 1 0,0-1 0,1 1 0,-1-1 0,-1 1 0,1 0 0,0 0 0,0 0 0,0 0 0,0 1 0,-1-1 0,1 1 0,0-1 0,-3 1 0,3 0 0,0 0 0,1 0 0,-1 0 0,0 0 0,0 1 0,1-1 0,-1 1 0,0-1 0,1 1 0,-1 0 0,0 0 0,1-1 0,-1 1 0,1 0 0,-1 1 0,1-1 0,0 0 0,0 0 0,-1 0 0,0 3 0,-2 1 0,1 0 0,0 0 0,0 0 0,-4 12 0,4-9 0,1-1 0,0 1 0,0 0 0,1-1 0,0 1 0,0 0 0,1 0 0,0 0 0,0 0 0,1 0 0,0 0 0,0 0 0,4 10 0,-3-13 0,0 1 0,0 0 0,1-1 0,0 0 0,0 1 0,0-1 0,1 0 0,0-1 0,0 1 0,0-1 0,0 1 0,1-1 0,-1-1 0,1 1 0,0-1 0,0 1 0,1-1 0,9 4 0,-4-4 0,1 0 0,-1 0 0,1-1 0,0-1 0,0 0 0,-1 0 0,1-2 0,0 1 0,0-1 0,0-1 0,-1 0 0,1 0 0,12-6 0,0 0 0,0-1 0,0-1 0,-1-2 0,-1 0 0,23-17 0,-31 20 0,-1-1 0,0 0 0,0-1 0,-1-1 0,-1 0 0,0 0 0,-1-1 0,0-1 0,-1 0 0,0 0 0,-1-1 0,-1 0 0,0 0 0,-1 0 0,-1-1 0,0 0 0,-1 0 0,-1-1 0,-1 1 0,0-1 0,-1-28 0,-4-9 0,-2 0 0,-14-65 0,-36-103 0,41 168 0,-3 0 0,-39-88 0,55 139 0,0 0 0,-1 0 0,0 0 0,0 1 0,1-1 0,-2 0 0,1 1 0,0-1 0,-1 1 0,1 0 0,-1 0 0,-2-2 0,4 3 0,1 1 0,-1 0 0,1 0 0,-1 0 0,1 0 0,-1 0 0,1 0 0,-1 0 0,1 0 0,-1 0 0,0 0 0,1 0 0,-1 0 0,1 0 0,-1 0 0,1 0 0,-1 1 0,1-1 0,-1 0 0,1 0 0,-1 1 0,1-1 0,0 0 0,-1 1 0,0 0 0,0 1 0,-1-1 0,1 1 0,-1 0 0,1 1 0,0-1 0,0 0 0,0 0 0,-1 5 0,-3 12 0,1 0 0,0 1 0,0 29 0,2 72 0,2-120 0,8 215-194,10 0 0,56 256 0,-70-444 194,3-1 0,0 0 0,1 0 0,18 36 0,-26-62 0,0 0 0,0 0 0,1 0 0,-1 0 0,1 0 0,-1 0 0,1 0 0,-1-1 0,1 1 0,-1 0 0,1 0 0,0-1 0,-1 1 0,1 0 0,0-1 0,0 1 0,0 0 0,-1-1 0,1 1 0,0-1 0,0 0 0,2 1 0,-3-2 0,1 1 0,-1-1 0,1 0 0,-1 1 0,0-1 0,1 0 0,-1 0 0,0 1 0,1-1 0,-1 0 0,0 0 0,0 0 0,0 0 0,1 0 0,-1 1 0,0-1 0,0 0 0,0 0 0,-1 0 0,1 0 0,0 1 0,0-1 0,-1-1 0,-11-46-1268,-10-10-5073</inkml:trace>
  <inkml:trace contextRef="#ctx0" brushRef="#br0" timeOffset="3414.72">9099 801 24575,'0'1'0,"0"0"0,1 0 0,-1 1 0,0-1 0,1 0 0,0 0 0,-1 1 0,1-1 0,0 0 0,-1 0 0,1 0 0,0 0 0,0 0 0,0 0 0,0 0 0,0 0 0,0 0 0,0 0 0,0-1 0,0 1 0,1 0 0,-1-1 0,2 1 0,34 12 0,-32-12 0,11 3 0,0 0 0,0-2 0,0 1 0,0-2 0,0 0 0,1-1 0,-1-1 0,0-1 0,23-4 0,-27 3 0,0-1 0,-1 0 0,1-1 0,-1 0 0,0-1 0,0 0 0,-1-1 0,1 0 0,-1 0 0,-1-1 0,0 0 0,0-1 0,8-11 0,-7 8 0,-1 0 0,-1-1 0,0 0 0,0-1 0,-2 1 0,0-1 0,0-1 0,-1 1 0,-1-1 0,0 0 0,-1 0 0,-1 0 0,1-30 0,-8 19 0,5 26 0,0 0 0,0 0 0,0-1 0,0 1 0,0 0 0,0 0 0,-1 0 0,1 0 0,0 0 0,0 0 0,0-1 0,0 1 0,0 0 0,0 0 0,0 0 0,-1 0 0,1 0 0,0 0 0,0 0 0,0 0 0,0 0 0,-1 0 0,1-1 0,0 1 0,0 0 0,0 0 0,0 0 0,-1 0 0,1 0 0,0 0 0,0 0 0,0 0 0,0 0 0,-1 0 0,1 1 0,0-1 0,0 0 0,0 0 0,0 0 0,0 0 0,-1 0 0,1 0 0,0 0 0,0 0 0,0 0 0,0 0 0,0 1 0,0-1 0,-1 0 0,1 0 0,0 0 0,0 0 0,0 0 0,0 0 0,0 1 0,0-1 0,0 0 0,0 0 0,0 0 0,0 0 0,0 1 0,0-1 0,0 0 0,-3 5 0,1 0 0,0 1 0,0-1 0,1 0 0,0 1 0,0-1 0,0 1 0,0 5 0,1 49 0,1-52 0,0 0 0,0 0 0,0-1 0,1 1 0,0 0 0,1 0 0,0-1 0,0 0 0,1 1 0,-1-1 0,8 8 0,-3-4 0,1-1 0,0 0 0,0-1 0,1 0 0,1 0 0,12 8 0,55 28 0,-60-36 0,-1 0 0,0 1 0,0 2 0,-1-1 0,0 2 0,21 21 0,-35-32 0,0 1 0,0-1 0,0 1 0,0 0 0,0 0 0,-1 0 0,1 0 0,-1 0 0,0 0 0,0 0 0,0 0 0,0 1 0,0-1 0,-1 0 0,1 0 0,-1 1 0,0-1 0,0 0 0,-1 1 0,1-1 0,0 0 0,-1 1 0,0-1 0,0 0 0,0 0 0,0 0 0,-1 1 0,1-1 0,-1-1 0,1 1 0,-1 0 0,0 0 0,-5 4 0,-2 2 0,0 0 0,-1 0 0,0-1 0,0-1 0,-1 0 0,0 0 0,-18 7 0,-79 34 30,-68 34-1425,103-43-5431</inkml:trace>
  <inkml:trace contextRef="#ctx0" brushRef="#br0" timeOffset="3740.69">6980 2917 24575,'11'0'0,"-1"0"0,1-1 0,-1-1 0,1 1 0,-1-2 0,20-6 0,-10 3 0,123-42 0,74-31-829,63-28-2486,1184-532 223,-1107 456 3092,-57 28 0,-80 33 254,-92 37 763,-98 59-794,-30 25-222,0 1 0,0 0 0,1 0 0,-1 0 0,0 0 0,0-1 0,1 1 0,-1 0 0,0 0 0,0 0 0,0-1 0,1 1 0,-1 0 0,0 0 0,0-1 0,0 1 0,0 0 0,0 0 0,0-1 0,0 1 0,1 0 0,-1-1 0,0 1 0,0 0 0,0 0 0,0-1 0,0 1 0,0 0 0,0-1 0,-1 1 0,1 0 0,0 0 0,0-1 0,0 1 0,0 0 0,0-1 0,0 1 0,0 0 1,-1 0-1,1-1 0,0 1 0,0 0 0,0 0 0,-1-1 0,-5 1-3,1 0 0,-1 0 0,0 1 0,1 0 0,-1 0 1,0 0-1,-10 4 0,-205 73 36,3 22 305,116-53-99,-145 66-653,16-7-2267</inkml:trace>
  <inkml:trace contextRef="#ctx0" brushRef="#br0" timeOffset="4053.95">7495 2886 24575,'22'-16'0,"45"-23"0,76-25 0,86-41 0,85-35-7833,76-20 7833,48-12 0,22-3 0,-20 12 0,-68 34 0,-97 27 0,-100 32 1451,-92 27-1451,-70 21 1380,-48 15-1380,-19 13 0,6 6 0,11 2-3189</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8:31.233"/>
    </inkml:context>
    <inkml:brush xml:id="br0">
      <inkml:brushProperty name="width" value="0.035" units="cm"/>
      <inkml:brushProperty name="height" value="0.035" units="cm"/>
      <inkml:brushProperty name="color" value="#E71224"/>
    </inkml:brush>
  </inkml:definitions>
  <inkml:trace contextRef="#ctx0" brushRef="#br0">2106 8632 24575,'-1'-8'0,"0"-1"0,0 0 0,0 0 0,-1 0 0,0 1 0,-1-1 0,0 1 0,-1-1 0,1 1 0,-2 0 0,-8-13 0,-3-1 0,-1 1 0,-31-29 0,-37-34 0,-5 4 0,-100-69 0,162 131 0,0 2 0,-1 0 0,-1 2 0,0 1 0,-1 2 0,0 1 0,-60-11 0,46 14 0,0 3 0,0 1 0,-1 2 0,1 3 0,-52 7 0,66-3 0,1 1 0,-1 1 0,2 2 0,-1 1 0,1 1 0,1 1 0,0 2 0,-47 33 0,30-13 0,1 1 0,1 2 0,-73 86 0,80-77 3,2 1 0,3 2-1,1 1 1,2 1 0,3 2-1,-25 78 1,5 18-120,-30 184-1,-3 224-1022,70-413 1170,18 275 1,-5-366-55,3 0 0,3 0 0,1-1 0,3 0 1,44 99-1,-43-119 10,1-1-1,2 0 1,1-2 0,2 0-1,1-1 1,1-1 0,1-2 0,1 0-1,53 39 1,-37-38-87,1-1 0,1-2-1,1-2 1,1-2 0,78 22 0,-33-18-275,2-5 0,96 9 0,-85-19 163,-1-5 0,1-3-1,0-6 1,-1-4 0,0-4 0,-1-5 0,144-45-1,-185 43 214,-1-2 0,-1-4 0,-1-1 0,70-47 0,-91 49 0,-1-1 0,-1-3 0,-1 0 0,-1-2 0,-2-2 0,51-70 0,-54 60 13,-1-2-1,-3 0 0,-2-2 0,19-55 0,-18 31 81,-4-1-1,14-92 1,-4-155-110,-21 3-809,-8 273 615,-6-875-11,-16 537 222,14 309 0,-3 1 0,-4 0 0,-28-84 0,32 124 75,-1 0 1,-2 1-1,-1 1 0,-1 0 1,-1 1-1,-2 0 1,-1 2-1,-1 0 0,-1 1 1,-1 2-1,-1 0 1,-1 1-1,-1 2 1,-1 0-1,-38-20 0,9 12-75,0 1 0,-2 4 0,-1 1 0,0 4 0,-65-12 0,14 11 0,-215-10 0,245 27 0,1 4 0,0 3 0,-137 28 0,169-22 0,1 2 0,0 2 0,1 1 0,1 3 0,0 2 0,2 2 0,-60 42 0,53-27 141,1 3 0,2 2 0,-59 71 0,53-49 159,3 2 1,-44 81-1,67-99 226,3 0 1,2 2-1,3 0 0,-19 77 0,27-68-1391,7-15-5804</inkml:trace>
  <inkml:trace contextRef="#ctx0" brushRef="#br0" timeOffset="1003.06">6049 5585 24575,'1'-3'0,"-1"1"0,1-1 0,-1 0 0,1 1 0,0-1 0,0 1 0,0-1 0,1 1 0,-1-1 0,0 1 0,1 0 0,2-3 0,-2 2 0,0 1 0,0 0 0,-1 0 0,1-1 0,-1 1 0,0-1 0,0 0 0,0 1 0,0-1 0,0 0 0,0-3 0,-1 6 0,0-1 0,0 1 0,0 0 0,0-1 0,0 1 0,0-1 0,0 1 0,0 0 0,0-1 0,0 1 0,0-1 0,0 1 0,0 0 0,-1-1 0,1 1 0,0 0 0,0-1 0,0 1 0,-1 0 0,1-1 0,0 1 0,-1 0 0,1-1 0,0 1 0,-1 0 0,1 0 0,0-1 0,-1 1 0,1 0 0,0 0 0,-1 0 0,1 0 0,0-1 0,-1 1 0,1 0 0,-1 0 0,1 0 0,0 0 0,-1 0 0,1 0 0,-1 0 0,1 0 0,0 0 0,-1 0 0,1 0 0,-1 0 0,1 1 0,0-1 0,-1 0 0,1 0 0,-1 0 0,1 0 0,0 1 0,-1-1 0,1 0 0,-28 16 0,-6 10 0,0 1 0,-50 55 0,21-21 0,-168 158-167,-248 239-757,17 16 320,426-434 604,-52 53 0,84-90 10,-28 22 248,31-24-319,0 0 0,0 0-1,-1-1 1,1 1-1,-1 0 1,1-1 0,-1 1-1,1-1 1,-1 0-1,1 0 1,-1 1 0,1-1-1,-1 0 1,1 0-1,-1-1 1,1 1 0,-1 0-1,1 0 1,-1-1-1,1 1 1,-2-1 0,-15-15-5353</inkml:trace>
  <inkml:trace contextRef="#ctx0" brushRef="#br0" timeOffset="1440.16">4575 6420 24575,'-2'-46'0,"2"45"0,0 1 0,0 0 0,0-1 0,0 1 0,0-1 0,0 1 0,0-1 0,0 1 0,-1-1 0,1 1 0,0 0 0,0-1 0,0 1 0,-1-1 0,1 1 0,0 0 0,0-1 0,-1 1 0,1-1 0,0 1 0,-1 0 0,1-1 0,0 1 0,-1 0 0,1 0 0,0-1 0,-1 1 0,1 0 0,-1 0 0,1 0 0,-1 0 0,1-1 0,0 1 0,-1 0 0,0 0 0,0 1 0,-1-1 0,1 1 0,0 0 0,0 0 0,0 0 0,0 0 0,0 0 0,0 0 0,0 0 0,0 0 0,0 0 0,0 0 0,0 2 0,-15 26 0,2 1 0,2 0 0,-14 46 0,12-34 0,-20 61 0,-64 170 0,92-259 0,-4 8 0,1 1 0,-12 46 0,20-68 0,0 1 0,1 0 0,0 0 0,0 0 0,-1 0 0,1-1 0,0 1 0,0 0 0,1 0 0,-1 0 0,0 0 0,1 0 0,-1-1 0,1 1 0,-1 0 0,1 0 0,0-1 0,0 1 0,0 0 0,0-1 0,0 1 0,0-1 0,0 1 0,0-1 0,1 0 0,-1 1 0,1-1 0,-1 0 0,1 0 0,-1 0 0,1 0 0,0 0 0,-1 0 0,1-1 0,0 1 0,2 0 0,6 1 0,0 0 0,0-1 0,0-1 0,0 1 0,15-3 0,-16 2 0,77-5 0,107-3 0,-123 8-1365,-13-2-5461</inkml:trace>
  <inkml:trace contextRef="#ctx0" brushRef="#br0" timeOffset="3623.03">6820 3276 24575,'-8'-11'0,"0"0"0,-11-21 0,18 31 0,1 0 0,-1-1 0,1 1 0,-1 0 0,1 0 0,0-1 0,-1 1 0,1 0 0,0-1 0,0 1 0,0 0 0,0-1 0,0 0 0,5 2 0,4 12 0,8 20 0,-1 0 0,18 54 0,-34-85 0,234 733-1415,-208-644 1368,97 360 47,-17-64 0,-99-360 0,4 16 0,2 0 0,2 0 0,1-1 0,25 44 0,-36-78 56,0 0 0,0 0 0,0 0 0,9 9 0,-13-15-97,0 0-1,0 0 1,0 0 0,0 0 0,1 0 0,-1 0-1,0 0 1,0 0 0,0-1 0,1 1-1,-1 0 1,0-1 0,1 1 0,-1-1-1,1 0 1,-1 1 0,1-1 0,-1 0 0,0 0-1,1 0 1,-1 0 0,1 0 0,-1 0-1,1 0 1,-1-1 0,1 1 0,-1 0-1,0-1 1,1 1 0,-1-1 0,0 0 0,1 1-1,0-2 1,14-16-5566</inkml:trace>
  <inkml:trace contextRef="#ctx0" brushRef="#br0" timeOffset="4045.36">7557 4334 24575,'0'-4'0,"-1"-26"0,8-53 0,-6 75 0,1 0 0,0 0 0,0 0 0,1 0 0,0 1 0,0-1 0,1 1 0,0-1 0,0 1 0,10-12 0,-12 17 0,0-1 0,1 1 0,-1-1 0,0 1 0,1 0 0,-1 0 0,1 0 0,0 0 0,0 1 0,0-1 0,0 1 0,0 0 0,0-1 0,0 1 0,0 1 0,0-1 0,1 0 0,-1 1 0,0 0 0,1-1 0,-1 1 0,0 1 0,0-1 0,6 1 0,-4 1 0,1 0 0,-1 1 0,0-1 0,0 1 0,-1 0 0,1 0 0,-1 0 0,1 1 0,-1-1 0,0 1 0,0 0 0,-1 0 0,1 1 0,2 4 0,8 13 0,-1 1 0,-1 0 0,-1 0 0,9 32 0,25 103 0,-35-120 0,-2 0 0,-2 1 0,-1 0 0,0 53 0,-6-90 0,-2-11 0,-1-22 0,-6-576 0,12 584 0,4-33 0,-5 55 0,-1-1 0,0 1 0,0-1 0,0 1 0,0 0 0,1-1 0,-1 1 0,1 0 0,-1-1 0,1 1 0,0 0 0,-1 0 0,1-1 0,0 1 0,0 0 0,0 0 0,0 0 0,0 0 0,0 0 0,0 0 0,2-1 0,-2 3 0,0-1 0,1 0 0,-1 1 0,0-1 0,1 1 0,-1 0 0,0-1 0,0 1 0,0 0 0,0 0 0,0-1 0,1 1 0,-2 0 0,1 0 0,0 0 0,0 1 0,0-1 0,0 0 0,-1 0 0,2 3 0,13 18 0,-2 2 0,-1 0 0,19 51 0,16 85 0,-33-104 0,3 0 0,29 64 0,-41-109-151,0 0-1,1-1 0,0 0 0,1 0 1,1 0-1,-1-1 0,1 0 1,14 12-1,8-2-6674</inkml:trace>
  <inkml:trace contextRef="#ctx0" brushRef="#br0" timeOffset="4374.96">8455 3725 24575,'0'-1'0,"0"1"0,0-1 0,0 0 0,0 0 0,0 0 0,0 0 0,0 1 0,0-1 0,0 0 0,-1 0 0,1 0 0,0 1 0,0-1 0,-1 0 0,1 0 0,-1 1 0,1-1 0,0 0 0,-1 1 0,1-1 0,-1 0 0,0 1 0,1-1 0,-1 1 0,-1-2 0,1 2 0,0 0 0,0 0 0,0 0 0,0 0 0,0 0 0,0 0 0,0 0 0,0 0 0,0 0 0,0 0 0,0 1 0,-1-1 0,1 0 0,0 1 0,0-1 0,-1 2 0,-6 2 0,1 1 0,0 1 0,-12 9 0,-2 5 0,0 1 0,1 1 0,1 1 0,1 0 0,-17 30 0,33-49 0,0-1 0,0 1 0,1 0 0,-1 1 0,1-1 0,0 0 0,0 0 0,0 1 0,0-1 0,1 1 0,0-1 0,0 0 0,0 1 0,0-1 0,2 7 0,-1-7 0,1-1 0,-1 1 0,1-1 0,0 0 0,0 0 0,0 0 0,0 0 0,0 0 0,1 0 0,-1-1 0,1 1 0,0-1 0,0 0 0,0 0 0,0 0 0,0 0 0,0 0 0,6 2 0,5 2 0,0-1 0,1-1 0,0 0 0,0-1 0,15 1 0,80 2 0,3 0 0,-98-4 0,-1 0 0,1 1 0,-1 1 0,0 0 0,21 10 0,-32-12 0,0-1 0,1 1 0,-1-1 0,-1 1 0,1 0 0,0 0 0,0 0 0,-1 1 0,1-1 0,-1 1 0,0-1 0,0 1 0,0 0 0,0 0 0,0-1 0,-1 1 0,1 1 0,1 3 0,-2-2 0,-1-1 0,0 0 0,0 1 0,0-1 0,0 0 0,0 1 0,-1-1 0,0 0 0,0 1 0,0-1 0,-1 0 0,1 0 0,-5 7 0,2-2 0,-1-1 0,0 0 0,-1 0 0,0 0 0,0 0 0,-1-1 0,0 0 0,0-1 0,0 1 0,-1-1 0,0-1 0,-9 6 0,5-5 0,-1 0 0,1-1 0,-1 0 0,0-1 0,0 0 0,0-1 0,-28 3 0,37-6 5,-1 0 0,0 0 0,1 0-1,-1 0 1,1-1 0,-1 1 0,1-1-1,-1 0 1,1-1 0,-1 1 0,1-1 0,0 0-1,0 0 1,0 0 0,0 0 0,0-1-1,0 0 1,1 1 0,-7-7 0,4 1-168,1 0 1,0 0 0,0 0-1,0 0 1,1-1 0,1 1 0,-1-1-1,-2-14 1,-12-56-6664</inkml:trace>
  <inkml:trace contextRef="#ctx0" brushRef="#br0" timeOffset="4992.15">8777 3692 24575,'0'1'0,"0"0"0,1 0 0,-1 0 0,1 0 0,0 0 0,-1-1 0,1 1 0,0 0 0,-1 0 0,1-1 0,0 1 0,0 0 0,-1-1 0,1 1 0,0-1 0,0 1 0,0-1 0,0 0 0,0 1 0,0-1 0,0 0 0,0 0 0,0 1 0,2-1 0,27 4 0,-19-3 0,0 0 0,1-1 0,-1 0 0,0-1 0,1 0 0,-1-1 0,0-1 0,0 1 0,0-2 0,0 0 0,-1 0 0,1 0 0,-1-2 0,0 1 0,-1-1 0,1-1 0,-1 1 0,0-2 0,-1 1 0,0-1 0,0 0 0,-1-1 0,0 0 0,7-12 0,-7 10 0,-2-1 0,0 1 0,0-1 0,-1 0 0,-1-1 0,0 1 0,0-1 0,-1 1 0,0-20 0,-2 26 0,0-1 0,0 0 0,0 1 0,-1-1 0,0 0 0,-1 1 0,1 0 0,-1-1 0,0 1 0,-1 0 0,0 0 0,0 0 0,0 0 0,0 0 0,-1 1 0,0 0 0,0-1 0,-1 2 0,-9-10 0,10 11 0,1 1 0,0 0 0,-1 0 0,0 0 0,1 0 0,-1 1 0,0-1 0,0 1 0,0 0 0,0 0 0,0 1 0,0-1 0,0 1 0,0 0 0,-8 0 0,7 1 0,-1 0 0,1 1 0,0-1 0,-1 1 0,1 0 0,0 1 0,0-1 0,0 1 0,1 0 0,-8 6 0,2 0 0,0 0 0,1 1 0,0 0 0,1 0 0,0 1 0,0 1 0,1-1 0,-10 25 0,11-23 0,1 1 0,1-1 0,1 1 0,0 0 0,0 0 0,2 1 0,-1-1 0,2 0 0,2 27 0,-1-31 0,1 1 0,1-1 0,-1 0 0,2 0 0,-1 0 0,1 0 0,1-1 0,0 0 0,0 0 0,1 0 0,0 0 0,1-1 0,-1 0 0,11 9 0,0-3 0,0-1 0,1-1 0,0-1 0,1 0 0,0-1 0,1-1 0,0-1 0,0-1 0,1-1 0,30 5 0,-39-9 0,1 0 0,0-1 0,0-1 0,-1 0 0,1 0 0,0-1 0,-1-1 0,1-1 0,-1 1 0,1-2 0,-1 0 0,0 0 0,0-1 0,-1-1 0,0 0 0,1 0 0,-2-1 0,1-1 0,9-8 0,-7 4 0,-1 0 0,-1-1 0,0 0 0,-1 0 0,0-1 0,-1-1 0,-1 1 0,0-2 0,-1 1 0,-1-1 0,0 0 0,-1 0 0,-1 0 0,3-20 0,-2-23 0,-3 0 0,-2 0 0,-11-78 0,4 66 0,4-103 0,3 167 0,1 1 0,0-1 0,0 0 0,0 1 0,1-1 0,0 0 0,0 1 0,1 0 0,4-10 0,-6 15 0,0-1 0,0 1 0,0 0 0,0 0 0,1 0 0,-1 0 0,0 0 0,0 0 0,1 0 0,-1 0 0,1 0 0,-1 0 0,1 1 0,-1-1 0,1 0 0,2 0 0,-1 1 0,-1 0 0,0 0 0,1 0 0,-1 1 0,1-1 0,-1 1 0,1-1 0,-1 1 0,0 0 0,1 0 0,-1 0 0,0 0 0,0 0 0,3 2 0,6 5 0,1 0 0,-1 2 0,-1-1 0,0 1 0,0 1 0,9 12 0,47 77 0,-48-69 0,21 50 0,-35-70 0,0-1 0,0 1 0,-1 0 0,-1 1 0,0-1 0,0 0 0,-1 1 0,-1 17 0,0-27 0,0 0 0,0 0 0,0 0 0,-1 0 0,1 0 0,0 0 0,-1 0 0,1 0 0,-1-1 0,0 1 0,0 0 0,0 0 0,0 0 0,0-1 0,0 1 0,0 0 0,0-1 0,-1 1 0,1-1 0,-1 0 0,1 1 0,-1-1 0,1 0 0,-1 0 0,0 0 0,-2 1 0,1-2 0,1 1 0,0-1 0,0-1 0,-1 1 0,1 0 0,0 0 0,0-1 0,-1 1 0,1-1 0,0 0 0,0 0 0,0 0 0,0 0 0,0 0 0,0 0 0,0 0 0,0-1 0,0 1 0,1-1 0,-1 1 0,0-1 0,-2-3 0,-7-8 0,0-1 0,1 0 0,1 0 0,0-1 0,1 0 0,0-1 0,1 0 0,1 0 0,1 0 0,-7-31 0,10 33 0,1 1 0,0-1 0,0 0 0,1 0 0,1 0 0,1 0 0,0 1 0,0-1 0,2 1 0,-1-1 0,2 1 0,0 0 0,0 0 0,11-15 0,12-12-123,2 1-1,1 1 1,58-52-1,-58 60-747,39-41-5955</inkml:trace>
  <inkml:trace contextRef="#ctx0" brushRef="#br0" timeOffset="5242.85">9995 1994 24575,'-11'0'0,"-3"6"0,0 11 0,14 16 0,6 22 0,25 30 0,6 33 0,8 24 0,-3 9 0,-9-4 0,6-5 0,-3-17 0,3-28 0,-6-21 0,3-23 0,-4-42 0,-9-23-8191</inkml:trace>
  <inkml:trace contextRef="#ctx0" brushRef="#br0" timeOffset="5381.23">10058 2700 24575,'0'-11'0,"6"-4"0,12-10 0,14-1 0,13-12 0,10-16 0,6 1 0,14-18 0,-5 3-8191</inkml:trace>
  <inkml:trace contextRef="#ctx0" brushRef="#br0" timeOffset="5953.96">11213 1416 24575,'1'13'0,"0"0"0,1 0 0,0-1 0,1 1 0,6 16 0,0 2 0,171 732 0,-134-578 0,-34-159 0,-12-26 0,0 0 0,0 0 0,0 0 0,0 0 0,0-1 0,0 1 0,0 0 0,0 0 0,0 0 0,0 0 0,0 0 0,0 0 0,0 0 0,0 0 0,0 0 0,0 0 0,0 0 0,0 0 0,0 0 0,1 0 0,-1 0 0,0 0 0,0 0 0,0 0 0,0 0 0,0 0 0,0 0 0,0 0 0,0 0 0,0 0 0,0 0 0,0 0 0,0 0 0,1 0 0,-1 0 0,0 0 0,0 0 0,0 0 0,0 0 0,0 0 0,0 0 0,0 0 0,0 0 0,0 0 0,0 0 0,0 0 0,0 0 0,0 0 0,0 0 0,0 0 0,1 0 0,-1 0 0,0 0 0,0 0 0,0 0 0,0 1 0,0-1 0,0 0 0,0 0 0,0 0 0,0 0 0,0 0 0,0 0 0,0 0 0,0 0 0,0 0 0,0 0 0,-2-15 0,-35-116 0,21 78 0,-36-109-133,-30-110-382,60 187 357,-13-105 0,33 178 158,1 0 0,0 0 0,1 0 0,0 0 0,2-13 0,-2 24 0,0 0 0,1 0 0,-1-1 0,0 1 0,0 0 0,0 0 0,1 0 0,-1 0 0,1 0 0,-1 0 0,1-1 0,-1 1 0,1 0 0,0 0 0,-1 1 0,1-1 0,0 0 0,0 0 0,0 0 0,-1 0 0,1 1 0,0-1 0,0 0 0,0 1 0,0-1 0,0 1 0,0-1 0,1 1 0,-1-1 0,0 1 0,0 0 0,0 0 0,0 0 0,2-1 0,2 2 0,-1 0 0,0 0 0,0 1 0,0-1 0,0 1 0,0 0 0,0 0 0,4 3 0,128 92 0,-29-19 0,-48-38 161,2-4-1,68 30 1,-99-52-92,2-2 0,-1-1 0,1-2 0,1-1-1,-1-2 1,51 4 0,-73-9-69,-1-1 0,1 0 0,0-1 0,-1 0 0,1-1 0,-1 0 0,1 0 0,13-7 0,-20 8 0,1-1 0,-1 1 0,0-1 0,1 0 0,-1-1 0,0 1 0,-1 0 0,1-1 0,0 0 0,-1 1 0,1-1 0,-1 0 0,0 0 0,0-1 0,0 1 0,0 0 0,-1-1 0,1 1 0,-1-1 0,0 1 0,0-1 0,0 0 0,0-7 0,-1 2 0,0 1 0,0-1 0,-1 1 0,-1-1 0,1 1 0,-1-1 0,-4-7 0,-27-62 0,26 62 0,-36-75 0,-53-122-247,-45-166-717,57 148 691,30 100 273,50 121 0,-1 1 0,0-1 0,0 1 0,-12-14 0,17 22 0,-1 0 0,1 1 0,-1-1 0,0 1 0,1-1 0,-1 1 0,1-1 0,-1 1 0,0 0 0,0-1 0,1 1 0,-1 0 0,0-1 0,1 1 0,-1 0 0,-1 0 0,2 0 0,-1 0 0,1 0 0,0 0 0,-1 0 0,1 0 0,-1 0 0,1 1 0,0-1 0,-1 0 0,1 0 0,0 0 0,0 1 0,-1-1 0,1 0 0,0 1 0,-1-1 0,1 0 0,0 0 0,0 1 0,0-1 0,-1 0 0,1 1 0,0-1 0,0 0 0,0 1 0,0 0 0,-2 4-7,1 1 0,1-1 0,-1 1 0,1-1 0,0 1 1,0-1-1,1 1 0,1 6 0,10 49 316,12 13-684,5-9-6204</inkml:trace>
  <inkml:trace contextRef="#ctx0" brushRef="#br0" timeOffset="6720.13">12208 1000 24575,'-1'0'0,"1"0"0,-1 0 0,1 0 0,-1 0 0,1 0 0,0 0 0,-1 0 0,1 0 0,-1 0 0,1 0 0,0 0 0,-1 0 0,1 0 0,-1 1 0,1-1 0,0 0 0,-1 0 0,1 0 0,0 1 0,-1-1 0,1 0 0,0 0 0,-1 1 0,1-1 0,0 1 0,0-1 0,0 1 0,0-1 0,0 1 0,0-1 0,1 0 0,-1 1 0,0-1 0,0 1 0,1-1 0,-1 0 0,0 1 0,1-1 0,-1 0 0,0 1 0,1-1 0,-1 0 0,0 0 0,1 1 0,-1-1 0,1 0 0,-1 0 0,0 0 0,1 0 0,-1 1 0,1-1 0,-1 0 0,1 0 0,0 0 0,7 2 0,1 1 0,-1-2 0,1 1 0,0-1 0,0 0 0,-1-1 0,1 0 0,0-1 0,0 0 0,0 0 0,-1-1 0,1 0 0,10-4 0,-14 5 0,-1-1 0,1 0 0,-1-1 0,1 1 0,-1-1 0,0 0 0,0 0 0,0 0 0,-1-1 0,1 1 0,-1-1 0,0 0 0,0 0 0,0 0 0,0 0 0,-1 0 0,0-1 0,0 1 0,0-1 0,0 0 0,-1 1 0,1-1 0,-1 0 0,-1 0 0,1-6 0,-1 2 0,0-1 0,-1 0 0,0 1 0,-1 0 0,0-1 0,0 1 0,-1 0 0,-1 0 0,1 0 0,-1 0 0,-1 1 0,-7-12 0,8 14 0,0 1 0,-1 0 0,1 0 0,-1 0 0,0 0 0,0 1 0,-1 0 0,-5-4 0,7 6 0,1 0 0,-1 0 0,1 1 0,-1 0 0,0-1 0,0 1 0,0 1 0,1-1 0,-1 0 0,0 1 0,0 0 0,0 0 0,0 0 0,-5 1 0,5 0 0,1 0 0,-1 0 0,1 1 0,-1-1 0,1 1 0,-1 0 0,1 0 0,0 0 0,0 0 0,0 0 0,0 1 0,1-1 0,-1 1 0,0 0 0,1 0 0,0 0 0,0 0 0,0 0 0,0 0 0,-3 7 0,0 5 0,0-1 0,1 1 0,-4 27 0,4-22 0,2 0 0,1 1 0,0-1 0,1 1 0,2-1 0,0 0 0,1 0 0,1 0 0,11 34 0,-11-42 0,1-1 0,0 1 0,1-1 0,0 0 0,1 0 0,0-1 0,1 0 0,0 0 0,0-1 0,1 0 0,1-1 0,-1 0 0,1 0 0,1-1 0,-1 0 0,1-1 0,13 6 0,-9-6 0,-1-1 0,1 0 0,0-1 0,0-1 0,0-1 0,0 0 0,1 0 0,-1-2 0,1 0 0,-1-1 0,0 0 0,1-1 0,-1-1 0,20-6 0,-24 5 0,-1 0 0,1-1 0,-1 0 0,0 0 0,0-1 0,-1 0 0,0-1 0,0 0 0,0-1 0,-1 0 0,0 0 0,0 0 0,-1-1 0,-1 0 0,1-1 0,-1 0 0,-1 0 0,0 0 0,0 0 0,3-13 0,-2 1 0,-1 0 0,-1 0 0,-1 0 0,0-1 0,-2 1 0,-1 0 0,-1-1 0,-4-27 0,3 40 0,0 0 0,-7-18 0,8 25 0,0 1 0,0-1 0,0 1 0,-1 0 0,1 0 0,0 0 0,-1 0 0,0 0 0,1 0 0,-1 0 0,0 0 0,0 1 0,0-1 0,0 0 0,-4-1 0,6 3 0,-1-1 0,0 1 0,1 0 0,-1 0 0,1 0 0,-1-1 0,0 1 0,1 0 0,-1 0 0,0 0 0,1 0 0,-1 0 0,0 0 0,1 0 0,-1 0 0,0 1 0,1-1 0,-1 0 0,0 0 0,1 0 0,-1 1 0,1-1 0,-1 0 0,0 1 0,1-1 0,-1 0 0,1 1 0,-1-1 0,1 1 0,-1-1 0,1 1 0,0-1 0,-1 1 0,1-1 0,0 1 0,-1 0 0,0 2 0,0-1 0,1 0 0,-1 0 0,1 0 0,-1 0 0,1 0 0,0 1 0,0-1 0,0 0 0,0 0 0,0 0 0,1 3 0,2 5 0,0 0 0,1 0 0,0-1 0,1 1 0,0-1 0,0 0 0,1-1 0,0 1 0,1-1 0,-1 0 0,2 0 0,-1-1 0,15 11 0,-2-3 0,0-1 0,0-1 0,1-1 0,44 18 0,-58-27 0,1 0 0,1 0 0,-1-1 0,0 0 0,0 0 0,1-1 0,-1-1 0,1 1 0,-1-1 0,10-1 0,-13 0 0,0 0 0,-1-1 0,1 1 0,0-1 0,-1 0 0,0 0 0,1 0 0,-1-1 0,0 0 0,0 1 0,-1-1 0,1-1 0,-1 1 0,1 0 0,-1-1 0,0 0 0,0 0 0,0 0 0,2-5 0,2-5 0,0-1 0,-1 0 0,-1 0 0,0-1 0,-2 1 0,1-1 0,1-31 0,-3 13 0,-2 1 0,-7-59 0,6 82 0,1 5 0,-1-1 0,0 0 0,0 1 0,0-1 0,0 1 0,-1 0 0,0-1 0,0 1 0,-5-8 0,7 13 0,0 0 0,0 0 0,0 0 0,0 0 0,0 0 0,0 0 0,-1 0 0,1 0 0,0 0 0,0 0 0,0 1 0,0-1 0,0 0 0,0 0 0,0 0 0,0 0 0,0 0 0,0 0 0,0 0 0,0 0 0,0 0 0,-1 0 0,1 0 0,0 0 0,0 0 0,0 0 0,0 0 0,0 0 0,0 0 0,0 1 0,0-1 0,0 0 0,-1 0 0,1 0 0,0 0 0,0-1 0,0 1 0,0 0 0,0 0 0,0 0 0,0 0 0,0 0 0,0 0 0,-1 0 0,1 0 0,0 0 0,0 0 0,0 0 0,0 0 0,0 0 0,0 0 0,0 0 0,0 0 0,0-1 0,0 5 0,0 0 0,1 0 0,0 0 0,0-1 0,0 1 0,0 0 0,0-1 0,1 1 0,0-1 0,0 1 0,0-1 0,0 0 0,0 0 0,1 0 0,-1 0 0,1 0 0,0-1 0,-1 1 0,7 3 0,-1 0 0,-1 0 0,2-1 0,-1 0 0,0-1 0,1 0 0,0 0 0,15 4 0,-13-6 0,1 0 0,-1-1 0,1-1 0,-1 0 0,1 0 0,-1-1 0,1-1 0,-1 0 0,13-4 0,-3 0 0,0-2 0,-1 0 0,38-21 0,-44 20 0,1-1 0,-2-1 0,1 0 0,-1-1 0,-1-1 0,0 0 0,-1 0 0,-1-1 0,0 0 0,0-1 0,-2 0 0,0-1 0,0 0 0,-2 0 0,0 0 0,-1-1 0,6-33 0,-8 33 0,-1 1 0,0-1 0,-2 0 0,0 0 0,-1 0 0,0 0 0,-1 0 0,-1 0 0,-1 0 0,-1 1 0,0 0 0,-1 0 0,0 0 0,-2 1 0,0 0 0,0 0 0,-1 1 0,-15-18 0,17 24 0,-1 0 0,-1 0 0,1 0 0,-1 1 0,0 0 0,-20-10 0,26 15 0,-1 0 0,1 1 0,0 0 0,-1-1 0,1 1 0,-1 1 0,1-1 0,-1 0 0,1 1 0,-1 0 0,1 0 0,-1 0 0,0 0 0,1 0 0,-1 1 0,1 0 0,-1-1 0,1 1 0,-1 1 0,1-1 0,0 0 0,0 1 0,-1 0 0,1-1 0,-5 6 0,3-3 0,1 0 0,0 0 0,1 1 0,-1 0 0,1-1 0,0 1 0,0 1 0,0-1 0,-2 9 0,-14 55 0,17-59 0,-20 91-1365,3-3-5461</inkml:trace>
  <inkml:trace contextRef="#ctx0" brushRef="#br0" timeOffset="7276.68">10733 4943 24575,'-1'-16'0,"0"-1"0,-2 1 0,1 0 0,-2-1 0,-8-22 0,-1 4 0,-23-42 0,35 76 0,-5-12 0,-1 1 0,0 0 0,-1 0 0,-13-15 0,19 24 0,0 1 0,0 0 0,0 0 0,0 0 0,-1 0 0,1 0 0,-1 0 0,1 1 0,-1-1 0,0 1 0,1 0 0,-1 0 0,0 0 0,0 0 0,0 0 0,0 1 0,0-1 0,0 1 0,0 0 0,0 0 0,0 0 0,0 0 0,0 0 0,0 1 0,0-1 0,0 1 0,-5 2 0,0 1 0,1 0 0,-1 1 0,1 0 0,0 0 0,0 0 0,1 1 0,0 0 0,0 1 0,0-1 0,1 1 0,-9 13 0,2 2 0,0 0 0,-17 46 0,16-32 0,-9 41 0,19-62 0,1-1 0,0 1 0,0 0 0,2 0 0,1 27 0,0-39 0,0 1 0,-1 0 0,1-1 0,1 1 0,-1-1 0,0 1 0,1-1 0,0 0 0,0 1 0,0-1 0,0 0 0,0 0 0,0 0 0,1-1 0,0 1 0,-1-1 0,1 1 0,0-1 0,0 0 0,1 0 0,-1 0 0,0 0 0,1-1 0,-1 1 0,0-1 0,1 0 0,0 0 0,5 1 0,10 1 0,0-2 0,1 1 0,-1-2 0,27-3 0,-21 2 0,111-9 0,64-2 0,-180 12 0,34 3 0,-47-2 0,-1 0 0,0 1 0,0-1 0,0 1 0,0 0 0,0 1 0,0 0 0,9 5 0,-12-6 0,-1 0 0,-1-1 0,1 1 0,0 0 0,0 0 0,-1 0 0,1 0 0,-1 0 0,1 0 0,-1 0 0,0 1 0,0-1 0,0 0 0,0 1 0,-1-1 0,1 1 0,0-1 0,-1 1 0,0-1 0,0 1 0,0 0 0,0-1 0,0 1 0,0-1 0,0 1 0,-1-1 0,0 1 0,1-1 0,-1 1 0,0-1 0,0 0 0,0 1 0,-2 1 0,-3 7 0,0-2 0,0 1 0,-1 0 0,0-1 0,-17 16 0,-4-1 0,-1-1 0,-1-1 0,0-2 0,-2-1 0,-1-1 0,0-2 0,-1-1 0,0-2 0,-39 10 0,63-21 0,0 0 0,1 0 0,-1-1 0,0 0 0,0-1 0,0 0 0,1-1 0,-1 0 0,-19-4 0,26 4 0,0 0 0,1 0 0,-1 0 0,1-1 0,-1 1 0,1-1 0,-1 1 0,1-1 0,0 0 0,-1 0 0,1 0 0,0 0 0,0 0 0,1 0 0,-3-4 0,2 3 0,1 0 0,0 0 0,0-1 0,1 1 0,-1 0 0,0 0 0,1-1 0,0 1 0,0 0 0,0-1 0,0 1 0,1 0 0,-1 0 0,1-1 0,0 1 0,1-5 0,4-8-455,1 0 0,10-19 0,23-34-6371</inkml:trace>
  <inkml:trace contextRef="#ctx0" brushRef="#br0" timeOffset="7685.44">11246 4334 24575,'0'-8'0,"-2"-32"0,2 38 0,0-1 0,0 1 0,-1 0 0,0-1 0,1 1 0,-1 0 0,0-1 0,0 1 0,0 0 0,0 0 0,0 0 0,-2-2 0,3 4 0,-1-1 0,1 1 0,0 0 0,0 0 0,0 0 0,0 0 0,-1 0 0,1 0 0,0 0 0,0 0 0,0 0 0,-1 0 0,1 0 0,0 0 0,0 0 0,0 0 0,-1 0 0,1 0 0,0 0 0,0 0 0,0 0 0,-1 0 0,1 0 0,0 0 0,0 0 0,0 1 0,0-1 0,-1 0 0,1 0 0,0 0 0,0 0 0,0 0 0,0 0 0,0 1 0,-1-1 0,1 0 0,0 0 0,0 0 0,0 0 0,0 1 0,0-1 0,0 0 0,0 0 0,0 0 0,0 1 0,0-1 0,0 0 0,0 0 0,0 0 0,0 1 0,0-1 0,0 0 0,0 0 0,0 1 0,-4 15 0,1 0 0,1 0 0,0 0 0,2 0 0,0 1 0,3 27 0,-2-16 0,3 14 0,2 0 0,1-1 0,2 0 0,2 0 0,2-1 0,2 0 0,1-1 0,2-1 0,1 0 0,2-2 0,52 67 0,-66-94 0,0-1 0,0 0 0,1-1 0,0 1 0,0-2 0,1 1 0,12 6 0,-19-11 0,0-1 0,1 0 0,-1 0 0,1-1 0,0 1 0,-1 0 0,1-1 0,-1 0 0,1 1 0,0-1 0,-1 0 0,1 0 0,0-1 0,-1 1 0,1-1 0,0 1 0,-1-1 0,1 0 0,-1 0 0,1 0 0,-1 0 0,0 0 0,1 0 0,-1-1 0,0 1 0,0-1 0,0 0 0,0 0 0,0 0 0,0 0 0,0 0 0,-1 0 0,3-3 0,2-5 0,0 0 0,-1 0 0,1 0 0,-2 0 0,0-1 0,3-11 0,13-72 0,-4-54 0,-12 91 0,14-74 0,1 69 0,-18 57 0,1 1 0,0-1 0,1 1 0,-1 0 0,1-1 0,0 1 0,0 0 0,0 1 0,7-7 0,-8 9 0,-1 0 0,0 0 0,1 0 0,-1 0 0,0 1 0,1-1 0,-1 0 0,1 1 0,-1 0 0,1-1 0,-1 1 0,1 0 0,-1 0 0,1-1 0,-1 1 0,1 1 0,0-1 0,-1 0 0,1 0 0,-1 0 0,1 1 0,-1-1 0,1 1 0,1 0 0,3 2 0,-1 1 0,1-1 0,-1 1 0,8 7 0,-10-8 0,58 60 0,-46-45 0,1-1 0,1 0 0,31 23 0,-43-36 0,1-1 0,-1 0 0,0 0 0,1-1 0,0 1 0,0-1 0,-1 0 0,1 0 0,0-1 0,1 0 0,-1 0 0,0-1 0,0 1 0,0-1 0,0-1 0,1 1 0,-1-1 0,9-2 0,-8 1-195,-1 0 0,0-1 0,0 0 0,0 0 0,0 0 0,9-7 0,24-27-6631</inkml:trace>
  <inkml:trace contextRef="#ctx0" brushRef="#br0" timeOffset="8556.21">12208 4078 24575,'0'-10'0,"0"5"0,0 8 0,0 17 0,-1-15 0,1 1 0,0-1 0,1 0 0,-1 0 0,1 0 0,0 1 0,0-1 0,1 0 0,0 0 0,-1-1 0,2 1 0,-1 0 0,0-1 0,1 1 0,0-1 0,0 0 0,0 0 0,1 0 0,0 0 0,-1 0 0,1-1 0,0 0 0,1 0 0,-1 0 0,0 0 0,1-1 0,0 1 0,0-1 0,8 3 0,-7-4 0,0 0 0,0 0 0,0-1 0,0 0 0,0 0 0,1 0 0,-1-1 0,0 0 0,0 0 0,-1 0 0,1-1 0,0 0 0,0 0 0,-1 0 0,1-1 0,-1 1 0,0-2 0,0 1 0,0 0 0,0-1 0,0 0 0,-1 0 0,0 0 0,0-1 0,6-7 0,-5 5 0,0 0 0,-1 0 0,0 0 0,0 0 0,-1-1 0,0 1 0,0-1 0,0 0 0,-1 0 0,0 0 0,-1 0 0,0 0 0,0-1 0,-1 1 0,0 0 0,-1-1 0,1 1 0,-3-8 0,-1 2 0,-1 0 0,-1 1 0,0 0 0,0 0 0,-2 0 0,1 1 0,-2 0 0,1 0 0,-2 1 0,1 0 0,-20-16 0,23 22 0,0 1 0,-1-1 0,1 1 0,-1 1 0,0-1 0,0 1 0,0 0 0,0 1 0,0 0 0,-12-2 0,13 3 0,1 1 0,-1 0 0,1 0 0,0 0 0,-1 1 0,1 0 0,-1 0 0,1 0 0,0 1 0,0 0 0,0 0 0,0 0 0,0 1 0,0-1 0,-8 8 0,3-2 0,1 0 0,0 1 0,1 0 0,0 1 0,0 0 0,1 0 0,1 1 0,-1-1 0,2 2 0,-1-1 0,2 0 0,-5 17 0,6-19 0,0 1 0,1 0 0,0 0 0,1 0 0,0 0 0,1 0 0,0 0 0,0 1 0,1-1 0,0 0 0,1 0 0,0 0 0,1-1 0,0 1 0,7 15 0,-6-18 0,0 0 0,1 0 0,0 0 0,0-1 0,1 1 0,0-1 0,0 0 0,0-1 0,1 0 0,-1 0 0,1 0 0,0-1 0,16 7 0,-12-7 0,1 0 0,0-1 0,-1-1 0,1 0 0,0 0 0,1-1 0,-1-1 0,22-1 0,-10-2 0,0-1 0,0-2 0,-1 0 0,1-1 0,-2-1 0,1-2 0,-1 0 0,-1-1 0,24-16 0,-24 11 0,-1 0 0,0-2 0,-2 0 0,0-1 0,0-1 0,-2 0 0,-1-1 0,-1-1 0,19-38 0,-24 42 0,0-1 0,-2 0 0,0 0 0,-2-1 0,0 0 0,-1 0 0,-1 0 0,-1-1 0,0 1 0,-2 0 0,0-1 0,-5-29 0,4 45 0,1 0 0,-1 1 0,0-1 0,0 1 0,0-1 0,-1 1 0,0-1 0,1 1 0,-2 0 0,1 0 0,0 0 0,-1 0 0,0 0 0,-6-6 0,9 10 0,0 0 0,0 0 0,0 0 0,0 1 0,0-1 0,0 0 0,0 0 0,0 0 0,0 0 0,0 0 0,0 0 0,0 0 0,0 0 0,0 0 0,0 0 0,0 0 0,0 0 0,0 0 0,0 0 0,0 1 0,0-1 0,0 0 0,0 0 0,0 0 0,0 0 0,0 0 0,-1 0 0,1 0 0,0 0 0,0 0 0,0 0 0,0 0 0,0 0 0,0 0 0,0 0 0,0 0 0,0 0 0,0 0 0,0 0 0,10 8 0,-3-7 0,0 1 0,0-1 0,0 0 0,0-1 0,1 0 0,-1 0 0,0 0 0,0-1 0,0 0 0,0 0 0,13-5 0,2-1 0,-1-2 0,29-14 0,-41 18 0,0 0 0,0-1 0,0 0 0,-1 0 0,0-1 0,0 0 0,-1 0 0,0-1 0,0 0 0,-1 0 0,0-1 0,6-10 0,-10 14 0,0 0 0,0 0 0,0 0 0,0-1 0,-1 1 0,0 0 0,0-1 0,0 1 0,-1-1 0,1 1 0,-1-1 0,-1 1 0,1-1 0,-1 1 0,0-1 0,0 1 0,-1 0 0,1 0 0,-1-1 0,0 1 0,-1 0 0,1 1 0,-1-1 0,-5-6 0,4 5 0,0 1 0,-1 0 0,0 0 0,0 0 0,0 1 0,0-1 0,-1 1 0,0 1 0,0-1 0,0 1 0,0 0 0,0 0 0,-1 1 0,0-1 0,1 2 0,-1-1 0,0 1 0,0 0 0,1 0 0,-1 1 0,0 0 0,0 0 0,0 0 0,0 1 0,0 0 0,0 1 0,-7 2 0,1 0 0,1 0 0,0 1 0,-1 1 0,2 0 0,-1 1 0,1 0 0,0 1 0,0 0 0,1 1 0,0 0 0,1 0 0,0 1 0,-11 14 0,13-14 0,1 1 0,0 0 0,0 0 0,1 0 0,0 0 0,1 1 0,0 0 0,-3 19 0,6-24 0,1 0 0,-1 0 0,1 0 0,0 0 0,1 0 0,0-1 0,0 1 0,0 0 0,1 0 0,0-1 0,1 1 0,-1-1 0,1 0 0,0 0 0,1 0 0,7 11 0,-4-9 0,0-1 0,1 1 0,0-1 0,1 0 0,-1-1 0,1 0 0,1-1 0,-1 0 0,1 0 0,0 0 0,0-2 0,0 1 0,0-1 0,1-1 0,0 0 0,18 1 0,-11-1 0,1-2 0,-1 0 0,1-1 0,-1-1 0,1-1 0,-1-1 0,0 0 0,33-13 0,-23 5 0,0-2 0,-1 0 0,-1-2 0,-1-1 0,0-1 0,35-32 0,-46 36 0,0-1 0,-1 0 0,0-1 0,-2-1 0,0 0 0,0 0 0,-2-1 0,0 0 0,-1-1 0,-1 1 0,5-22 0,-5 5 0,-2 0 0,-1 1 0,-2-1 0,-1 0 0,-8-67 0,-45-172 0,-87-221-664,134 479 664,-2 0 0,-15-28 0,9 32 0,13 12 0,0 0 0,-1 0 0,1 0 0,0 0 0,0 0 0,-1 0 0,1 0 0,0 0 0,-1 0 0,1 0 0,0 0 0,-1 0 0,1 0 0,0 0 0,0 0 0,-1 1 0,1-1 0,0 0 0,-1 0 0,1 0 0,0 0 0,0 1 0,-1-1 0,1 0 0,0 0 0,0 0 0,0 1 0,-1-1 0,1 0 0,0 0 0,0 1 0,0-1 0,0 0 0,0 1 0,-2 5 0,1 0 0,0 0 0,0 0 0,0 1 0,1-1 0,1 11 0,4 36 0,2 0 0,22 82 0,4-5 0,6-2 0,5-2 0,62 125 0,-90-217 0,1-2 0,2 1 0,1-2 0,30 36 0,-48-65 16,-1 0-1,1 1 1,0-1 0,0 0 0,0 0 0,1-1 0,-1 1-1,0 0 1,1-1 0,-1 1 0,1-1 0,0 0-1,-1 1 1,1-2 0,0 1 0,0 0 0,0 0 0,-1-1-1,1 1 1,5-1 0,-7-1-3,1 1-1,-1 0 1,0-1 0,0 1-1,0-1 1,1 0 0,-1 1 0,0-1-1,0 0 1,0 0 0,0 0-1,0 0 1,-1 0 0,1 0-1,0 0 1,0 0 0,0-1-1,1-1 1,0-1 0,-1 1 0,0-1 0,0 1 0,0-1 0,0 0 0,0-6 0,-1-9-208,0-1 0,-2 1 0,0 0 0,-2 0 0,0 0 0,-9-25 0,-15-45-6631</inkml:trace>
  <inkml:trace contextRef="#ctx0" brushRef="#br0" timeOffset="8776.21">13233 2700 24575,'-22'0'0,"4"-17"0,22-21 0,36-16 0,40-19 0,33-21 0,14-4 0,1 3 0,-10 18 0,-24 33 0,-29 35 0,-37 30 0,-22 22 0,-24 15 0,-19-3 0,-4-10-8191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9:01.231"/>
    </inkml:context>
    <inkml:brush xml:id="br0">
      <inkml:brushProperty name="width" value="0.035" units="cm"/>
      <inkml:brushProperty name="height" value="0.035" units="cm"/>
      <inkml:brushProperty name="color" value="#E71224"/>
    </inkml:brush>
  </inkml:definitions>
  <inkml:trace contextRef="#ctx0" brushRef="#br0">198 7694 24575,'-2'0'0,"0"0"0,1 0 0,-1-1 0,0 1 0,0 0 0,0-1 0,0 1 0,0-1 0,1 0 0,-1 0 0,0 1 0,1-1 0,-1 0 0,0 0 0,1-1 0,-1 1 0,1 0 0,0 0 0,-1-1 0,1 1 0,0-1 0,0 1 0,0-1 0,0 0 0,-1-1 0,-1-5 0,0 1 0,0-1 0,1 0 0,-2-14 0,1 6 0,-7-31 0,-11-49 0,-14-151 0,28-46 0,-4-48 0,-41-705 0,51 1002 0,0 14 0,4-50 0,-2 73 0,0 1 0,0-1 0,1 0 0,-1 0 0,2 1 0,-1-1 0,1 1 0,0-1 0,0 1 0,0 0 0,1 0 0,7-7 0,-9 10 0,0 1 0,1 0 0,0 0 0,-1 0 0,1 0 0,0 0 0,0 1 0,0-1 0,0 1 0,0 0 0,0 0 0,0 0 0,0 0 0,1 1 0,-1-1 0,0 1 0,0 0 0,1 0 0,-1 0 0,4 1 0,5 1 0,0 0 0,0 2 0,0-1 0,12 7 0,1 0 0,63 18 5,1-4-1,1-3 0,153 14 1,283-15-222,-87-31-1820,463-73 0,21-78 2037,-735 125 0,-75 15-36,1180-233-1915,-962 171 1600,-266 62 824,-2-3 0,119-64 0,-170 82-74,5-3 239,0 0 0,0 1 0,1 1 0,32-10 0,-45 16-579,-1 1 0,1 1-1,-1-1 1,1 1 0,0-1-1,-1 1 1,1 1 0,0-1 0,-1 0-1,1 1 1,-1 0 0,1 0-1,-1 1 1,1-1 0,-1 1-1,0 0 1,0 0 0,1 1 0,-2-1-1,1 1 1,0 0 0,0 0-1,-1 0 1,0 0 0,4 4-1,2 6-49,-1 0-1,0 1 0,-1 0 1,0 0-1,-2 0 0,1 1 1,-2-1-1,4 17 0,-7-26-6,103 531-66,-88-435-90,67 695-1031,-70 6 1280,-13-737-95,-4 66 0,-2-109-1147,-1-14-4589</inkml:trace>
  <inkml:trace contextRef="#ctx0" brushRef="#br0" timeOffset="702.16">2924 5032 24575,'-11'0'0,"-3"-6"0,0-17 0,14-23 0,6-29 0,3-14 0,-1-7 0,-1-5 0,-2-11 0,-2-4 0,-1 8 0,-2 26 0,0 29-8191</inkml:trace>
  <inkml:trace contextRef="#ctx0" brushRef="#br0" timeOffset="1634.28">1802 2594 24575,'0'-10'0,"0"-26"0,0 36 0,0 0 0,0-1 0,0 1 0,0-1 0,0 1 0,0 0 0,0-1 0,0 1 0,0 0 0,1-1 0,-1 1 0,0 0 0,0-1 0,0 1 0,0-1 0,1 1 0,-1 0 0,0 0 0,0-1 0,0 1 0,1 0 0,-1-1 0,0 1 0,1 0 0,-1 0 0,0-1 0,0 1 0,1 0 0,-1 0 0,0 0 0,1 0 0,-1-1 0,1 1 0,-1 0 0,0 0 0,1 0 0,-1 0 0,0 0 0,1 0 0,-1 0 0,1 0 0,-1 0 0,0 0 0,1 0 0,-1 0 0,0 0 0,1 0 0,-1 1 0,1-1 0,-1 0 0,0 0 0,1 0 0,-1 0 0,0 1 0,0-1 0,1 0 0,-1 0 0,0 1 0,1-1 0,-1 0 0,0 1 0,0-1 0,0 0 0,1 1 0,-1-1 0,0 1 0,5 5 0,0 1 0,0 0 0,-1 0 0,0 1 0,0-1 0,3 12 0,3 3 0,13 30 0,3-1 0,2-1 0,35 48 0,-57-90 0,1-1 0,0 1 0,0-1 0,0-1 0,1 1 0,0-1 0,0-1 0,1 1 0,0-1 0,0-1 0,0 0 0,0 0 0,16 4 0,-18-7 0,0 1 0,1-1 0,-1-1 0,0 1 0,1-1 0,-1-1 0,0 1 0,1-1 0,-1 0 0,0-1 0,0 0 0,0 0 0,0 0 0,0-1 0,-1 0 0,1-1 0,-1 1 0,0-1 0,7-6 0,-3 2 0,0-2 0,-1 1 0,0-1 0,-1 0 0,0-1 0,-1 0 0,11-22 0,-6 5 0,0 0 0,10-39 0,-6-5 0,-2 0 0,6-106 0,-5 206 0,-5-13 0,0-1 0,2 1 0,0-2 0,0 0 0,1 0 0,1-1 0,0-1 0,16 11 0,-16-13 0,0 0 0,1-1 0,0-1 0,0 0 0,0-1 0,1-1 0,0 0 0,0-1 0,20 2 0,-32-6 0,1 1 0,-1-1 0,1 0 0,-1 0 0,1 0 0,-1 0 0,1-1 0,-1 0 0,0 0 0,1 0 0,-1-1 0,0 1 0,0-1 0,0 0 0,0 0 0,0 0 0,0-1 0,0 0 0,-1 1 0,1-1 0,-1 0 0,0-1 0,0 1 0,0-1 0,0 1 0,-1-1 0,1 0 0,-1 0 0,0 0 0,3-7 0,0-7 0,1 0 0,-2 0 0,-1 0 0,0-1 0,0-34 0,-8-93 0,4 135 0,-1-8 0,2 19 0,0 0 0,0 0 0,0 0 0,0 0 0,0 0 0,0 0 0,0 0 0,0 0 0,0 1 0,0-1 0,0 0 0,0 0 0,0 0 0,0 0 0,0 0 0,-1 0 0,1 0 0,0 0 0,0 0 0,0 0 0,0 0 0,0 0 0,0 0 0,0 0 0,0 0 0,0 0 0,0 0 0,0 0 0,0 0 0,0 0 0,0 0 0,0 0 0,0 0 0,-1 0 0,1 0 0,0 0 0,0 0 0,0 0 0,0 0 0,0 0 0,0 0 0,-3 32 0,1 302-236,2-253-893,1-39-5697</inkml:trace>
  <inkml:trace contextRef="#ctx0" brushRef="#br0" timeOffset="1774.24">2796 1599 24575,'6'0'0,"6"0"0,2 6 0,15 12 0,2 3-8191</inkml:trace>
  <inkml:trace contextRef="#ctx0" brushRef="#br0" timeOffset="2551.93">3149 2177 24575,'0'5'0,"0"0"0,0-1 0,1 1 0,0 0 0,0-1 0,0 1 0,0 0 0,1-1 0,-1 0 0,1 1 0,0-1 0,1 0 0,4 8 0,-4-10 0,-1 1 0,1-1 0,0 0 0,-1 1 0,1-1 0,0-1 0,0 1 0,1 0 0,-1-1 0,0 1 0,0-1 0,1 0 0,-1 0 0,1 0 0,-1-1 0,1 1 0,-1-1 0,1 0 0,4 0 0,-2 0 0,-1-1 0,1 0 0,0 0 0,-1 0 0,1-1 0,-1 1 0,0-2 0,1 1 0,-1 0 0,0-1 0,0 0 0,8-6 0,-6 2 0,0 1 0,0-1 0,0 0 0,-1-1 0,0 1 0,-1-1 0,6-12 0,-5 9 0,0-1 0,-1 0 0,-1 0 0,0-1 0,0 1 0,-1-1 0,-1 0 0,0 0 0,-1 0 0,-1 0 0,-1-21 0,0 29 0,1 0 0,-2 0 0,1 0 0,0 1 0,-1-1 0,0 0 0,0 1 0,0 0 0,-1-1 0,0 1 0,0 0 0,-6-7 0,7 9 0,0 1 0,0-1 0,0 1 0,0-1 0,0 1 0,0 0 0,0 0 0,0 0 0,-1 0 0,1 0 0,-1 0 0,1 1 0,0-1 0,-1 1 0,1 0 0,-1 0 0,1 0 0,-1 0 0,1 0 0,-1 0 0,1 1 0,-1-1 0,1 1 0,0-1 0,-1 1 0,-3 2 0,1 0 0,0 0 0,0 0 0,1 0 0,0 1 0,-1-1 0,1 1 0,0 0 0,1 1 0,-1-1 0,1 1 0,0-1 0,0 1 0,0 0 0,1 0 0,-4 10 0,-1 6 0,1 1 0,-6 33 0,10-39 0,-1 1 0,2-1 0,0 1 0,1-1 0,1 1 0,1-1 0,0 0 0,1 1 0,0-1 0,2 0 0,8 21 0,-8-25 0,1-1 0,0 0 0,1 0 0,0 0 0,1-1 0,0 0 0,0 0 0,1-1 0,0 0 0,1-1 0,0 0 0,1-1 0,-1 0 0,1 0 0,16 6 0,-15-8 0,1 0 0,-1-1 0,1 0 0,0-1 0,1 0 0,-1-1 0,0-1 0,1 0 0,-1-1 0,1-1 0,-1 0 0,0 0 0,1-1 0,-1-1 0,0 0 0,0-1 0,16-7 0,-14 4 0,-1-1 0,0 0 0,0-1 0,-1-1 0,0 0 0,0 0 0,-1-1 0,-1-1 0,0 0 0,0-1 0,-1 0 0,-1 0 0,0-1 0,6-15 0,-4 5 0,-2 0 0,0 0 0,-2-1 0,0 0 0,-2-1 0,-1 1 0,-1-1 0,-1 0 0,-2 0 0,-4-48 0,-3 37 0,7 37 0,0 0 0,0-1 0,0 1 0,0 0 0,0 0 0,0 0 0,0-1 0,0 1 0,0 0 0,0 0 0,0 0 0,0 0 0,0-1 0,0 1 0,0 0 0,0 0 0,0 0 0,0-1 0,-1 1 0,1 0 0,0 0 0,0 0 0,0 0 0,0 0 0,0-1 0,0 1 0,0 0 0,-1 0 0,1 0 0,0 0 0,0 0 0,0 0 0,0-1 0,-1 1 0,1 0 0,0 0 0,0 0 0,0 0 0,0 0 0,-1 0 0,1 0 0,0 0 0,0 0 0,0 0 0,-1 0 0,1 0 0,0 0 0,0 0 0,0 0 0,-1 0 0,1 0 0,0 0 0,0 0 0,0 0 0,0 1 0,-1-1 0,1 0 0,0 0 0,0 0 0,0 0 0,0 0 0,0 0 0,-1 0 0,1 1 0,0-1 0,0 0 0,0 0 0,0 1 0,-3 6 0,1 1 0,0-1 0,0 1 0,1 0 0,0 0 0,1 11 0,-1-5 0,-1 8 0,1-1 0,2 1 0,0-1 0,1 1 0,1-1 0,1 0 0,8 26 0,-9-38 0,1-1 0,-1 1 0,1-1 0,1 0 0,-1 0 0,1-1 0,1 1 0,-1-1 0,1 0 0,1-1 0,-1 1 0,1-1 0,0-1 0,1 1 0,-1-1 0,1 0 0,0-1 0,0 0 0,16 6 0,-17-8 0,-1 0 0,1-1 0,0 1 0,0-1 0,0-1 0,0 1 0,0-1 0,0 0 0,1-1 0,-1 0 0,0 0 0,-1 0 0,1-1 0,0 0 0,0 0 0,-1-1 0,1 0 0,-1 0 0,0 0 0,0-1 0,0 0 0,0 0 0,-1-1 0,0 1 0,1-1 0,-2-1 0,1 1 0,-1 0 0,1-1 0,-2 0 0,1 0 0,5-12 0,-3 1 0,0-1 0,-2 1 0,0-1 0,0 0 0,-2 0 0,0-1 0,-1 1 0,-4-36 0,-4 18 0,3 29 0,0 10 0,4 12 0,2-9 0,1-1 0,0 1 0,0-1 0,0 1 0,1-1 0,0 0 0,0 0 0,0-1 0,1 1 0,-1-1 0,1 0 0,0 0 0,0 0 0,1-1 0,-1 0 0,9 4 0,5 2 0,0-1 0,0-1 0,39 8 0,-42-12 0,-1-1 0,0 0 0,1-1 0,-1-1 0,1-1 0,-1 0 0,1-1 0,-1 0 0,0-1 0,0-1 0,17-7 0,-23 8 0,0-1 0,0 0 0,0-1 0,-1 0 0,0-1 0,0 0 0,0 0 0,0 0 0,-1-1 0,0 0 0,-1-1 0,0 1 0,0-1 0,0 0 0,-1-1 0,0 1 0,-1-1 0,6-15 0,-6 8 0,0 0 0,-1 0 0,-1-1 0,-1 1 0,0-1 0,-1 1 0,-1 0 0,0-1 0,-7-29 0,0 17 0,0 0 0,-2 1 0,-1 0 0,-20-37 0,29 60 0,-33-54 0,32 55 0,0 0 0,1 1 0,-1-1 0,-1 1 0,1 0 0,0 0 0,-1 0 0,1 0 0,-1 1 0,0-1 0,-7-2 0,10 4 0,0 1 0,0 0 0,0-1 0,0 1 0,0 0 0,0-1 0,0 1 0,0 0 0,0 0 0,0 0 0,0 0 0,0 0 0,-1 0 0,1 1 0,0-1 0,0 0 0,0 0 0,0 1 0,0-1 0,0 1 0,0-1 0,0 1 0,0-1 0,0 1 0,0-1 0,1 1 0,-1 0 0,0 0 0,0-1 0,1 1 0,-1 0 0,0 0 0,1 0 0,-1 0 0,1 0 0,-1 0 0,1 0 0,-1 0 0,1 0 0,-1 2 0,1-1 0,-1 1 0,1-1 0,0 1 0,0-1 0,0 1 0,0-1 0,0 0 0,0 1 0,1-1 0,-1 1 0,1-1 0,-1 0 0,1 1 0,0-1 0,0 0 0,0 0 0,1 0 0,1 3 0,1 0-227,1-1-1,0 1 1,0-1-1,0 0 1,7 4-1,34 17-6598</inkml:trace>
  <inkml:trace contextRef="#ctx0" brushRef="#br0" timeOffset="2883.38">5266 1343 24575,'-18'0'0,"1"0"0,0 2 0,-29 5 0,36-4 0,0 0 0,0 1 0,0 0 0,1 1 0,-1 0 0,1 1 0,-9 6 0,7-3 0,0 0 0,0 1 0,1 1 0,1 0 0,0 0 0,1 0 0,0 1 0,0 0 0,1 1 0,1 0 0,-7 18 0,11-25 0,0 1 0,1 0 0,-1-1 0,1 1 0,1 0 0,-1 0 0,1 0 0,0 0 0,1 0 0,-1-1 0,3 9 0,-1-10 0,0 0 0,0 0 0,0 0 0,0-1 0,1 1 0,0-1 0,0 1 0,0-1 0,0 0 0,1 0 0,-1-1 0,1 1 0,0-1 0,0 0 0,1 0 0,5 4 0,4-1 0,1 0 0,0-1 0,0 0 0,0-1 0,0-1 0,1 0 0,-1-1 0,19 0 0,-13-1 0,0 2 0,0 0 0,34 10 0,-50-11 0,0-1 0,-1 1 0,0 0 0,1 1 0,-1-1 0,0 1 0,0 0 0,-1 0 0,1 0 0,0 0 0,-1 1 0,0-1 0,0 1 0,0 0 0,0 0 0,-1 0 0,1 0 0,2 7 0,-4-5 0,1-1 0,-1 0 0,0 1 0,0-1 0,-1 0 0,0 1 0,0-1 0,0 1 0,-1-1 0,1 1 0,-1-1 0,-1 0 0,1 1 0,-1-1 0,0 0 0,-3 7 0,-3 2 0,0-1 0,-1 0 0,0 0 0,-1 0 0,-1-2 0,0 1 0,0-1 0,-1-1 0,-17 12 0,-6 2 0,-1-2 0,-51 23 0,68-36-105,0-1 0,0 0 0,-1-2 0,0 0 0,-1-1 0,1-1 0,-1-1 0,0-1 0,0-1 0,0-1 0,0 0 0,-29-5 0,-27-14-6721</inkml:trace>
  <inkml:trace contextRef="#ctx0" brushRef="#br0" timeOffset="4844.15">3084 1086 24575,'-1'-2'0,"1"-1"0,-1 1 0,1-1 0,-1 1 0,0-1 0,0 1 0,0-1 0,0 1 0,0 0 0,-1-1 0,-2-2 0,-7-15 0,6 7 0,0 0 0,1 0 0,1 0 0,0 0 0,1-1 0,0 1 0,1-1 0,1 1 0,0-1 0,1 1 0,0-1 0,1 1 0,6-19 0,-2 11 0,1 1 0,1 1 0,1-1 0,1 1 0,1 1 0,0 0 0,1 1 0,16-18 0,8-5 6,1 1-1,74-57 1,107-50-257,-138 101-232,2 4 0,1 4 0,174-52 0,-130 57 27,1 6 0,158-13 0,-182 31 456,0 4 0,1 5 0,108 15 0,-154-8 0,0 3 0,-1 2 0,0 3 0,-2 2 0,0 3 0,96 50 0,-122-53 0,0 0 0,-1 3 0,-2 0 0,0 1 0,41 45 0,-57-54 0,-1 0 0,-1 0 0,0 1 0,-1 0 0,0 1 0,5 15 0,-9-20 0,-1 0 0,0 0 0,-1 1 0,0-1 0,-1 0 0,0 1 0,-1-1 0,0 1 0,-1-1 0,-1 13 0,-1-10 65,0-1 0,-1 1 0,-1-1 0,0 0 0,0 0 0,-1 0 0,-1-1 0,0 0-1,0 0 1,-1 0 0,-1-1 0,1-1 0,-2 1 0,1-2 0,-13 10 0,20-17-27,0 0 1,1 0-1,-1 0 1,0 0 0,0 0-1,0 0 1,0 0-1,0-1 1,0 1-1,0-1 1,0 1 0,0-1-1,-2 0 1,4 0-14,-1 0 1,1 0-1,0 0 1,-1 0-1,1-1 1,-1 1 0,1 0-1,0 0 1,-1 0-1,1 0 1,0-1-1,-1 1 1,1 0-1,0 0 1,0-1 0,-1 1-1,1 0 1,0-1-1,0 1 1,-1 0-1,1-1 1,0 1 0,0 0-1,-1-1 1,3-16 909,1 9-867,0 1 0,1-1 0,-1 1 0,2 0 0,-1 0 0,8-8 1,39-40-165,-30 37 96,1 0 0,1 1 0,0 1 0,1 2 0,0 0 0,2 2 0,-1 0 0,1 2 0,1 1 0,0 1 0,0 1 0,1 1 0,0 2 0,55-2 0,-68 6 0,0 2 0,0-1 0,-1 2 0,1-1 0,-1 2 0,1 0 0,-1 1 0,0 1 0,-1 0 0,1 0 0,-1 2 0,0-1 0,-1 2 0,0 0 0,0 0 0,-1 1 0,-1 0 0,1 1 0,-2 0 0,1 1 0,11 19 0,-7-6 0,0 1 0,-2 1 0,-1-1 0,-1 2 0,11 46 0,-10-20 0,-3 1 0,2 60 0,-8-68 0,-3 0 0,-1 0 0,-3 0 0,-12 58 0,8-69 0,-2 0 0,-1-1 0,-1-1 0,-2 1 0,-37 61 0,-31 15 0,3-5 0,69-89 0,1 0 0,1 0 0,0 1 0,-10 32 0,12-16 0,1 0 0,2 0 0,1 0 0,1 0 0,4 38 0,-1-22 0,-7 66 0,4-99 0,-1 0 0,0-1 0,-2 1 0,0-1 0,-1 0 0,0 0 0,-16 27 0,3-16 5,0-1 1,-2-1-1,-1 0 0,0-2 0,-2-1 0,-1 0 0,-1-2 1,0-1-1,-32 17 0,-6-1-91,-2-3-1,-137 46 1,54-32-121,-1-7 0,-2-6 0,-1-8 0,-169 8 0,268-31 207,1-1 0,-1-3 0,0-2 0,0-3 0,1-2 0,1-2 0,-52-19 0,66 16 0,29 10 0,0 1 0,0 0 0,0 0 0,0 0 0,-13 0 0,19 3-1,0 0 0,0 1 1,1-1-1,-1 1 0,0 0 1,0 0-1,1 0 0,-1 0 0,0 1 1,1-1-1,0 1 0,-1-1 1,1 1-1,0 0 0,0 0 0,0 0 1,0 0-1,-3 5 0,-11 8 222,-3-2-137,-1 0 0,0-2 0,-1 0 0,0-1 1,-1-1-1,0-1 0,-32 7 0,-5-3 97,-98 9 0,58-17-181,-9 1 0,104-5 0,1 1 0,0-1 0,0 1 0,0 0 0,0 0 0,0 0 0,1 0 0,-1 1 0,0-1 0,0 1 0,1-1 0,-1 1 0,1 0 0,-1 0 0,1 0 0,-2 3 0,-2 2 0,2 1 0,-1-1 0,1 0 0,-4 12 0,-8 13 0,8-21 0,1 0 0,-2-1 0,0 1 0,0-2 0,0 0 0,-1 0 0,-1 0 0,1-1 0,-2-1 0,1 0 0,-20 9 0,-1-2 0,-1-2 0,0-1 0,-45 9 0,-9-4 0,-173 10 0,-91-31 0,301 1 0,0-3 0,0-1 0,-72-23 0,112 28 0,5 1 0,-1 0 0,-1 1 0,1-1 0,0 1 0,-12 0 0,16 1 0,0 0 0,-1 0 0,1 1 0,0-1 0,0 1 0,0 0 0,1 0 0,-1-1 0,0 1 0,0 0 0,0 1 0,1-1 0,-1 0 0,0 0 0,1 1 0,-1-1 0,1 1 0,0-1 0,-1 1 0,1 0 0,-2 3 0,-3 5 0,1-1 0,-2 0 0,1 0 0,-2-1 0,1 0 0,-1 0 0,0-1 0,0 0 0,-1 0 0,0-1 0,0 0 0,-1 0 0,-13 5 0,-6 0 0,1-2 0,-2 0 0,0-2 0,-57 6 0,-125-5 0,171-9 0,1 0 0,0-3 0,0-1 0,0-3 0,-57-17 0,80 20 0,0-2 0,1 0 0,0 0 0,0-2 0,1 0 0,0-1 0,1 0 0,0-1 0,0-1 0,1 0 0,1 0 0,0-2 0,1 1 0,-19-30 0,20 22 0,0-1 0,1 1 0,1-1 0,1-1 0,1 0 0,1 1 0,1-2 0,-1-29 0,4 32 0,1-1 0,1 1 0,0 0 0,2 0 0,1 0 0,0 0 0,2 0 0,0 1 0,11-25 0,-7 27 0,1 0 0,0 0 0,1 1 0,1 0 0,26-25 0,-32 35 0,-6 6 0,0 0 0,0 0 0,-1 0 0,1 1 0,0-1 0,-1 0 0,1 0 0,-1 0 0,1 0 0,-1 0 0,1 0 0,-1 0 0,1-2 0,-1 3 0,0-1 0,0 1 0,0-1 0,-1 1 0,1 0 0,0-1 0,0 1 0,0 0 0,0-1 0,0 1 0,-1-1 0,1 1 0,0 0 0,0 0 0,-1-1 0,1 1 0,0 0 0,0-1 0,-1 1 0,1 0 0,0 0 0,-1-1 0,1 1 0,0 0 0,-1 0 0,-3-2 0,0 1 0,0 0 0,0 0 0,0 1 0,-7-1 0,-4 0 0,4-2 0,1 0 0,-1 0 0,1-1 0,0 0 0,0-1 0,0 0 0,0 0 0,1-1 0,0 0 0,0-1 0,1 0 0,0-1 0,-8-9 0,6 6 0,1-1 0,1 0 0,0-1 0,0 0 0,2 0 0,-1 0 0,2-1 0,0 0 0,-5-21 0,-2-35 0,2-1 0,4 0 0,4-87 0,2 122 0,2 0 0,2 0 0,1 1 0,11-39 0,-11 56 0,1 1 0,0 0 0,2 0 0,0 1 0,0 0 0,2 0 0,0 1 0,1 0 0,23-24 0,-10 17 0,2 2 0,1 0 0,0 2 0,1 0 0,1 3 0,1 0 0,0 1 0,0 2 0,54-13 0,-73 22 0,-8 3 0,-1 0 0,0-1 0,1 0 0,-1 1 0,1-1 0,-1 0 0,0 0 0,0-1 0,1 1 0,1-2 0,-3 2 0,0-1 0,0 1 0,-1-1 0,1 1 0,-1-1 0,1 0 0,-1 1 0,1-1 0,-1 0 0,0 1 0,0-1 0,0 0 0,0 1 0,0-1 0,0 0 0,0 1 0,-1-3 0,1-6 0,0-1 0,1 1 0,0 0 0,1 0 0,0 0 0,1 0 0,0 0 0,0 1 0,1-1 0,0 1 0,1 0 0,9-15 0,4-2 0,0 2 0,1 0 0,25-24 0,-18 24 0,1 0 0,1 2 0,1 1 0,1 1 0,1 2 0,0 1 0,36-14 0,-26 15 0,1 2 0,0 2 0,1 2 0,0 2 0,62-4 0,-38 8 0,-1 3 0,104 12 0,-139-7 0,0 2 0,0 0 0,0 3 0,-1 0 0,0 2 0,-1 1 0,44 25 0,-57-27 0,-1 1 0,-1 1 0,0 0 0,0 1 0,-1 0 0,-1 1 0,0 1 0,10 16 0,-17-22 0,0 0 0,0 0 0,-1 0 0,0 1 0,-1-1 0,0 1 0,1 10 0,-3-14 0,0 0 0,-1 0 0,0 0 0,0-1 0,0 1 0,-1 0 0,0 0 0,0 0 0,0-1 0,-1 1 0,0-1 0,-4 10 0,5-12 0,-1-1 0,1 0 0,0 0 0,-1 1 0,1-1 0,-1 0 0,1 0 0,-1-1 0,0 1 0,0 0 0,0-1 0,0 1 0,0-1 0,0 1 0,0-1 0,0 0 0,-1 0 0,1 0 0,0 0 0,-1 0 0,1-1 0,-4 1 0,4-1 0,-1 0 0,1-1 0,0 1 0,-1-1 0,1 1 0,0-1 0,-1 0 0,1 0 0,0 0 0,0 0 0,0 0 0,0-1 0,0 1 0,0-1 0,0 1 0,0-1 0,1 0 0,-1 1 0,1-1 0,-1 0 0,1 0 0,0 0 0,-2-4 0,-3-6 0,1 1 0,0-1 0,1 1 0,1-1 0,0 0 0,0-1 0,1 1 0,1 0 0,0-1 0,1 1 0,0-1 0,1 1 0,0 0 0,1-1 0,4-13 0,-3 15 0,0 0 0,1 0 0,0 0 0,1 1 0,0 0 0,0-1 0,2 2 0,-1-1 0,1 1 0,0 0 0,1 0 0,0 1 0,0 0 0,1 1 0,0 0 0,18-11 0,-14 11 25,0 2-1,0-1 0,1 2 1,0 0-1,0 0 1,0 2-1,0 0 0,0 0 1,0 1-1,0 1 0,1 0 1,-1 1-1,23 5 1,-27-5-107,-1 2 1,1-1 0,-1 1 0,0 1-1,0-1 1,0 1 0,-1 1-1,1 0 1,-1 0 0,0 1 0,0 0-1,-1 0 1,0 1 0,0 0 0,-1 0-1,1 1 1,-1-1 0,-1 1-1,0 1 1,7 12 0,4 27-6745</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9:23.698"/>
    </inkml:context>
    <inkml:brush xml:id="br0">
      <inkml:brushProperty name="width" value="0.035" units="cm"/>
      <inkml:brushProperty name="height" value="0.035" units="cm"/>
      <inkml:brushProperty name="color" value="#E71224"/>
    </inkml:brush>
  </inkml:definitions>
  <inkml:trace contextRef="#ctx0" brushRef="#br0">2508 5634 24575,'-1'0'0,"0"0"0,0-1 0,0 1 0,0-1 0,0 1 0,0-1 0,0 1 0,0-1 0,0 1 0,1-1 0,-1 0 0,0 0 0,0 1 0,1-1 0,-1 0 0,0 0 0,1 0 0,-1 0 0,1 0 0,-1 0 0,1 0 0,-1 0 0,1 0 0,0 0 0,0 0 0,-1 0 0,1 0 0,0-1 0,-3-7 0,-83-268 0,33 91 0,-16-30-327,-22-59-982,-30-70 385,-36-70-1463,-37-76 1791,-953-2175-6127,994 2333 6368,41 110 494,91 183 139,-33-47 0,50 82-232,0-1 0,-1 1 1,0 0-1,0 0 0,0 0 0,-10-6 1,14 10-7,0 0 1,0 1 0,0-1 0,0 1 0,0-1 0,-1 1-1,1-1 1,0 1 0,0 0 0,-1 0 0,1 0-1,0-1 1,0 1 0,0 0 0,-1 1 0,1-1 0,0 0-1,0 0 1,-1 0 0,1 1 0,0-1 0,0 1-1,0-1 1,0 1 0,-1-1 0,1 1 0,0 0 0,0-1-1,0 1 1,0 0 0,1 0 0,-1 0 0,0 0-1,0 0 1,0 0 0,1 0 0,-2 1 0,-1 3 138,0 0 0,1 1 0,0-1 1,-1 1-1,2 0 0,-1 0 0,1 0 1,-1 7-1,-4 54 2797,6-62-2770,7 402 5138,1-181-5432,-6-63 88,-3-126 0,1-37 0,0 1 0,0-1 0,0 0 0,0 0 0,0 1 0,0-1 0,0 0 0,0 0 0,0 0 0,0 1 0,-1-1 0,1 0 0,0 0 0,0 0 0,0 1 0,0-1 0,0 0 0,-1 0 0,1 0 0,0 0 0,0 1 0,0-1 0,0 0 0,-1 0 0,1 0 0,0 0 0,0 0 0,0 0 0,-1 0 0,1 1 0,0-1 0,0 0 0,-1 0 0,1 0 0,0 0 0,0 0 0,0 0 0,-1 0 0,1 0 0,0 0 0,0 0 0,-1 0 0,1-1 0,0 1 0,0 0 0,0 0 0,-1 0 0,1 0 0,0 0 0,0 0 0,0 0 0,-1-1 0,1 1 0,0 0 0,0 0 0,0 0 0,0 0 0,-1-1 0,1 1 0,-3-3 0,1-1 0,-1 1 0,1-1 0,-1 0 0,1 1 0,0-1 0,1 0 0,-1 0 0,-1-6 0,-9-45 0,6 21 0,-15-51 0,3 20 0,4-1 0,-11-114 0,24 156 0,-2-2 0,2 0 0,2 0 0,0 0 0,7-41 0,-7 64 0,0-1 0,0 0 0,0 1 0,0-1 0,1 1 0,-1 0 0,1-1 0,0 1 0,0 0 0,0 0 0,0 0 0,1 0 0,-1 0 0,1 1 0,0-1 0,0 1 0,0-1 0,0 1 0,0 0 0,0 0 0,0 1 0,1-1 0,-1 1 0,1-1 0,-1 1 0,1 0 0,0 1 0,-1-1 0,1 1 0,0-1 0,-1 1 0,1 0 0,0 0 0,0 1 0,-1-1 0,1 1 0,0 0 0,-1 0 0,1 0 0,-1 0 0,6 3 0,-1 1 0,0 0 0,0 1 0,-1 0 0,0 0 0,0 1 0,0 0 0,-1 0 0,0 1 0,10 16 0,-7-12 0,0 1 0,0-1 0,14 12 0,-15-18-65,0 0 0,0 0 0,1 0 0,0-1 0,0 0 0,0-1 0,1 0 0,0-1 0,-1 1 0,1-2 0,0 0 0,1 0 0,-1-1 0,0 0 0,0 0 0,1-1 0,-1-1 0,0 0 0,0 0 0,19-5 0,19-12-6761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9:25.204"/>
    </inkml:context>
    <inkml:brush xml:id="br0">
      <inkml:brushProperty name="width" value="0.035" units="cm"/>
      <inkml:brushProperty name="height" value="0.035" units="cm"/>
      <inkml:brushProperty name="color" value="#E71224"/>
    </inkml:brush>
  </inkml:definitions>
  <inkml:trace contextRef="#ctx0" brushRef="#br0">97 2812 24575,'-11'0'0,"-4"6"0,12 18 0,6 37 0,19 58 0,6 52 0,-2 30 0,5 8-2240,-2-15 2240,-6-30 0,-7-32 0,5-38 0,-2-41 0,-3-40 0,-5-33 0,-5-14-5951</inkml:trace>
  <inkml:trace contextRef="#ctx0" brushRef="#br0" timeOffset="254.33">0 2909 24575,'0'5'0,"0"8"0,11 1 0,20 20 0,15 5 0,17 12 0,8 7 0,8-5 0,2 5 0,-2-9 0,-3-11 0,7-13 0,-11-27 0,-17-24 0,-18-18 0,-16-2-8191</inkml:trace>
  <inkml:trace contextRef="#ctx0" brushRef="#br0" timeOffset="443.22">640 2716 24575,'-16'-16'0,"-6"-17"0,-9-2 0,-1 15 0,18 23 0,10 21 0,17 29 0,6 21 0,11 14 0,0 9 0,12 10 0,-2-2 0,4-20 0,-6-13 0,7-18 0,17-41 0,-1-22-8191</inkml:trace>
  <inkml:trace contextRef="#ctx0" brushRef="#br0" timeOffset="1080.22">1089 2460 24575,'-2'0'0,"0"0"0,0 0 0,0 1 0,0-1 0,0 1 0,0 0 0,1-1 0,-1 1 0,0 0 0,0 0 0,0 0 0,1 0 0,-1 0 0,0 1 0,1-1 0,-1 0 0,1 1 0,0-1 0,-1 1 0,1 0 0,0-1 0,0 1 0,0 0 0,0 0 0,0 0 0,0 0 0,0 2 0,-2 6 0,0 1 0,0 0 0,-1 19 0,3-25 0,-1 7 0,1 1 0,0-1 0,1 0 0,1 0 0,0 0 0,0 1 0,5 17 0,-4-24 0,1 1 0,-1-1 0,1 1 0,1-1 0,-1 0 0,1-1 0,0 1 0,0 0 0,1-1 0,-1 0 0,1 0 0,0 0 0,1-1 0,10 7 0,-8-6 0,1 0 0,-1-1 0,1 0 0,1 0 0,-1-1 0,0 0 0,1-1 0,-1 0 0,1-1 0,0 0 0,0 0 0,-1-1 0,1 0 0,10-2 0,-12 1 0,-1 0 0,1-1 0,-1 0 0,1-1 0,-1 1 0,0-1 0,0-1 0,0 1 0,0-1 0,-1 0 0,1-1 0,-1 0 0,0 0 0,0 0 0,-1 0 0,0-1 0,0 0 0,5-9 0,-7 11 0,0-1 0,-1 0 0,1 0 0,-1 1 0,-1-2 0,1 1 0,-1 0 0,0 0 0,0 0 0,0-1 0,-1 1 0,1 0 0,-2-1 0,1 1 0,-1-7 0,-1 4 0,0 1 0,-1-1 0,1 0 0,-1 1 0,-1 0 0,1 0 0,-1 0 0,-1 0 0,-7-9 0,2 5 0,0 0 0,-1 0 0,-1 1 0,0 0 0,0 1 0,-1 0 0,0 1 0,0 1 0,-1 0 0,-20-7 0,20 10 0,0 1 0,-1 0 0,0 1 0,1 0 0,-1 1 0,0 1 0,0 1 0,0 0 0,1 0 0,-28 8 0,34-7 0,1 0 0,-1 0 0,0 1 0,1 0 0,-1 1 0,1 0 0,0 0 0,0 0 0,1 1 0,-1 0 0,1 0 0,0 1 0,0 0 0,1 0 0,0 0 0,0 0 0,0 1 0,1 0 0,0 0 0,-6 14 0,9-19 0,0 0 0,1 0 0,-1 1 0,1-1 0,0 0 0,-1 0 0,1 1 0,0-1 0,0 0 0,0 0 0,1 1 0,-1-1 0,1 0 0,-1 0 0,1 1 0,-1-1 0,1 0 0,0 0 0,0 0 0,0 0 0,1 0 0,-1 0 0,3 2 0,-2-2 0,0 0 0,0 0 0,1 0 0,-1-1 0,0 1 0,1-1 0,-1 0 0,1 0 0,0 0 0,-1 0 0,1 0 0,0-1 0,0 1 0,0-1 0,-1 0 0,1 1 0,0-1 0,0-1 0,3 1 0,5-2 0,0-1 0,0 0 0,0 0 0,-1-1 0,1 0 0,-1-1 0,18-11 0,-1-2 0,38-33 0,-49 38 0,-1-1 0,0-1 0,-1 0 0,-1-1 0,0 0 0,-1-1 0,-1-1 0,-1 1 0,0-2 0,-1 0 0,-1 0 0,9-34 0,-11 29 0,-3 9 0,1-1 0,11-27 0,-12 38 0,-1 0 0,1 1 0,0-1 0,0 1 0,0-1 0,0 1 0,1 0 0,0 0 0,0 1 0,0-1 0,0 1 0,8-4 0,-5 3 0,1 1 0,-1 0 0,1 0 0,0 1 0,0 0 0,0 0 0,1 1 0,-1 0 0,0 1 0,0-1 0,1 2 0,-1-1 0,0 1 0,0 0 0,1 1 0,8 3 0,2 1 0,-1 0 0,0 2 0,0 0 0,0 1 0,27 19 0,-31-18 0,-1 1 0,0 0 0,-1 1 0,0 1 0,0 0 0,-2 0 0,12 18 0,-16-20 0,0-1 0,0 1 0,-1 1 0,0-1 0,-1 1 0,-1 0 0,0 0 0,0 0 0,-1 0 0,1 19 0,-4-25 0,1-1 0,0 0 0,-1 1 0,0-1 0,0 0 0,-1 1 0,1-1 0,-6 10 0,7-14 0,-1 0 0,0 1 0,0-1 0,1 0 0,-1 0 0,0 0 0,0 1 0,0-1 0,0 0 0,0 0 0,0 0 0,-1-1 0,1 1 0,0 0 0,0 0 0,-1-1 0,1 1 0,0-1 0,-1 1 0,1-1 0,-1 1 0,1-1 0,-1 0 0,1 0 0,-1 0 0,1 1 0,0-2 0,-1 1 0,1 0 0,-1 0 0,1 0 0,-1-1 0,1 1 0,-1 0 0,-1-2 0,-1 0 0,1 0 0,0 1 0,0-2 0,1 1 0,-1 0 0,0 0 0,1-1 0,-1 0 0,1 1 0,0-1 0,0 0 0,-3-5 0,-1-2 0,2-1 0,-1 0 0,-2-11 0,-4-17 0,3 0 0,1 0 0,2-1 0,2 1 0,3-74 0,1 95 20,1-1 0,1 1 0,1 0-1,0 0 1,9-22 0,-8 28-185,0 1 0,1 1 0,0-1 0,0 1 1,1 0-1,0 0 0,1 1 0,17-16 0,27-14-6661</inkml:trace>
  <inkml:trace contextRef="#ctx0" brushRef="#br0" timeOffset="1611.52">2020 1820 24575,'2'-12'0,"-1"10"0,1 0 0,-1 0 0,0 0 0,1 0 0,0 0 0,-1 0 0,1 1 0,0-1 0,0 0 0,0 1 0,0 0 0,0-1 0,0 1 0,0 0 0,1 0 0,3-1 0,2 0 0,-1 0 0,1 0 0,0 0 0,8 1 0,-2 0 0,0 2 0,0 0 0,0 1 0,0 0 0,0 1 0,-1 0 0,1 1 0,-1 1 0,0 0 0,0 1 0,-1 0 0,1 1 0,15 11 0,-15-8 0,-1-1 0,1 2 0,-2-1 0,1 2 0,-2 0 0,1 0 0,-2 1 0,1 0 0,-2 0 0,0 1 0,10 23 0,-16-31 0,0 1 0,0-1 0,-1 1 0,0 0 0,1 7 0,-2-11 0,0-1 0,0 0 0,0 1 0,0-1 0,0 1 0,-1-1 0,1 0 0,-1 1 0,0-1 0,1 0 0,-1 0 0,0 0 0,-1 0 0,1 1 0,0-1 0,-2 2 0,2-4 0,1 1 0,-1 0 0,1-1 0,-1 1 0,0-1 0,1 1 0,-1-1 0,0 0 0,1 1 0,-1-1 0,0 0 0,1 1 0,-1-1 0,0 0 0,0 0 0,0 1 0,1-1 0,-1 0 0,0 0 0,0 0 0,1 0 0,-1 0 0,0 0 0,0 0 0,0-1 0,1 1 0,-1 0 0,0 0 0,0-1 0,1 1 0,-1 0 0,0-1 0,1 1 0,-1-1 0,-1 0 0,-1-2 0,-1 0 0,1 0 0,0-1 0,0 0 0,-4-7 0,-8-14 0,0-1 0,3-1 0,0-1 0,-15-51 0,13 23 0,-11-91 0,22 126 0,1-1 0,1 1 0,1 0 0,4-32 0,-3 48 0,-1 0 0,1-1 0,1 1 0,-1 0 0,1 0 0,0 0 0,0 0 0,0 1 0,1-1 0,0 1 0,-1-1 0,2 1 0,-1 0 0,0 0 0,1 0 0,0 0 0,0 1 0,0 0 0,0 0 0,1 0 0,-1 0 0,1 0 0,6-2 0,-6 4 0,0-1 0,-1 1 0,1 0 0,1 0 0,-1 1 0,0 0 0,0-1 0,0 2 0,0-1 0,0 1 0,0-1 0,7 3 0,-3 0 0,0 0 0,-1 1 0,1 0 0,-1 0 0,0 1 0,10 7 0,-2 1 0,-1 0 0,-1 0 0,0 2 0,-1 0 0,20 29 0,-12-9 0,16 38 0,-29-56 0,4 2 0,-11-19 0,-1 0 0,0 0 0,0 0 0,0 0 0,1 0 0,-1 0 0,0 0 0,0 0 0,1 0 0,-1 0 0,0 0 0,0 0 0,0 0 0,1 0 0,-1 0 0,0 0 0,0-1 0,0 1 0,1 0 0,-1 0 0,0 0 0,0 0 0,0 0 0,0 0 0,0-1 0,1 1 0,-1 0 0,0 0 0,0 0 0,0-1 0,0 1 0,0 0 0,0 0 0,0 0 0,0-1 0,1 1 0,-1 0 0,0 0 0,0 0 0,0-1 0,0 1 0,0 0 0,0 0 0,-1-1 0,3-44 0,-2 35 0,-1-44 0,12-87 0,-8 120 0,1 0 0,1 0 0,1 0 0,0 1 0,2 0 0,0 0 0,12-19 0,-17 34 0,1-1 0,-1 1 0,1 0 0,0 0 0,1 0 0,-1 0 0,1 1 0,0-1 0,0 1 0,0 1 0,0-1 0,1 1 0,0 0 0,-1 0 0,9-3 0,-10 5 0,0 1 0,1-1 0,-1 1 0,0 0 0,1 0 0,-1 0 0,0 0 0,1 1 0,-1 0 0,0 0 0,0 0 0,0 0 0,0 1 0,0-1 0,0 1 0,0 0 0,0 1 0,-1-1 0,1 0 0,-1 1 0,1 0 0,4 6 0,4 3 0,-2 1 0,0 1 0,13 20 0,7 11 0,27 23-1365,3-9-5461</inkml:trace>
  <inkml:trace contextRef="#ctx0" brushRef="#br0" timeOffset="2158.02">3368 1209 24575,'-2'-14'0,"1"0"0,-2 0 0,0 0 0,0 0 0,-2 1 0,0-1 0,0 1 0,-1 1 0,-14-23 0,18 30 0,-1 1 0,0 0 0,0 0 0,0 0 0,-1 1 0,1-1 0,-1 1 0,0-1 0,0 1 0,0 0 0,-7-3 0,7 4 0,1 1 0,-1 0 0,1 0 0,-1 0 0,0 0 0,1 1 0,-1-1 0,0 1 0,1 0 0,-1 0 0,0 0 0,1 1 0,-1 0 0,0-1 0,1 1 0,-1 0 0,-4 2 0,-2 2 0,0 1 0,0 0 0,0 0 0,1 1 0,-1 0 0,2 1 0,-1 0 0,1 0 0,0 1 0,1 0 0,0 0 0,-11 21 0,11-17 0,0 1 0,0 0 0,2 0 0,0 0 0,0 1 0,1 0 0,1 0 0,1 0 0,-2 22 0,4-31 0,1 0 0,-1 0 0,1 0 0,0 0 0,1 0 0,-1 0 0,1-1 0,0 1 0,5 8 0,-6-12 0,0 0 0,0 0 0,1 0 0,-1 0 0,1 0 0,-1-1 0,1 1 0,0 0 0,-1-1 0,1 1 0,0-1 0,0 1 0,0-1 0,0 0 0,0 0 0,1 0 0,-1 0 0,0-1 0,0 1 0,1 0 0,-1-1 0,0 0 0,1 1 0,-1-1 0,1 0 0,2 0 0,0-2 0,0 1 0,0-1 0,0 0 0,0 0 0,0 0 0,0-1 0,0 1 0,-1-1 0,0 0 0,1-1 0,-1 1 0,0-1 0,0 0 0,-1 0 0,1 0 0,-1 0 0,5-10 0,1-1 0,0 0 0,-2-1 0,0 0 0,6-20 0,0-10 0,-13 45 0,1 0 0,-1 0 0,0 0 0,1-1 0,0 1 0,-1 0 0,1 0 0,0 0 0,-1 0 0,1 0 0,0 0 0,0 0 0,0 0 0,0 0 0,0 1 0,0-1 0,0 0 0,0 1 0,0-1 0,0 0 0,1 1 0,-1-1 0,0 1 0,0 0 0,0-1 0,1 1 0,-1 0 0,0 0 0,1 0 0,-1 0 0,0 0 0,2 0 0,5 1 0,0 0 0,-1 1 0,1 0 0,10 4 0,5 2 0,2-2 0,0-1 0,51 3 0,-67-8 0,1 0 0,-1-1 0,0 0 0,0 0 0,0-1 0,0 0 0,0-1 0,0 0 0,-1 0 0,1-1 0,14-8 0,-14 5 0,1 0 0,-1 0 0,0-1 0,0-1 0,-1 1 0,0-1 0,-1-1 0,0 1 0,-1-1 0,0-1 0,0 1 0,-1-1 0,0 0 0,3-13 0,-3 7 0,-1-1 0,-1 0 0,0-1 0,-2 1 0,0 0 0,-1-1 0,0 1 0,-6-31 0,-5-2 0,-1 0 0,-27-66 0,-48-93 0,79 194 0,-14-36 0,-49-103 0,56 127 0,-1 1 0,-2 0 0,-24-29 0,40 53 0,-1 0 0,1 0 0,-1 1 0,1-1 0,-1 1 0,0 0 0,0 0 0,0 0 0,0 0 0,-5-2 0,8 4 0,-1 0 0,0 0 0,0 0 0,1 0 0,-1 0 0,0 0 0,1 0 0,-1 0 0,0 0 0,1 0 0,-1 0 0,0 0 0,1 0 0,-1 1 0,0-1 0,1 0 0,-1 0 0,0 1 0,1-1 0,-1 0 0,0 1 0,0 1 0,0-1 0,-1 1 0,1-1 0,1 1 0,-1-1 0,0 1 0,0-1 0,0 1 0,1 0 0,-1-1 0,0 4 0,-1 11 0,0-1 0,2 1 0,1 21 0,8 71-212,26 121 0,4-26-798,10-2-1,121 318 1,82 35 69,-218-491-2854</inkml:trace>
  <inkml:trace contextRef="#ctx0" brushRef="#br0" timeOffset="2497.12">1508 3840 24575,'-34'-1'0,"34"1"0,0 0 0,-1 0 0,1 0 0,0 0 0,0 0 0,0 0 0,-1 0 0,1 0 0,0 0 0,0 0 0,0 0 0,-1 0 0,1 0 0,0 0 0,0-1 0,0 1 0,0 0 0,-1 0 0,1 0 0,0 0 0,0 0 0,0 0 0,0-1 0,-1 1 0,1 0 0,0 0 0,0 0 0,0 0 0,0 0 0,0-1 0,0 1 0,0 0 0,0 0 0,0 0 0,-1-1 0,1 1 0,0 0 0,0 0 0,0 0 0,0-1 0,0 1 0,0 0 0,0 0 0,0 0 0,0-1 0,0 1 0,1 0 0,-1 0 0,0 0 0,0-1 0,0 1 0,0 0 0,0 0 0,0 0 0,0 0 0,0-1 0,0 1 0,1 0 0,-1 0 0,0 0 0,0 0 0,0 0 0,1-1 0,32-30 0,210-149 0,-10 26-518,72-38-1553,577-316-2542,14 43 2403,-722 380 1976,-94 52 227,-80 33 8,0-1 0,0 1 0,0 0 0,0 0 0,1 0 0,-1 0 0,0 0 0,0-1 0,0 1 0,1 0 0,-1 0 0,0 0 0,0 0 0,0 0 0,1 0 0,-1 0 0,0 0 0,0 0 0,1 0 0,-1 0 0,0 0 0,0 0 0,1 0 0,-1 0 0,0 0 0,0 0 0,0 0 0,1 0 0,-1 0 0,0 0 0,0 1 0,0-1 0,1 0 0,-1 0 0,0 0-1,0 0 1,0 0 0,1 1 0,-12 9 282,-264 184 1243,205-148-1518,-88 58-401</inkml:trace>
  <inkml:trace contextRef="#ctx0" brushRef="#br0" timeOffset="2774.46">2148 3936 24575,'22'-16'0,"40"-33"0,47-36 0,44-24 0,34-17-1991,23-7 1991,14-4-1597,-4 0 1597,-23 7 0,-33 25 0,-46 26 0,-42 25-4603</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9:29.256"/>
    </inkml:context>
    <inkml:brush xml:id="br0">
      <inkml:brushProperty name="width" value="0.035" units="cm"/>
      <inkml:brushProperty name="height" value="0.035" units="cm"/>
      <inkml:brushProperty name="color" value="#E71224"/>
    </inkml:brush>
  </inkml:definitions>
  <inkml:trace contextRef="#ctx0" brushRef="#br0">0 10104 24575,'0'-5'0,"0"-13"0,0-15 0,12-18 0,2-27 0,11-33 0,1-53 0,34-79 0,23-87-2665,25-95 2665,37-124-4532,55-169 4532,74-186-4400,101-278 4400,-14 63 3406</inkml:trace>
  <inkml:trace contextRef="#ctx0" brushRef="#br0" timeOffset="905.83">2566 2503 24575,'0'-11'0,"0"-3"-8191</inkml:trace>
  <inkml:trace contextRef="#ctx0" brushRef="#br0" timeOffset="1374.54">2342 2440 24575,'0'-11'0,"0"-20"0,0-16 0,17-21 0,4-21 0,27-34 0,27-45 0,28-48 0,34-80-2463,22-116 2463,10-96-5944,-22 38 6160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9:33.141"/>
    </inkml:context>
    <inkml:brush xml:id="br0">
      <inkml:brushProperty name="width" value="0.035" units="cm"/>
      <inkml:brushProperty name="height" value="0.035" units="cm"/>
      <inkml:brushProperty name="color" value="#E71224"/>
    </inkml:brush>
  </inkml:definitions>
  <inkml:trace contextRef="#ctx0" brushRef="#br0">256 889 24575,'-1'0'0,"0"1"0,1-1 0,-1 1 0,0 0 0,0-1 0,1 1 0,-1-1 0,0 1 0,1 0 0,-1 0 0,1-1 0,-1 1 0,1 0 0,-1 0 0,1 0 0,-1-1 0,1 1 0,0 0 0,0 0 0,-1 0 0,1 0 0,0 0 0,0 0 0,0 0 0,0 0 0,0 1 0,-1 3 0,-2 22 0,0 0 0,2 52 0,2-70 0,24 327-19,23 6-751,-31-233 229,123 666 257,-108-614 302,-22-111-18,20 124 0,-30-142 0,0-32 0,0 0 0,0 0 0,0 0 0,0 0 0,0 0 0,0 0 0,0 0 0,0 1 0,0-1 0,0 0 0,0 0 0,0 0 0,-1 0 0,1 0 0,0 0 0,0 0 0,0 0 0,0 0 0,0 0 0,0 0 0,0 0 0,-1 0 0,1 0 0,0 0 0,0 0 0,0 0 0,0 0 0,0 0 0,0 0 0,0 0 0,-1 0 0,1 0 0,0 0 0,0 0 0,0 0 0,0 0 0,0 0 0,0 0 0,0 0 0,0 0 0,-1 0 0,1 0 0,0 0 0,0 0 0,0-1 0,0 1 0,0 0 0,0 0 0,0 0 0,0 0 0,0 0 0,0 0 0,0 0 0,0 0 0,0-1 0,-10-15 0,-71-171 0,12 12 0,-10-60-142,3-61-424,3-65-107,-63-801-1982,125 892 2655,17 88 0,-4 167 0,0 0 0,0 0 0,2 1 0,-1-1 0,9-18 0,-11 30 1,1 0 0,-1 0 0,1 0 0,-1 0 0,1 0 0,0 1-1,0-1 1,1 1 0,-1-1 0,0 1 0,1 0 0,-1 0 0,1 0 0,0 0 0,3-1 0,-4 2-3,1 0 0,-1 1-1,0-1 1,1 1 0,-1-1 0,0 1 0,0 0-1,1 0 1,-1 0 0,0 1 0,1-1-1,-1 0 1,0 1 0,1 0 0,-1-1 0,4 3-1,2 2 36,-1-1 0,0 1-1,0 1 1,0 0-1,0 0 1,-1 0-1,0 0 1,-1 1-1,1 0 1,5 10 0,7 16 246,-2 1 1,-1 1 0,-1 0-1,-2 1 1,13 65 0,-11-30-68,-4 2 0,-3 0 0,-3 0 0,-3 0 0,-3 0 0,-13 80 0,-3-43 159,-5-1 0,-5-2 0,-55 141 0,63-198-371,5-17 0,3 2 0,-13 52 0,23-80-180,1-1 1,1 0-1,-1 1 1,1-1-1,0 0 0,2 10 1,-1-12-869,0 1 1,1-1 0,-1 1-1,1-1 1,3 5 0</inkml:trace>
  <inkml:trace contextRef="#ctx0" brushRef="#br0" timeOffset="779.32">1249 1627 24575,'-3'-16'0,"-1"0"0,-1 0 0,-1 0 0,0 1 0,-1-1 0,0 1 0,-1 1 0,-13-18 0,3 11 0,-2 1 0,0 1 0,-1 1 0,-1 0 0,-1 2 0,-41-23 0,50 31 0,1 1 0,-1 1 0,0 0 0,0 1 0,-28-6 0,36 10 0,-1 0 0,1 0 0,-1 1 0,0 0 0,1 1 0,-1-1 0,0 1 0,1 0 0,-1 1 0,1 0 0,-1 0 0,1 0 0,0 1 0,0-1 0,-10 7 0,6-1 0,1-1 0,0 2 0,0-1 0,0 1 0,1 0 0,1 1 0,0 0 0,0 0 0,0 0 0,-8 22 0,2-1 0,3-1 0,-15 63 0,17-57 0,2 0 0,1 0 0,2 1 0,2 0 0,4 56 0,-1-79 0,0-1 0,1 0 0,0 0 0,1 0 0,1-1 0,0 1 0,13 22 0,-12-27 0,0 0 0,0 0 0,0-1 0,1 0 0,0 0 0,1-1 0,-1 0 0,1 0 0,1 0 0,-1-1 0,1 0 0,9 3 0,-13-6 0,1 1 0,0-1 0,0 0 0,1-1 0,-1 0 0,0 0 0,1 0 0,-1-1 0,0 0 0,1 0 0,-1 0 0,0-1 0,1 0 0,9-3 0,-8 1 0,-1 0 0,1 0 0,-1-1 0,1 0 0,-1-1 0,-1 0 0,1 0 0,-1 0 0,1-1 0,4-6 0,2-4 0,-1 0 0,-1 0 0,0-2 0,-1 1 0,-1-1 0,-1 0 0,-1-1 0,8-30 0,-2-13 0,-3-2 0,-3 1 0,-2-122 0,-6 173 0,2-12 0,6 35 0,5 15 0,2-1 0,1-1 0,1 0 0,1-1 0,1-1 0,1-1 0,1 0 0,1-1 0,1-2 0,0 0 0,48 28 0,-53-37 0,-1-1 0,2 0 0,-1-2 0,1 0 0,0 0 0,0-2 0,34 4 0,-38-7 0,0-1 0,0 0 0,0-1 0,0-1 0,0 0 0,0-1 0,-1 0 0,1-1 0,-1-1 0,0 0 0,16-9 0,-13 5 0,0-2 0,-1 0 0,0-1 0,-1 0 0,0-1 0,-1 0 0,0-2 0,-1 1 0,-1-1 0,0-1 0,-1 0 0,-1-1 0,-1 0 0,0 0 0,10-33 0,-11 23 0,0 1 0,-2-1 0,-1-1 0,-1 1 0,-1 0 0,-2-1 0,0 1 0,-2-1 0,-1 1 0,-8-33 0,9 53 0,0-1 0,0 0 0,-1 1 0,0 0 0,-1 0 0,1 0 0,-1 0 0,-5-6 0,7 10 0,-1 0 0,0 0 0,1 1 0,-1-1 0,0 1 0,0 0 0,0 0 0,0 0 0,-1 0 0,1 1 0,0-1 0,-1 1 0,1 0 0,-1 0 0,0 0 0,1 1 0,-1-1 0,-6 0 0,3 2 0,0-1 0,0 1 0,0 0 0,0 1 0,0-1 0,0 1 0,1 1 0,-1-1 0,1 1 0,-9 5 0,1 1 0,1-1 0,1 2 0,-21 18 0,13-7 0,1 2 0,1-1 0,1 2 0,1 1 0,2 0 0,0 0 0,1 2 0,-16 50 0,25-66 0,1 0 0,1 0 0,0 0 0,1 0 0,0 0 0,0 0 0,1 1 0,1-1 0,0 0 0,0 0 0,1 0 0,5 16 0,-4-21 0,-1 0 0,1 0 0,0 0 0,0 0 0,1-1 0,0 1 0,0-1 0,0 0 0,1 0 0,-1 0 0,1-1 0,0 1 0,1-1 0,-1 0 0,1-1 0,0 1 0,-1-1 0,1-1 0,1 1 0,-1-1 0,12 3 0,-13-4 0,-1 0 0,1 0 0,-1 0 0,1-1 0,0 0 0,-1 0 0,1 0 0,0-1 0,-1 1 0,1-1 0,-1 0 0,1-1 0,-1 1 0,1-1 0,7-4 0,-6 3 0,-1-1 0,0-1 0,1 1 0,-2-1 0,1 0 0,0 0 0,-1 0 0,0 0 0,0-1 0,2-6 0,4-7 0,-2 0 0,-1-1 0,0 0 0,-1-1 0,-1 1 0,2-25 0,0-17 0,-3-108 0,-6 145 0,1 24 0,2 14 0,5 23 0,0-1 0,17 48 0,-18-68 0,128 368-696,26 0-1064,-83-204 1897,-73-172-141,47 120-75,-44-108 73,-1 0-1,-1 0 1,-1 0 0,2 31-1,-4-43 7,-1 0 0,0 0 0,-1 0 0,0-1 0,0 1 0,0 0 0,-1 0 0,0-1 0,-1 1 0,1-1 0,-1 0 0,0 0 0,-1 0 0,-3 6 0,3-7 0,-1-1 0,1 0 0,-1 1 0,1-2 0,-1 1 0,0-1 0,-1 1 0,1-2 0,-1 1 0,1 0 0,-1-1 0,0 0 0,0 0 0,1-1 0,-10 1 0,7 0 112,0-1-1,0-1 0,-1 0 0,1 0 1,0 0-1,0-1 0,-1-1 1,1 1-1,0-1 0,0 0 1,0-1-1,1 0 0,-13-7 1,9 4-17,1-1 1,0-1 0,0 0 0,1 0 0,0-1 0,1 0 0,0 0 0,-9-14 0,-1-7-322,1-1 1,1 0-1,2-1 1,2 0-1,-13-49 1,-10-62-6601</inkml:trace>
  <inkml:trace contextRef="#ctx0" brushRef="#br0" timeOffset="1154.58">2340 1114 24575,'0'1'0,"0"9"0,0-1 0,1 1 0,0-1 0,3 13 0,-4-21 0,0 1 0,1 0 0,-1-1 0,1 1 0,-1-1 0,1 1 0,0-1 0,-1 1 0,1-1 0,0 0 0,0 1 0,0-1 0,0 0 0,0 0 0,0 0 0,0 1 0,1-1 0,-1 0 0,0-1 0,1 1 0,-1 0 0,0 0 0,1 0 0,-1-1 0,1 1 0,0-1 0,-1 1 0,1-1 0,-1 0 0,1 0 0,-1 1 0,1-1 0,0 0 0,2-1 0,3 0 0,-1-1 0,0-1 0,0 1 0,-1-1 0,1 0 0,0 0 0,-1 0 0,0-1 0,0 0 0,0 0 0,5-5 0,8-10 0,23-29 0,-28 31 0,0-1 0,-1 0 0,-1-1 0,-1-1 0,-1 0 0,0 0 0,-2-1 0,0 1 0,-1-2 0,-1 1 0,2-22 0,-7 38 0,0 1 0,0 0 0,0 0 0,-1 0 0,1 0 0,-1 0 0,0 0 0,0 0 0,0 0 0,-1 1 0,1-1 0,-1 0 0,0 1 0,0-1 0,0 1 0,-1-1 0,1 1 0,-1 0 0,0 0 0,0 0 0,0 1 0,0-1 0,0 1 0,-5-3 0,4 2 0,-1 1 0,0 0 0,1 0 0,-1 0 0,0 1 0,0 0 0,0 0 0,0 0 0,0 0 0,0 1 0,0 0 0,-1 0 0,1 0 0,0 1 0,0 0 0,0 0 0,0 0 0,-9 4 0,7-2 0,0 0 0,1 1 0,-1 0 0,1 1 0,0 0 0,0 0 0,0 0 0,0 0 0,-6 10 0,0 1 0,1 0 0,-16 32 0,9-9 0,1 2 0,2 0 0,2 0 0,2 2 0,2-1 0,1 1 0,-1 49 0,8-73 0,1-1 0,1 1 0,1 0 0,0-1 0,1 1 0,1-1 0,1 0 0,1 0 0,10 24 0,-11-33 0,0 0 0,0 0 0,1-1 0,0 1 0,0-1 0,1 0 0,0-1 0,0 0 0,1 0 0,0-1 0,0 1 0,1-2 0,-1 1 0,1-1 0,0-1 0,1 1 0,-1-2 0,15 5 0,-14-6 9,1 1 1,1-2-1,-1 1 0,0-2 0,0 1 1,0-2-1,1 1 0,-1-1 0,0-1 0,0 0 1,0-1-1,16-6 0,-18 6-102,-1-2 0,1 1 1,-1-1-1,0 0 0,-1 0 0,0-1 0,1 0 0,-2-1 1,1 0-1,-1 0 0,0 0 0,0 0 0,-1-1 1,0 0-1,4-9 0,9-29-6733</inkml:trace>
  <inkml:trace contextRef="#ctx0" brushRef="#br0" timeOffset="1530.01">736 3936 24575,'-11'0'0,"-3"-22"0,0-18 0,14-2 0,7 28 0,18 32 0,5 52 0,25 57 0,3 51 0,2 33 0,-8 9-2534,3-18 2534,-8-26 0,-1-32-94,2-41 94,21-49 0,-2-50 0,-12-25-5563</inkml:trace>
  <inkml:trace contextRef="#ctx0" brushRef="#br0" timeOffset="2249.21">1698 4416 24575,'-8'-6'0,"0"-1"0,0 0 0,0 0 0,1-1 0,-8-10 0,-8-10 0,-4 0 0,-52-53 0,69 72 0,0 0 0,-1 1 0,0 0 0,0 1 0,-24-12 0,32 18 0,1 0 0,-1 0 0,1 0 0,-1 1 0,0-1 0,1 0 0,-1 1 0,0 0 0,0 0 0,1 0 0,-1 0 0,0 0 0,1 0 0,-1 1 0,0-1 0,1 1 0,-1 0 0,0 0 0,1 0 0,-1 0 0,1 0 0,0 0 0,-1 1 0,1-1 0,0 1 0,0 0 0,0 0 0,0 0 0,0 0 0,0 0 0,0 0 0,1 0 0,-1 0 0,1 1 0,0-1 0,-2 5 0,-3 7 0,1 0 0,1 0 0,0 0 0,1 1 0,-2 22 0,-4 80 0,9-100 0,0-1 0,1 0 0,1 0 0,1 0 0,5 19 0,-5-29 0,-1 0 0,1 0 0,1 0 0,-1 0 0,1 0 0,0-1 0,0 0 0,0 0 0,1 0 0,-1 0 0,1-1 0,1 1 0,-1-1 0,1-1 0,-1 1 0,1-1 0,0 0 0,0 0 0,0 0 0,9 1 0,-10-2 0,0-1 0,-1 0 0,1 0 0,0-1 0,0 1 0,0-1 0,0 0 0,0-1 0,-1 1 0,1-1 0,0 0 0,0 0 0,-1 0 0,1-1 0,0 1 0,-1-1 0,1 0 0,-1-1 0,0 1 0,0-1 0,0 0 0,0 0 0,0 0 0,-1 0 0,1-1 0,-1 1 0,6-9 0,-1-2 0,-1-1 0,0 0 0,-1-1 0,0 1 0,-1-1 0,-1 0 0,-1 0 0,2-18 0,4-137 0,-9 151 0,1-21 0,0 8 0,-1-1 0,-7-51 0,6 118 0,3-23 0,0 0 0,2 0 0,-1-1 0,1 1 0,0-1 0,1 1 0,0-1 0,1-1 0,0 1 0,0-1 0,1 0 0,0 0 0,0-1 0,1 0 0,9 7 0,-9-8 0,0-1 0,0 1 0,0-2 0,1 1 0,0-1 0,0 0 0,0-1 0,0 0 0,0-1 0,1 1 0,-1-2 0,1 1 0,0-2 0,-1 1 0,1-1 0,14-2 0,-18 1 0,0-1 0,0 1 0,0-1 0,-1-1 0,1 1 0,-1-1 0,0 0 0,0 0 0,0 0 0,0-1 0,0 1 0,-1-1 0,1-1 0,-1 1 0,0 0 0,-1-1 0,1 0 0,-1 0 0,0 0 0,0 0 0,0-1 0,-1 1 0,0-1 0,2-6 0,2-11 0,-1 0 0,0 0 0,-2-1 0,0-40 0,-4-73 0,-3 119 0,5 30 0,2-5 0,0 1 0,0-1 0,1 0 0,0 0 0,0-1 0,0 1 0,1-1 0,0 0 0,1 0 0,10 9 0,-5-5 0,1-1 0,-1-1 0,1 0 0,1 0 0,16 6 0,-21-10 0,0-1 0,1 0 0,-1-1 0,1 0 0,0 0 0,-1-1 0,1 0 0,0-1 0,0 0 0,-1 0 0,1 0 0,0-2 0,0 1 0,-1-1 0,1 0 0,-1 0 0,0-1 0,1-1 0,-1 1 0,-1-1 0,1-1 0,0 1 0,-1-1 0,0 0 0,0-1 0,-1 0 0,1 0 0,-1 0 0,-1-1 0,1 0 0,-1 0 0,0-1 0,-1 1 0,5-11 0,-2 1 0,-1 0 0,0-1 0,-1 1 0,-1-1 0,-1 0 0,1-30 0,-3 16 0,-1 0 0,-9-55 0,1 57 0,8 30 0,0 0 0,0 0 0,0 0 0,0 0 0,0-1 0,0 1 0,0 0 0,0 0 0,0 0 0,0 0 0,0 0 0,0 0 0,0 0 0,0 0 0,0-1 0,0 1 0,0 0 0,-1 0 0,1 0 0,0 0 0,0 0 0,0 0 0,0 0 0,0 0 0,0 0 0,0 0 0,0 0 0,0 0 0,0 0 0,0-1 0,-1 1 0,1 0 0,0 0 0,0 0 0,0 0 0,0 0 0,0 0 0,0 0 0,0 0 0,0 0 0,-1 0 0,1 0 0,0 0 0,0 0 0,0 0 0,0 0 0,0 0 0,0 0 0,0 1 0,0-1 0,0 0 0,-1 0 0,1 0 0,0 0 0,0 0 0,0 0 0,0 0 0,0 0 0,0 0 0,0 0 0,0 0 0,0 0 0,-3 19 0,4 13 0,2 0 0,1 1 0,1-1 0,12 37 0,-13-54 0,119 425-1208,24 4-1024,-48-149 1107,-88-261 1125,11 32 0,-2 1 0,12 78 0,-30-134 0,-1 0 0,0 0 0,-1 0 0,-2 19 0,1-27 0,1 1 0,-1-1 0,0 0 0,0 1 0,0-1 0,-1 0 0,1 0 0,-1 0 0,0 0 0,0 0 0,0 0 0,0-1 0,0 1 0,0-1 0,-1 1 0,1-1 0,-6 4 0,2-3 39,0 0-1,-1 0 0,1 0 1,-1-1-1,1 0 1,-1 0-1,1-1 1,-13 1-1,5-1 181,-1 0-1,1-2 1,-20-2 0,16 0 7,1-1 0,0-1 0,0 0 0,0-1 0,0-1 0,1-1 0,0 0 0,1-1 0,0 0 0,0-2 0,-21-19 0,19 14-155,1 0-1,1-2 0,1 0 0,0 0 0,2-2 1,0 1-1,1-2 0,-15-37 0,8-1-411,1 0 0,4-2-1,-9-85 1,8-6-6485</inkml:trace>
  <inkml:trace contextRef="#ctx0" brushRef="#br0" timeOffset="3194.48">2822 3711 24575,'0'-26'0,"1"14"0,-1-1 0,0 0 0,-1 1 0,0-1 0,-1 1 0,0-1 0,-8-22 0,10 34 0,-1 0 0,1 0 0,0 1 0,-1-1 0,1 0 0,0 1 0,-1-1 0,1 0 0,-1 1 0,1-1 0,-1 0 0,1 1 0,-1-1 0,0 1 0,1-1 0,-1 1 0,0 0 0,1-1 0,-1 1 0,0 0 0,0-1 0,1 1 0,-1 0 0,0 0 0,0-1 0,1 1 0,-2 0 0,1 1 0,-1-1 0,1 0 0,0 1 0,0-1 0,0 1 0,0 0 0,0-1 0,0 1 0,0 0 0,0 0 0,0 0 0,0 0 0,0-1 0,1 1 0,-1 0 0,0 0 0,1 1 0,-2 1 0,-4 11 0,0 2 0,1-1 0,1 1 0,0-1 0,-2 30 0,3-24 0,1 1 0,1-1 0,1 1 0,1 0 0,0-1 0,9 37 0,-8-48 0,1 1 0,1-1 0,0 0 0,0 0 0,1 0 0,0-1 0,1 1 0,0-1 0,0-1 0,1 1 0,0-1 0,0 0 0,1 0 0,0-1 0,13 8 0,-13-9 0,1-1 0,0-1 0,0 1 0,0-1 0,1-1 0,-1 0 0,1 0 0,0-1 0,0 0 0,-1-1 0,15 1 0,-19-2 0,0 0 0,0-1 0,0 1 0,0-1 0,0 0 0,0-1 0,0 1 0,0-1 0,0 0 0,-1 0 0,1 0 0,0-1 0,-1 0 0,0 0 0,0 0 0,0 0 0,0-1 0,0 1 0,-1-1 0,1 0 0,-1 0 0,0 0 0,4-8 0,-2 0 0,0 1 0,-1-1 0,0-1 0,-1 1 0,0-1 0,-1 1 0,0-1 0,-1 0 0,-1 1 0,0-1 0,-1 0 0,0 0 0,-1 1 0,0-1 0,-1 1 0,-7-21 0,2 11 0,-1 1 0,-1-1 0,-1 1 0,-1 1 0,0 0 0,-2 1 0,0 0 0,-20-20 0,25 31 0,0-1 0,-1 1 0,1 0 0,-2 1 0,1 0 0,-21-9 0,26 13 0,0 1 0,-1 1 0,1-1 0,0 1 0,0 0 0,-1 0 0,1 0 0,-1 1 0,1 0 0,-1 0 0,1 0 0,0 1 0,-1-1 0,1 1 0,0 1 0,-1-1 0,1 1 0,-5 2 0,2 1 0,1 0 0,0 0 0,0 0 0,0 1 0,0 0 0,1 1 0,0 0 0,1-1 0,-1 2 0,1-1 0,1 1 0,-1-1 0,1 1 0,1 1 0,-1-1 0,-3 16 0,4-13 0,0 0 0,1 1 0,0-1 0,1 0 0,0 1 0,1-1 0,0 1 0,1-1 0,0 1 0,1-1 0,0 0 0,8 21 0,-7-24 0,2-1 0,-1 1 0,1-1 0,0 0 0,1 0 0,0 0 0,0-1 0,0 0 0,1 0 0,0-1 0,0 1 0,0-2 0,1 1 0,11 5 0,-2-3 0,0 0 0,1 0 0,0-2 0,0 0 0,32 3 0,-40-7 0,0 0 0,-1-1 0,1 0 0,0 0 0,0-1 0,0-1 0,-1 0 0,1 0 0,-1-1 0,12-4 0,-15 4 0,1 0 0,-1-1 0,0 0 0,-1 0 0,1 0 0,-1-1 0,1 1 0,-1-1 0,-1-1 0,1 1 0,-1-1 0,0 1 0,0-1 0,5-12 0,-2 0 0,0 0 0,-2-1 0,0 0 0,-1 0 0,-1 0 0,1-25 0,-6-115 0,2 147 0,0 2 0,0 0 0,-1-1 0,0 1 0,-1 0 0,0 0 0,-1 0 0,-4-12 0,7 21 0,0 1 0,0 0 0,0 0 0,0-1 0,0 1 0,-1 0 0,1 0 0,0 0 0,0-1 0,0 1 0,0 0 0,0 0 0,0 0 0,0 0 0,0-1 0,-1 1 0,1 0 0,0 0 0,0 0 0,0 0 0,0 0 0,-1-1 0,1 1 0,0 0 0,0 0 0,0 0 0,0 0 0,-1 0 0,1 0 0,0 0 0,0 0 0,-1 0 0,1 0 0,0 0 0,0 0 0,0 0 0,-1 0 0,1 0 0,0 0 0,0 0 0,0 0 0,-1 0 0,1 0 0,0 0 0,0 0 0,0 0 0,-1 0 0,1 0 0,0 1 0,0-1 0,0 0 0,0 0 0,-1 0 0,1 0 0,0 0 0,0 1 0,0-1 0,0 0 0,0 0 0,0 0 0,-1 1 0,1-1 0,-1 3 0,0 0 0,-1 1 0,1-1 0,0 1 0,1-1 0,-1 1 0,1-1 0,-1 1 0,1-1 0,0 1 0,1-1 0,-1 1 0,0-1 0,1 1 0,2 5 0,-1 0 0,1 0 0,0 0 0,1-1 0,0 1 0,6 8 0,-5-10 0,0 1 0,1-1 0,0 0 0,1-1 0,-1 0 0,1 0 0,0 0 0,1-1 0,0 0 0,-1 0 0,1-1 0,1 0 0,-1 0 0,1-1 0,-1 0 0,1 0 0,0-1 0,0 0 0,0-1 0,0 0 0,15-1 0,-16 0 0,1-1 0,-1 1 0,0-2 0,1 1 0,-1-2 0,0 1 0,0-1 0,0 0 0,-1 0 0,1-1 0,-1 0 0,0 0 0,0-1 0,0 0 0,0 0 0,-1-1 0,0 0 0,0 0 0,-1 0 0,0-1 0,0 0 0,0 0 0,5-11 0,-3 3 0,-2 1 0,0-1 0,-1 0 0,0 0 0,-1 0 0,-1-1 0,0 1 0,-1-1 0,-1 1 0,0-1 0,-2 1 0,1-1 0,-6-20 0,7 35 0,-1 0 0,1 0 0,0 0 0,0 0 0,0 0 0,-1 0 0,1 1 0,-1-1 0,1 0 0,0 0 0,-1 0 0,0 0 0,1 1 0,-1-1 0,1 0 0,-1 1 0,-1-2 0,2 2 0,0 0 0,-1 0 0,1 1 0,-1-1 0,1 0 0,0 0 0,-1 0 0,1 0 0,0 1 0,-1-1 0,1 0 0,0 0 0,0 1 0,-1-1 0,1 0 0,0 0 0,0 1 0,-1-1 0,1 0 0,0 1 0,0-1 0,0 0 0,0 1 0,-1-1 0,1 0 0,0 1 0,0 0 0,-7 32 0,7-25 0,1-1 0,0 0 0,0 0 0,0 1 0,1-1 0,0 0 0,0 0 0,1 0 0,0-1 0,0 1 0,1-1 0,0 1 0,0-1 0,0 0 0,1-1 0,-1 1 0,2-1 0,-1 0 0,0 0 0,1 0 0,0-1 0,0 0 0,7 4 0,-3-3 0,0 0 0,0-1 0,1 0 0,-1-1 0,1 0 0,0 0 0,0-1 0,0 0 0,0-1 0,0-1 0,1 0 0,-1 0 0,0-1 0,21-4 0,-15 0 0,0-1 0,-1 0 0,0-1 0,0-1 0,-1-1 0,0 0 0,-1-1 0,1 0 0,-2-1 0,0-1 0,0 0 0,-1 0 0,-1-2 0,0 1 0,0-1 0,-2-1 0,12-21 0,-9 12 0,-1-1 0,-1 0 0,-1-1 0,-2 1 0,0-2 0,-2 1 0,0-1 0,-2 1 0,-1-1 0,-3-53 0,-9 8-80,-4 1 1,-30-98-1,36 143-43,-113-358-1691,104 341 1814,-24-42 0,37 77 0,0 1 0,-1 0 0,1 1 0,-1-1 0,-11-10 0,15 17 0,1-1 0,-1 0 0,0 1 0,0-1 0,0 1 0,1-1 0,-1 1 0,0-1 0,0 1 0,0 0 0,0 0 0,0-1 0,0 1 0,0 0 0,0 0 0,0 0 0,0 0 0,0 0 0,0 0 0,-1 0 0,0 1 0,1 0 0,0 0 0,0-1 0,-1 1 0,1 0 0,0 0 0,0 0 0,0 1 0,0-1 0,0 0 0,0 0 0,1 0 0,-1 1 0,0-1 0,0 0 0,1 1 0,-1 2 0,-3 8 0,0 1 0,1 0 0,1 0 0,0 0 0,0 22 0,5 76 0,5-48 0,3 0 0,2-1 0,3-1 0,2-1 0,3 0 0,3-1 0,60 105 0,-71-142-18,2 0 0,0 0 0,2-2 0,21 21-1,-29-32 65,0 0-1,1-1 0,0-1 1,1 1-1,0-2 0,0 1 1,0-2-1,1 1 0,24 6 1,-32-11-35,0 0 1,0 0-1,1 0 1,-1-1-1,0 0 1,1 0-1,-1 0 1,0 0-1,1-1 1,-1 0-1,0 0 1,1 0-1,-1 0 1,0 0-1,0-1 1,0 0-1,0 0 1,-1 0-1,1 0 1,0-1-1,-1 1 1,0-1-1,1 0 1,-1 0-1,0 0 1,0-1-1,-1 1 1,1-1-1,-1 1 1,0-1-1,0 0 0,0 0 1,0 0-1,-1 0 1,1 0-1,-1 0 1,0 0-1,1-8 1,1-45-6838</inkml:trace>
  <inkml:trace contextRef="#ctx0" brushRef="#br0" timeOffset="3399.35">3816 2653 24575,'-11'0'0,"7"0"0,21-17 0,29-15 0,23-14 0,11-21 0,3 1 0,-13 1 0,-19 17 0,-17 28 0,-21 27 0,-11 13-8191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09:44.332"/>
    </inkml:context>
    <inkml:brush xml:id="br0">
      <inkml:brushProperty name="width" value="0.035" units="cm"/>
      <inkml:brushProperty name="height" value="0.035" units="cm"/>
      <inkml:brushProperty name="color" value="#E71224"/>
    </inkml:brush>
  </inkml:definitions>
  <inkml:trace contextRef="#ctx0" brushRef="#br0">1 10120 24575,'0'-38'0,"3"1"0,1 0 0,2 0 0,10-36 0,61-152 0,21-17-661,39-77-1985,44-86 1403,54-97-1086,62-102 1028,58-83-1573,906-1450-879,-874 1574 3155,-57 119 449,-72 115 149,-78 101 278,-13 2 1655,-163 220-1522,5-8 967,-11 17-646,-16 20 282,-24 23 1832,-8 5-4075</inkml:trace>
  <inkml:trace contextRef="#ctx0" brushRef="#br0" timeOffset="1262.24">4266 1525 24575,'0'-12'0,"0"13"0,0 27 0,4 89 13,30 187 0,47 116-330,-66-349 136,-7-35 145,106 430-22,-103-434 58,-9-28 0,-3-7 0,-15-52 0,-39-113-336,8-1 0,-36-242 1,49 86-550,-9-1073-4651,52 1172 5113,-6 193 423,1 1 0,15-52 0,-17 76 19,0 1 0,1 0 0,-1 0 0,2 0 0,-1 0 0,1 1 0,0-1 0,0 1 0,7-7 0,-10 12 6,1-1 0,-1 1 0,0 0-1,1 0 1,-1 0 0,0 0 0,1 1-1,-1-1 1,1 0 0,-1 1-1,1-1 1,0 1 0,-1-1 0,1 1-1,-1 0 1,1-1 0,0 1 0,-1 0-1,1 0 1,0 0 0,-1 0 0,1 1-1,0-1 1,-1 0 0,1 1-1,0-1 1,-1 1 0,1 0 0,-1-1-1,1 1 1,-1 0 0,0 0 0,3 2-1,2 2 81,0 0-1,-1 1 1,1 0-1,-2 0 0,1 0 1,4 8-1,3 7 310,0 1 1,-2 0-1,0 0 1,-1 1-1,-2 0 0,10 45 1,-12-32-325,-1 0 0,-2 1 0,-1-1 0,-5 39 0,-5-4 201,-3 1 1,-3-2-1,-4 0 1,-29 74 0,-233 465-91,193-433-683,76-152 417,-8 14 50,2 2 0,1 0 0,-13 52 0,28-85 15,0 1 0,1 0 0,0-1 0,0 1 0,1 0 0,0 0 0,0 0 0,1 0 0,0-1 0,5 16 0,-5-18 0,1 0 0,1-1 0,-1 0 0,1 1 0,-1-1 0,1 0 0,1 0 0,-1 0 0,0-1 0,1 1 0,0-1 0,0 0 0,0 0 0,0 0 0,0 0 0,1-1 0,5 3 0,3 0-330,-1-1 0,26 6 0,23-1-4619</inkml:trace>
  <inkml:trace contextRef="#ctx0" brushRef="#br0" timeOffset="2069.77">4779 1911 24575,'0'-31'0,"1"-2"0,-2 0 0,-1 0 0,-8-41 0,8 65 0,0 0 0,-1 0 0,0 0 0,-1 0 0,1 1 0,-2-1 0,1 1 0,-1 0 0,-1 0 0,1 1 0,-1-1 0,-1 1 0,1 0 0,-1 1 0,0 0 0,-9-6 0,11 8 0,0 1 0,-1 0 0,1 0 0,-1 0 0,1 0 0,-1 1 0,0 0 0,0 0 0,0 1 0,0 0 0,0 0 0,0 0 0,-1 1 0,1-1 0,0 2 0,0-1 0,0 1 0,-1 0 0,1 0 0,0 0 0,0 1 0,0 0 0,1 0 0,-1 1 0,0-1 0,1 1 0,-1 1 0,1-1 0,-7 7 0,0 1 0,1 0 0,1 1 0,0 0 0,1 0 0,0 1 0,1 1 0,0-1 0,-8 22 0,2 1 0,1 1 0,-10 48 0,16-49 0,1 0 0,1 0 0,0 60 0,6-80 0,0 0 0,0-1 0,1 1 0,1 0 0,1-1 0,0 0 0,1 0 0,0 0 0,2-1 0,13 26 0,-16-35 0,-1-1 0,0 1 0,1-1 0,0 0 0,0 0 0,0 0 0,1-1 0,-1 0 0,1 1 0,0-1 0,-1-1 0,1 1 0,1-1 0,-1 0 0,0 0 0,1 0 0,-1-1 0,1 0 0,-1 0 0,1 0 0,-1-1 0,1 0 0,0 0 0,-1 0 0,1-1 0,-1 1 0,1-2 0,9-2 0,-4 1 0,0-2 0,0 1 0,-1-1 0,1-1 0,-1 0 0,-1 0 0,1-1 0,-1-1 0,0 1 0,-1-1 0,0-1 0,0 1 0,8-12 0,-6 2 0,0 0 0,-1 0 0,-1-1 0,0 0 0,-2 0 0,0-1 0,-1 1 0,2-24 0,8-162 0,-15 196 0,0-177 0,-1 159 0,1 31 0,5 43 0,-3-34 0,2 1 0,0-1 0,0 0 0,2 0 0,-1 0 0,2-1 0,-1 0 0,2 0 0,-1 0 0,2-1 0,0 0 0,0-1 0,0 0 0,12 9 0,-4-5 0,1-1 0,1-1 0,-1 0 0,2-2 0,-1 0 0,2-1 0,-1-1 0,1-1 0,0-1 0,1 0 0,-1-2 0,1-1 0,31 2 0,-37-5 0,-1-1 0,1 0 0,0-1 0,0-1 0,-1 0 0,0-1 0,0 0 0,22-11 0,-25 10 0,-1-2 0,0 1 0,-1-1 0,1-1 0,-1 0 0,-1-1 0,0 1 0,0-2 0,0 1 0,-1-1 0,9-15 0,-8 8 0,0 0 0,-2 0 0,0-1 0,0 0 0,-2-1 0,0 1 0,4-37 0,-5 4 0,-3-87 0,-2 116 0,-1 0 0,0 0 0,-2 0 0,0 0 0,-2 1 0,-11-31 0,15 48 0,1 1 0,-1-1 0,0 1 0,0-1 0,0 1 0,0 0 0,0 0 0,-1 0 0,0 0 0,0 0 0,1 0 0,-1 1 0,-1-1 0,1 1 0,0 0 0,-1 0 0,1 0 0,-1 1 0,-6-3 0,7 4 0,-1-1 0,0 1 0,1 0 0,-1 1 0,1-1 0,-1 1 0,1-1 0,-1 1 0,1 0 0,-1 0 0,1 1 0,0-1 0,-1 1 0,1-1 0,0 1 0,0 0 0,0 0 0,1 1 0,-1-1 0,0 1 0,-2 3 0,-5 6 0,0 0 0,1 0 0,1 1 0,0 1 0,1-1 0,1 1 0,0 0 0,-8 29 0,5-8 0,1 1 0,-4 61 0,11-91 0,0 1 0,1-1 0,0 0 0,0 1 0,0-1 0,1 1 0,0-1 0,0 1 0,0-1 0,1 0 0,0 0 0,1 0 0,-1 0 0,1 0 0,5 8 0,-6-12 0,0 0 0,-1-1 0,1 1 0,0-1 0,0 1 0,0-1 0,1 0 0,-1 0 0,0 0 0,0 0 0,1 0 0,-1 0 0,0-1 0,1 1 0,-1-1 0,1 0 0,-1 1 0,1-1 0,-1 0 0,1 0 0,-1-1 0,0 1 0,1-1 0,-1 1 0,1-1 0,-1 0 0,4-1 0,3-2 0,-1 0 0,0 0 0,0-1 0,0 0 0,-1 0 0,8-8 0,-5 3 0,0-1 0,-1 0 0,-1-1 0,1 0 0,-2 0 0,0-1 0,0 1 0,-1-2 0,-1 1 0,0-1 0,-1 0 0,5-23 0,-1-16 0,-2 0 0,-1-53 0,-4 83 0,2-56 0,-3 77 0,0-1 0,0 0 0,1 0 0,-1 0 0,1 0 0,-1 1 0,1-1 0,2-5 0,-2 8 0,-1 0 0,0 0 0,0 0 0,0 0 0,0 0 0,1 0 0,-1-1 0,0 1 0,0 0 0,0 0 0,1 0 0,-1 0 0,0 0 0,0 0 0,0 0 0,1 0 0,-1 0 0,0 0 0,0 1 0,0-1 0,1 0 0,-1 0 0,0 0 0,0 0 0,0 0 0,0 0 0,1 0 0,-1 0 0,0 0 0,0 1 0,0-1 0,0 0 0,0 0 0,1 0 0,-1 0 0,0 1 0,0-1 0,0 0 0,11 18 0,224 557-435,-194-464-119,-28-75 473,64 184-84,-65-176 181,-1 0 0,9 91 0,-19-118-16,0-1 0,-1 1 0,-1-1 0,-1 1 0,0-1 0,-1 1 0,-1-1 0,-1 0 0,-6 17 0,6-23 0,0 0 0,-1 0 0,0-1 0,0 0 0,-1 0 0,0 0 0,-1-1 0,0 0 0,0-1 0,0 0 0,-1 0 0,0 0 0,-1-1 0,-11 5 0,9-5 94,0-1-1,0 0 1,-1-1-1,0 0 1,1-1-1,-1-1 1,0 0-1,0-1 1,-15 0-1,19-1-167,1 0 0,-1-1 0,1-1-1,-1 1 1,1-1 0,0-1 0,0 0-1,0 0 1,0 0 0,1-1 0,-1 0 0,1 0-1,0-1 1,-12-11 0,-20-27-6752</inkml:trace>
  <inkml:trace contextRef="#ctx0" brushRef="#br0" timeOffset="2477.25">5933 723 24575,'0'0'0,"0"0"0,-1 0 0,1 0 0,-1 0 0,1 0 0,0 0 0,-1 0 0,1 0 0,-1 0 0,1 0 0,0 0 0,-1 0 0,1 1 0,0-1 0,-1 0 0,1 0 0,-1 0 0,1 0 0,0 1 0,0-1 0,-1 0 0,1 0 0,0 1 0,-1-1 0,1 0 0,0 1 0,0-1 0,-1 0 0,1 1 0,0-1 0,0 0 0,0 1 0,0-1 0,-1 0 0,1 1 0,0-1 0,0 1 0,0-1 0,0 0 0,0 1 0,0-1 0,0 1 0,0-1 0,0 0 0,0 1 0,0-1 0,0 1 0,0-1 0,1 0 0,-1 1 0,3 1 0,1 0 0,-1-1 0,1 1 0,-1-1 0,1 0 0,0 0 0,-1-1 0,1 1 0,0-1 0,7 1 0,0 0 0,8 1 0,0-1 0,0 0 0,0-2 0,0 0 0,25-5 0,-39 5 0,1 0 0,0-1 0,-1 0 0,1 0 0,-1 0 0,0-1 0,0 1 0,0-1 0,0-1 0,0 1 0,-1-1 0,1 1 0,-1-1 0,0-1 0,0 1 0,-1 0 0,1-1 0,-1 0 0,0 0 0,0 0 0,4-10 0,-5 8 0,0 0 0,-1 0 0,0-1 0,0 1 0,0 0 0,-1-1 0,0 1 0,-1 0 0,1-1 0,-2 1 0,1 0 0,-1 0 0,0-1 0,0 1 0,-1 1 0,0-1 0,0 0 0,0 1 0,-1-1 0,0 1 0,0 0 0,-1 0 0,0 1 0,0-1 0,-7-5 0,10 10 0,-1-1 0,1 1 0,0-1 0,-1 1 0,1 0 0,-1 0 0,1 0 0,-1 0 0,0 0 0,1 1 0,-1-1 0,0 1 0,1 0 0,-1 0 0,0 0 0,0 0 0,1 0 0,-1 0 0,-3 2 0,1-1 0,0 1 0,0 0 0,-1 1 0,1-1 0,1 1 0,-1 0 0,0 0 0,-5 5 0,0 2 0,-1 1 0,2-1 0,0 2 0,0-1 0,1 1 0,0 1 0,1-1 0,0 1 0,-5 16 0,-2 9 0,2 1 0,-7 43 0,12-49 0,1 0 0,2 1 0,1 0 0,2 48 0,2-72 0,0 1 0,0 0 0,1 0 0,0-1 0,1 1 0,0-1 0,1 0 0,0 0 0,1 0 0,0-1 0,0 1 0,1-1 0,1 0 0,-1-1 0,1 1 0,0-1 0,16 12 0,-13-12 0,0-2 0,0 1 0,1-1 0,0-1 0,0 0 0,0-1 0,1 0 0,0 0 0,-1-1 0,1-1 0,0 0 0,1-1 0,-1 0 0,0-1 0,0 0 0,0-1 0,24-4 0,-19 1 0,0-1 0,-1-1 0,1 0 0,-1-1 0,-1-1 0,1 0 0,-1-1 0,-1-1 0,0 0 0,0-1 0,-1 0 0,12-14 0,-8 7-136,-2 1-1,0-2 1,-1 0-1,0-1 1,-2 0-1,-1-1 1,0 0-1,-1-1 0,11-39 1,-13 13-6690</inkml:trace>
  <inkml:trace contextRef="#ctx0" brushRef="#br0" timeOffset="3149.1">4939 4314 24575,'0'-6'0,"1"9"0,2 19 0,-1-7 0,16 86 0,43 129 0,-27-111 0,-31-109 0,57 229 0,-47-175 0,9 109 0,-21-168 0,-1-1 0,0 1 0,0-1 0,-1 1 0,-1 7 0,2-12 0,0 1 0,0-1 0,0 1 0,0-1 0,0 1 0,-1-1 0,1 0 0,0 1 0,0-1 0,-1 1 0,1-1 0,0 0 0,0 1 0,-1-1 0,1 1 0,0-1 0,-1 0 0,1 0 0,-1 1 0,1-1 0,0 0 0,-1 1 0,1-1 0,-1 0 0,1 0 0,-1 0 0,1 0 0,0 0 0,-1 1 0,1-1 0,-2 0 0,-1-2 0,0 0 0,0 0 0,0 0 0,1 0 0,-1 0 0,0 0 0,1-1 0,0 1 0,-1-1 0,1 0 0,0 0 0,0 0 0,1 0 0,-3-4 0,-13-24 3,1-1 0,1 0 0,2-1 0,-15-54 0,-18-148-285,17 24-386,-1-270-1,30 474 669,2-130 0,-1 116 0,1 1 0,2 0 0,0 0 0,8-25 0,-11 41 0,1 0 0,-1 0 0,1 0 0,0 0 0,0 0 0,0 0 0,0 1 0,1-1 0,-1 0 0,1 1 0,0 0 0,0 0 0,0 0 0,1 0 0,-1 0 0,1 1 0,-1-1 0,1 1 0,5-2 0,-6 3 0,-1 1 0,1-1 0,0 1 0,-1 0 0,1-1 0,0 2 0,0-1 0,-1 0 0,1 0 0,0 1 0,-1-1 0,5 3 0,-2-1 0,0 0 0,0 1 0,0 0 0,0 0 0,-1 0 0,1 0 0,5 6 0,8 11-2,0 0-1,-1 1 1,-2 1-1,0 0 0,-1 1 1,-1 0-1,-1 1 1,16 49-1,-14-26 76,-1 1-1,-3 1 1,9 97 0,-17-124 75,-1-1 1,-1 0-1,-1 0 1,-1 0-1,0 1 1,-2-2-1,0 1 1,-8 20-1,9-33-148,-1 0 0,0-1 0,0 1 0,-7 8 0,11-15 0,-1 1 0,0-1 0,0 0 0,0 0 0,0 1 0,0-1 0,-1 0 0,1 0 0,0 0 0,0-1 0,-1 1 0,1 0 0,0 0 0,-1-1 0,1 1 0,-1 0 0,1-1 0,-1 0 0,1 1 0,-1-1 0,1 0 0,-1 0 0,1 0 0,-1 0 0,1 0 0,-1 0 0,-1 0 0,2-1 0,0 0 0,0 1 0,-1-1 0,1 0 0,0 0 0,0 0 0,1 1 0,-1-1 0,0 0 0,0 0 0,0 0 0,1 0 0,-1-1 0,0 1 0,1 0 0,-1 0 0,1 0 0,-1 0 0,1-1 0,0 1 0,-1 0 0,1-1 0,0 1 0,0 0 0,0 0 0,0-1 0,0 0 0,1-4 0,-1 1 0,1-1 0,0 1 0,0 0 0,3-9 0,0 5 0,1-1 0,0 1 0,0 0 0,1 1 0,0 0 0,1-1 0,0 2 0,0-1 0,0 1 0,1 0 0,0 1 0,1 0 0,-1 0 0,1 1 0,0 0 0,1 0 0,11-3 0,-14 5 0,1 0 0,1 0 0,-1 1 0,0 0 0,1 1 0,-1 0 0,1 0 0,-1 1 0,1 0 0,-1 1 0,1-1 0,-1 2 0,0-1 0,1 1 0,-1 0 0,0 1 0,0 0 0,0 0 0,-1 1 0,1 0 0,9 7 0,-7-2 0,0 0 0,-1 0 0,0 1 0,-1 0 0,0 0 0,-1 1 0,0 0 0,-1 1 0,0-1 0,-1 1 0,0 1 0,-1-1 0,0 0 0,-1 1 0,0 0 0,-1 0 0,0 0 0,-1 16 0,-1-11 0,0 0 0,-1 0 0,-1 0 0,-1-1 0,-1 1 0,0-1 0,-1 1 0,-1-1 0,-1 0 0,0-1 0,-1 0 0,-17 26 0,16-30 0,0-1 0,0 0 0,-1-1 0,-1 0 0,1 0 0,-1-1 0,-1-1 0,0 0 0,0 0 0,-1-2 0,0 1 0,0-1 0,-26 7 0,34-12 0,1 0 0,0 0 0,-1 0 0,1-1 0,0 0 0,-1 0 0,1 0 0,-1 0 0,1-1 0,-1 1 0,1-1 0,0 0 0,0-1 0,-1 1 0,1-1 0,0 0 0,-4-2 0,3 1 0,1-1 0,0 0 0,0 0 0,1 0 0,-1 0 0,1 0 0,0-1 0,0 0 0,0 1 0,1-1 0,-1 0 0,1 0 0,-3-11 0,-1-7-682,-4-40-1,0-29-6143</inkml:trace>
  <inkml:trace contextRef="#ctx0" brushRef="#br0" timeOffset="3477.49">5710 3961 24575,'9'1'0,"1"0"0,-1 1 0,1-1 0,-1 2 0,0-1 0,12 6 0,-3-1 0,3 1 0,-1 1 0,0 1 0,0 1 0,-1 1 0,-1 0 0,0 1 0,0 1 0,-2 1 0,16 17 0,-16-14 0,0 0 0,-2 2 0,0-1 0,-1 2 0,-1 0 0,-1 0 0,0 1 0,7 27 0,-16-44 0,0-1 0,-1 0 0,0 1 0,0-1 0,0 1 0,0 0 0,-1-1 0,0 1 0,0 0 0,0-1 0,0 1 0,-1-1 0,0 1 0,0 0 0,0-1 0,-1 1 0,1-1 0,-1 0 0,0 0 0,0 1 0,-3 3 0,3-6 0,1-1 0,0 0 0,0 1 0,-1-1 0,1 0 0,-1 0 0,1 0 0,-1 0 0,0 0 0,1 0 0,-1-1 0,0 1 0,1 0 0,-1-1 0,0 1 0,0-1 0,0 0 0,1 0 0,-1 1 0,0-1 0,0 0 0,0-1 0,0 1 0,1 0 0,-1 0 0,0-1 0,0 1 0,0-1 0,1 0 0,-1 1 0,0-1 0,1 0 0,-1 0 0,1 0 0,-1 0 0,1 0 0,-2-2 0,-4-3 0,1 1 0,0-2 0,1 1 0,-1 0 0,1-1 0,0 0 0,-5-10 0,0-5 0,1 1 0,0-2 0,2 0 0,-8-39 0,-7-99 0,22 161 0,-3-30 0,0-1 0,3 1 0,0 0 0,7-52 0,-5 74 0,0 0 0,0 0 0,1 0 0,0 0 0,1 1 0,-1-1 0,1 1 0,1 0 0,8-11 0,-9 13 0,1 1 0,0-1 0,0 1 0,0 0 0,0 1 0,1-1 0,-1 1 0,1 0 0,0 0 0,0 1 0,0 0 0,1 0 0,-1 0 0,7 0 0,17-1-341,0 1 0,0 2-1,53 6 1,0 4-6485</inkml:trace>
  <inkml:trace contextRef="#ctx0" brushRef="#br0" timeOffset="4550.96">6542 3834 24575,'33'-12'0,"52"-28"0,-75 34 0,0 0 0,-1-1 0,-1 0 0,1 0 0,-1-1 0,0 0 0,8-11 0,-14 17 0,-1-1 0,1 1 0,0-1 0,-1 1 0,1-1 0,-1 1 0,0-1 0,0 0 0,0 0 0,0 0 0,0 0 0,-1 0 0,1 0 0,-1 0 0,0 0 0,0 0 0,0 0 0,0 0 0,-1 0 0,1 0 0,-1 0 0,1 0 0,-1 1 0,0-1 0,0 0 0,-1 0 0,1 1 0,-1-1 0,1 0 0,-1 1 0,-3-4 0,2 2 0,-1 1 0,0-1 0,0 1 0,-1 0 0,1 0 0,-1 0 0,1 0 0,-1 1 0,0 0 0,0 0 0,0 0 0,0 1 0,0 0 0,0 0 0,-1 0 0,1 0 0,-8 1 0,6 0 0,0 0 0,0 1 0,0 0 0,0 0 0,0 1 0,0 0 0,0 0 0,0 1 0,1 0 0,-1 0 0,1 0 0,-9 7 0,5-2 0,0 1 0,1 0 0,0 0 0,0 1 0,1 0 0,0 0 0,1 1 0,1 0 0,-1 0 0,2 1 0,-1 0 0,2 0 0,0 0 0,-4 15 0,7-20 0,-1 1 0,1-1 0,1 0 0,-1 0 0,1 1 0,0-1 0,1 0 0,0 1 0,0-1 0,1 0 0,-1 0 0,2 0 0,-1 0 0,1 0 0,0 0 0,0-1 0,1 1 0,0-1 0,0 0 0,0 0 0,1-1 0,0 1 0,0-1 0,0 0 0,1 0 0,7 5 0,2-2 0,0 0 0,0 0 0,1-2 0,0 0 0,0-1 0,1 0 0,-1-1 0,1-1 0,0-1 0,0 0 0,0-2 0,0 0 0,22-2 0,-3-2 0,-1-1 0,0-2 0,0-2 0,-1-1 0,45-19 0,-49 16 0,-1-1 0,-1-2 0,0 0 0,-1-2 0,-1-1 0,35-33 0,-46 38 0,-1-2 0,0 0 0,-1-1 0,-1 0 0,-1-1 0,0 0 0,-1-1 0,-1 0 0,-1-1 0,11-37 0,-15 40 0,-1 0 0,0-1 0,-1 1 0,-1-1 0,-1 1 0,-1-18 0,0 29 0,1 1 0,-1 0 0,0 0 0,0 0 0,0 0 0,-1 0 0,0 0 0,0 1 0,0-1 0,0 0 0,-1 1 0,1 0 0,-1-1 0,-1 1 0,1 0 0,0 1 0,-1-1 0,0 0 0,0 1 0,0 0 0,0 0 0,-1 0 0,1 1 0,-8-4 0,8 5 0,-1 0 0,0 0 0,1 0 0,-1 1 0,0-1 0,0 1 0,0 0 0,0 1 0,0-1 0,1 1 0,-1 0 0,0 0 0,1 0 0,-1 1 0,0 0 0,1 0 0,0 0 0,-6 3 0,-1 2 0,0 1 0,1 0 0,0 1 0,0 0 0,-13 14 0,13-10 0,1-1 0,0 1 0,1 0 0,0 1 0,1 0 0,0 0 0,-4 16 0,8-22 0,1-1 0,0 1 0,0 0 0,1 0 0,0 0 0,0 0 0,1 0 0,0 0 0,0 0 0,1 0 0,0 0 0,1 0 0,0 0 0,5 15 0,-6-20 0,1 0 0,-1 0 0,1 0 0,0 0 0,0 0 0,0 0 0,0-1 0,1 1 0,-1 0 0,1-1 0,0 0 0,-1 0 0,6 3 0,-6-4 0,0 0 0,0 0 0,1 0 0,-1-1 0,0 1 0,1-1 0,-1 0 0,0 1 0,1-1 0,-1 0 0,1 0 0,-1-1 0,0 1 0,1 0 0,3-2 0,-1 0 0,1-1 0,-1 1 0,0-1 0,0 0 0,0 0 0,0-1 0,0 0 0,-1 0 0,0 0 0,0 0 0,0-1 0,0 1 0,0-1 0,3-7 0,2-8 0,0 0 0,-1 0 0,-2-1 0,0 1 0,4-32 0,4-62 0,-14 126 0,1-1 0,0 0 0,1 1 0,0-1 0,0 0 0,1 0 0,1 0 0,0 0 0,0-1 0,1 0 0,0 0 0,1 0 0,9 12 0,-11-16 0,0-1 0,1 1 0,0-1 0,0 0 0,0 0 0,1-1 0,-1 0 0,1 1 0,0-2 0,0 1 0,1-1 0,-1 0 0,1 0 0,-1-1 0,1 0 0,0 0 0,0 0 0,0-1 0,0 0 0,0-1 0,0 0 0,14-1 0,-11 0 0,0-2 0,-1 0 0,1 0 0,-1 0 0,1-2 0,-1 1 0,0-1 0,14-10 0,-2-1 0,-2 0 0,25-26 0,-31 28 0,-2 0 0,0 0 0,0-1 0,-1-1 0,-1 1 0,-1-2 0,0 1 0,-1-1 0,9-35 0,-10 24 0,-1-2 0,-1 1 0,-2-1 0,-1 1 0,-4-46 0,-4 4 0,-3 1 0,-4 1 0,-2 0 0,-43-113 0,55 172 0,-1-1 0,0 2 0,0-1 0,-1 0 0,-12-15 0,17 24 0,0 0 0,0 0 0,0 0 0,0 0 0,0 0 0,-1 0 0,1 0 0,0 1 0,0-1 0,0 0 0,-1 1 0,1-1 0,0 1 0,-1 0 0,1-1 0,0 1 0,-3 0 0,3 0 0,0 0 0,0 0 0,0 1 0,0-1 0,0 0 0,1 1 0,-1-1 0,0 1 0,0-1 0,0 1 0,0-1 0,0 1 0,1 0 0,-1-1 0,0 1 0,0 0 0,1 0 0,-2 0 0,-1 5 0,0-1 0,0 1 0,1 0 0,0 0 0,0 0 0,-2 8 0,-2 14 0,2 1 0,0-1 0,2 1 0,2 29 0,3-1 0,11 64 0,-8-87 0,1-1 0,1-1 0,2 1 0,18 38 0,-23-59 0,1-1 0,0 0 0,0 0 0,1 0 0,0-1 0,1 0 0,1 0 0,-1-1 0,1 0 0,1-1 0,0 0 0,0 0 0,0-1 0,16 8 0,-22-13 0,1 0 0,-1-1 0,0 1 0,1-1 0,0 0 0,-1 0 0,1 0 0,0-1 0,0 0 0,-1 0 0,1 0 0,0 0 0,-1-1 0,1 0 0,0 0 0,-1 0 0,1 0 0,-1-1 0,1 0 0,-1 0 0,0 0 0,0 0 0,0-1 0,0 1 0,0-1 0,0 0 0,-1 0 0,1-1 0,-1 1 0,0-1 0,3-4 0,4-6 0,-1 0 0,-1-1 0,0 0 0,-1-1 0,0 0 0,-1 0 0,5-26 0,1-13 0,7-92 0,-10-55 0,-8 172 0,0-36 0,-2 61 0,1 0 0,-1 0 0,1 1 0,-1-1 0,-1 0 0,1 0 0,-1 1 0,0-1 0,-3-5 0,5 10 0,0-1 0,0 1 0,-1-1 0,1 1 0,0 0 0,-1-1 0,1 1 0,0 0 0,-1-1 0,1 1 0,-1 0 0,1 0 0,0-1 0,-1 1 0,1 0 0,-1 0 0,1 0 0,-1 0 0,1 0 0,0 0 0,-1-1 0,1 1 0,-1 0 0,1 0 0,-1 0 0,1 0 0,-1 1 0,1-1 0,-1 0 0,1 0 0,-1 0 0,1 0 0,0 0 0,-1 1 0,1-1 0,-1 0 0,1 0 0,0 0 0,-1 1 0,1-1 0,0 0 0,-1 1 0,1-1 0,0 0 0,-1 1 0,1-1 0,0 1 0,0-1 0,-1 1 0,-9 12 0,1 0 0,1 1 0,0 0 0,0 0 0,-8 24 0,9-20 0,-14 28 0,4-10 0,1 0 0,2 1 0,-14 62 0,27-96 0,0 0 0,1 0 0,0 0 0,0 0 0,0 1 0,0-1 0,0 0 0,1 0 0,-1 0 0,2 3 0,-2-5 0,1 0 0,-1 0 0,0 0 0,1 0 0,0 0 0,-1 0 0,1-1 0,0 1 0,-1 0 0,1 0 0,0 0 0,0-1 0,0 1 0,0 0 0,-1-1 0,1 1 0,0-1 0,0 1 0,2 0 0,1-1 0,0 0 0,-1 0 0,1 0 0,-1 0 0,1 0 0,0-1 0,-1 1 0,1-1 0,-1 0 0,1 0 0,-1-1 0,0 1 0,1-1 0,3-2 0,6-3 0,30-17 0,2 2 0,88-30 0,-119 48 0,0 0 0,1 1 0,0 1 0,0 0 0,0 1 0,-1 1 0,1 0 0,0 1 0,0 0 0,0 2 0,0-1 0,-1 2 0,0 0 0,17 7 0,-19-5 0,0-1 0,-1 2 0,0 0 0,-1 0 0,1 1 0,-1 0 0,-1 1 0,1 0 0,-2 0 0,1 1 0,-1 0 0,-1 1 0,0 0 0,9 18 0,-10-15 0,0 0 0,-2-1 0,0 2 0,0-1 0,-2 0 0,1 1 0,-2-1 0,0 1 0,-1 0 0,0-1 0,-1 1 0,-5 25 0,-1-11-455,-2 0 0,-12 29 0,-28 52-6371</inkml:trace>
  <inkml:trace contextRef="#ctx0" brushRef="#br0" timeOffset="5224.82">6542 5278 24575,'0'-10'0,"1"1"0,-1-1 0,1 1 0,1-1 0,0 1 0,0 0 0,1 0 0,0 0 0,4-9 0,-3 12 0,-1 0 0,1 1 0,0 0 0,0-1 0,1 1 0,-1 1 0,1-1 0,0 1 0,1 0 0,-1 0 0,1 0 0,-1 1 0,12-5 0,-12 5 0,0 1 0,1 0 0,-1 0 0,1 1 0,-1 0 0,1 0 0,0 0 0,-1 0 0,1 1 0,0 0 0,0 0 0,-1 1 0,1 0 0,0 0 0,-1 0 0,1 0 0,-1 1 0,1 0 0,-1 0 0,0 1 0,0-1 0,0 1 0,0 0 0,7 6 0,1 2 0,0 1 0,-1 0 0,-1 1 0,0 0 0,16 26 0,39 82 0,-22-38 0,-28-53 0,30 46 0,-40-67 0,0-1 0,0-1 0,1 1 0,0-1 0,0 0 0,13 8 0,-20-14 0,1-1 0,0 1 0,0 0 0,0-1 0,0 1 0,0-1 0,0 1 0,0-1 0,0 1 0,0-1 0,0 0 0,1 1 0,-1-1 0,0 0 0,0 0 0,0 0 0,0 0 0,0 0 0,0 0 0,1 0 0,-1 0 0,0-1 0,2 0 0,-1 0 0,0-1 0,-1 1 0,1-1 0,0 0 0,-1 0 0,1 0 0,-1 0 0,1 0 0,-1 0 0,0 0 0,1-4 0,12-26 0,-2 0 0,-1-2 0,-2 1 0,6-39 0,11-145 0,-8-122 0,-17 330 0,1-12 0,-1 21 0,-1 0 0,1 0 0,-1 0 0,1 0 0,0 0 0,-1 0 0,1 0 0,-1 0 0,1 0 0,0 0 0,-1 0 0,1 0 0,-1 0 0,1 0 0,-1 1 0,1-1 0,-1 0 0,1 0 0,-1 1 0,1-1 0,-1 0 0,1 1 0,-1-1 0,1 0 0,-1 1 0,1-1 0,-1 1 0,0-1 0,1 1 0,0 0 0,21 17 0,1-1 0,0-1 0,27 12 0,-38-22 0,0 0 0,1-1 0,0-1 0,0 0 0,0 0 0,0-1 0,1-1 0,21 1 0,-31-3 0,0 0 0,0 0 0,0-1 0,0 0 0,0 1 0,1-1 0,-1-1 0,0 1 0,-1 0 0,1-1 0,0 0 0,0 0 0,-1 0 0,1 0 0,4-5 0,-4 3 0,0 0 0,-1-1 0,1 1 0,-1-1 0,0 0 0,0 0 0,0 0 0,-1 0 0,0 0 0,2-6 0,1-11 0,-1 0 0,-1 0 0,-1 0 0,-1-35 0,0 38 0,-3-19 0,1 32 0,0-1 0,1 0 0,0 1 0,0-1 0,1 0 0,0 1 0,1-8 0,-2 14 0,1 0 0,-1 0 0,0 0 0,0-1 0,0 1 0,1 0 0,-1 0 0,0 0 0,0-1 0,1 1 0,-1 0 0,0 0 0,0 0 0,1 0 0,-1 0 0,0 0 0,0 0 0,1-1 0,-1 1 0,0 0 0,0 0 0,1 0 0,-1 0 0,0 0 0,1 0 0,-1 0 0,0 1 0,0-1 0,1 0 0,-1 0 0,0 0 0,1 0 0,-1 0 0,0 0 0,0 0 0,0 1 0,1-1 0,-1 0 0,0 0 0,0 0 0,1 1 0,-1-1 0,0 0 0,0 0 0,0 0 0,0 1 0,1-1 0,-1 0 0,0 0 0,0 1 0,0-1 0,25 27 0,-3-4 0,47 39 0,5-14 0,3 0 0,-68-42 0,-2 1 0,1 0 0,0 0 0,-1 1 0,-1-1 0,10 15 0,-10-11-455,0-1 0,7 21 0,2 19-6371</inkml:trace>
  <inkml:trace contextRef="#ctx0" brushRef="#br0" timeOffset="5365.17">7697 3834 24575,'6'6'0,"1"1"-8191</inkml:trace>
  <inkml:trace contextRef="#ctx0" brushRef="#br0" timeOffset="6111.4">8083 4314 24575,'0'2'0,"0"-1"0,0 0 0,0 1 0,1-1 0,-1 0 0,1 0 0,-1 1 0,1-1 0,-1 0 0,1 0 0,0 1 0,0-1 0,0 0 0,-1 0 0,1 0 0,0 0 0,0 0 0,0-1 0,1 1 0,-1 0 0,0 0 0,2 0 0,30 12 0,-24-11 0,1-1 0,-1 0 0,1 0 0,0-1 0,-1 0 0,1 0 0,0-2 0,-1 1 0,1-1 0,-1 0 0,0-1 0,1 0 0,11-6 0,-11 5 0,0-2 0,-1 1 0,0-1 0,0 0 0,0-1 0,-1 0 0,0-1 0,0 0 0,0 0 0,-1 0 0,9-16 0,-7 8 0,-1-1 0,0-1 0,-1 1 0,-1-1 0,-1 0 0,5-35 0,-8 41 0,-2 1 0,1-1 0,-1 0 0,-1 1 0,-2-15 0,2 20 0,-1 0 0,1 0 0,-1 1 0,0-1 0,-1 1 0,1 0 0,-1 0 0,0 0 0,0 0 0,-1 0 0,-3-4 0,5 7 0,0 0 0,-1 0 0,1 0 0,0 0 0,-1 0 0,1 1 0,-1-1 0,1 1 0,-1 0 0,0-1 0,1 1 0,-1 0 0,0 1 0,0-1 0,0 1 0,0-1 0,0 1 0,0 0 0,0 0 0,0 0 0,1 0 0,-1 1 0,0-1 0,0 1 0,0-1 0,0 1 0,0 0 0,1 0 0,-6 3 0,-1 1 0,1 1 0,-1 0 0,1 0 0,0 1 0,1 0 0,0 0 0,-11 14 0,1 2 0,2 1 0,0 0 0,1 2 0,2-1 0,0 1 0,2 1 0,1 0 0,1 0 0,1 1 0,2 0 0,1 0 0,1 1 0,1-1 0,1 0 0,5 39 0,-1-49 0,1 0 0,1 0 0,0-1 0,2 0 0,0 0 0,1 0 0,0-1 0,1 0 0,21 26 0,-24-34 0,1-1 0,0 0 0,0 0 0,1 0 0,0-1 0,0 0 0,1-1 0,12 7 0,-15-9 0,0-1 0,0 0 0,1 0 0,-1 0 0,1-1 0,-1 0 0,1 0 0,0-1 0,-1 0 0,1 0 0,0 0 0,-1-1 0,11-2 0,-5-1 0,0 0 0,0-1 0,-1 0 0,0-1 0,0 0 0,-1-1 0,1 0 0,-1-1 0,-1 0 0,0 0 0,0-1 0,0 0 0,-1-1 0,-1 0 0,0 0 0,8-15 0,0-2 0,-2 0 0,-1-1 0,-1 0 0,-1-1 0,9-49 0,-10 33 0,-1-1 0,-2 0 0,-3 0 0,-3-80 0,-6 99 0,1 22 0,1 15 0,3-3 0,0 1 0,1-1 0,-1 0 0,2 1 0,-1-1 0,1 1 0,0-1 0,1 0 0,0 1 0,0-1 0,1 0 0,-1 0 0,1-1 0,1 1 0,-1 0 0,1-1 0,1 0 0,-1 0 0,7 7 0,-6-8 0,0 1 0,1-1 0,-1 0 0,1-1 0,0 1 0,0-1 0,0 0 0,1-1 0,-1 1 0,1-1 0,0-1 0,0 1 0,0-1 0,0 0 0,1-1 0,-1 0 0,0 0 0,1 0 0,-1-1 0,10-1 0,-10 0 0,1-1 0,-1 0 0,1 0 0,-1 0 0,0-1 0,0 0 0,0-1 0,0 1 0,-1-1 0,1-1 0,-1 1 0,9-9 0,0-4 0,0 0 0,24-36 0,-18 24 0,-19 25 0,1 1 0,0 0 0,0 0 0,0 0 0,0 1 0,0-1 0,1 1 0,-1-1 0,1 1 0,-1 0 0,1 0 0,0 1 0,0-1 0,0 1 0,7-1 0,2 0 0,1 0 0,-1 2 0,20 0 0,-1 1 0,-21-1 0,0 0 0,0-1 0,0-1 0,0 0 0,0 0 0,0-1 0,18-7 0,-23 7 0,0 0 0,-1-1 0,1 1 0,-1-1 0,0 0 0,0-1 0,0 1 0,-1-1 0,0 0 0,0 0 0,0 0 0,0 0 0,-1-1 0,0 0 0,3-6 0,-1-2 0,0 1 0,-2-1 0,1-1 0,-2 1 0,0 0 0,0-1 0,-2 1 0,0-1 0,0 1 0,-1-1 0,-6-26 0,-1 7 0,-2 0 0,-1 1 0,-25-53 0,28 68 0,-2 0 0,0 0 0,-22-28 0,28 41 0,0 0 0,-1 0 0,0 0 0,0 1 0,0 0 0,0 0 0,0 0 0,-1 1 0,0-1 0,0 1 0,0 1 0,0-1 0,0 1 0,0 0 0,-8-1 0,11 3 3,-1-1 0,0 1 0,0 1 0,0-1 0,0 0 0,0 1 0,0 0 0,1 0 0,-1 0 0,0 0 0,0 0 0,1 1 0,-1 0 0,1 0 0,0 0 0,-1 0 0,1 0 0,0 1 1,0-1-1,0 1 0,1 0 0,-1 0 0,1 0 0,-1 0 0,1 0 0,-3 6 0,-4 9-139,1 0-1,0 1 1,1-1 0,-4 21 0,3-13-630,-14 48-6060</inkml:trace>
  <inkml:trace contextRef="#ctx0" brushRef="#br0" timeOffset="6435.18">7473 5854 24575,'28'-5'0,"35"-14"0,46-29 0,42-35 0,40-36 0,24-30-2619,15-11 2619,-5 4 0,-29 30 0,-49 30 0,-48 42 622,-58 42-622,-47 33 0,-34 25 0,-25 25 0,-25 18 0,4-6-6194</inkml:trace>
  <inkml:trace contextRef="#ctx0" brushRef="#br0" timeOffset="6704.05">7793 5887 24575,'-21'10'-8706,"-1"0"4397,-10 5 3171,21-10 1798,0 1 1,0 0-1,0 1 1,-10 8-1,10-2 590,11-13-1233,0 0-1,0 0 1,0 1 0,0-1 0,0 0 0,0 0 0,0 0-1,0 0 1,0 1 0,0-1 0,0 0 0,0 0-1,0 0 1,0 0 0,0 1 0,0-1 0,0 0-1,0 0 1,0 0 0,0 0 0,0 0 0,0 1 0,1-1-1,-1 0 1,0 0 0,0 0 0,0 0 0,0 0-1,0 0 1,0 1 0,0-1 0,1 0 0,-1 0 0,0 0-1,0 0 1,0 0 0,0 0 0,1 0 0,-1 0-1,0 0 1,0 0 0,0 0 0,0 0 0,1 0-1,3 0 63,0 0 0,0 0-1,0-1 1,0 0-1,0 0 1,-1 0-1,8-3 1,75-32 641,90-52 1,-155 76-730,494-289 3398,-17-31-2291,-449 299-1098,193-139 0,-167 114 0,70-72 0,-128 112 0,27-34 0,-41 48 16,0 0 0,0 0 0,-1-1 0,5-9 1,-7 14-42,0-1 1,0 1 0,1-1 0,-1 0 0,0 1 0,0-1-1,0 1 1,0-1 0,0 1 0,0-1 0,0 0 0,0 1 0,0-1-1,0 1 1,-1-1 0,1 1 0,0-1 0,0 0 0,0 1-1,-1-1 1,1 1 0,0-1 0,-1 1 0,1-1 0,0 1 0,-1 0-1,1-1 1,-1 1 0,1-1 0,0 1 0,-1 0 0,1-1 0,-1 1-1,1 0 1,-1-1 0,1 1 0,-1 0 0,0 0 0,1 0-1,-1 0 1,1-1 0,-1 1 0,0 0 0,-27 0-4888</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1:49.791"/>
    </inkml:context>
    <inkml:brush xml:id="br0">
      <inkml:brushProperty name="width" value="0.05" units="cm"/>
      <inkml:brushProperty name="height" value="0.05" units="cm"/>
      <inkml:brushProperty name="color" value="#004F8B"/>
    </inkml:brush>
  </inkml:definitions>
  <inkml:trace contextRef="#ctx0" brushRef="#br0">81 10920 24575,'0'6'0,"0"-8"0,0-17 0,0 1 0,0-150 0,0 6 0,0-80-650,0-105-1952,0-143 1123,0-163-1834,0-168 1843,6-145-1093,48-593 645,64 4 474,-17 694 843,-2 153 533,-3 151 398,-14 134-248,-19 114-82,46-165 2907,-104 452-2230,-3 15-363,0 0-1,0 0 0,-1 0 0,0-1 1,0 1-1,-1-1 0,0 1 0,0-1 0,-2-13 1,1 20-200,1 0 0,-1 1 0,1-1 0,0 1 1,-1-1-1,1 1 0,-1-1 0,0 1 1,1-1-1,-1 1 0,1-1 0,-1 1 0,0-1 1,1 1-1,-1 0 0,0 0 0,1-1 0,-1 1 1,0 0-1,0 0 0,1 0 0,-1 0 0,0 0 1,1 0-1,-1 0 0,0 0 0,0 0 1,1 0-1,-1 0 0,0 0 0,0 0 0,1 1 1,-1-1-1,-1 1 0,-23 11 1016,-49 40 2602,21-12-3635,15-15-82,-42 40-1,64-50-15,0 1 0,2 0 0,0 1-1,-22 36 1,-55 121 1,43-77 0,-97 247 0,91-203 0,44-114 0,-2-1 0,-2 0 0,-24 37 0,25-49 0,13-13 0,0-1 0,0 0 0,0 0 0,0 0 0,0 0 0,-1 0 0,1 0 0,0 0 0,0 1 0,0-1 0,0 0 0,0 0 0,0 0 0,0 0 0,-1 0 0,1 0 0,0 0 0,0 0 0,0 0 0,0 0 0,0 0 0,-1 0 0,1 0 0,0 0 0,0 0 0,0 0 0,0 0 0,0 0 0,0 0 0,-1 0 0,1 0 0,0 0 0,0 0 0,0 0 0,0 0 0,0 0 0,0 0 0,-1 0 0,1-1 0,0 1 0,0 0 0,0 0 0,0 0 0,0 0 0,0 0 0,0 0 0,0 0 0,-1 0 0,1-1 0,0-2 0,0 0 0,1-1 0,-1 1 0,1 0 0,-1 0 0,1 0 0,0-1 0,1-2 0,113-267 0,-80 196 0,149-296-770,252-377-1,-368 652 336,-57 85 388,0 0 0,0 1 0,2 1 0,21-16 0,-31 24 46,0 1 0,0 0-1,1 0 1,-1 0-1,1 1 1,-1-1 0,1 1-1,0 0 1,-1 0-1,1 0 1,0 0-1,0 1 1,0-1 0,0 1-1,6 1 1,-7-1-1,1 1-1,-1 0 1,1 1 0,-1-1 0,1 1 0,-1-1-1,0 1 1,0 0 0,0 0 0,0 0-1,0 1 1,0-1 0,4 6 0,4 7 24,-1 1 1,0 0-1,-1 0 1,-1 1 0,9 25-1,-3-9 121,166 326 1127,-136-284-1535,4-1 1,88 105 0,-70-107-6418</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1:51.853"/>
    </inkml:context>
    <inkml:brush xml:id="br0">
      <inkml:brushProperty name="width" value="0.05" units="cm"/>
      <inkml:brushProperty name="height" value="0.05" units="cm"/>
      <inkml:brushProperty name="color" value="#004F8B"/>
    </inkml:brush>
  </inkml:definitions>
  <inkml:trace contextRef="#ctx0" brushRef="#br0">28192 278 24575,'-12'0'1,"-603"-11"-323,343-3-964,-86 1 376,-106-2-1444,-137-12 936,-148-6-1899,-149 3 1933,-144 7-834,-140 7 1371,-133 6-325,-131 5 735,-130 3-138,-127 9 431,-112 28 144,-1840 105 0,14 71 0,2126-114 0,232-22 0,240-23 0,222-21 0,202-15 148,182-11 446,151-6-34,117-4 1087,156 4-1453,1 0 0,-1-1 0,-23-6 0,33 7-89,1 0-1,0 0 0,0 0 1,0 0-1,0 0 0,0 0 1,1 0-1,-1-1 1,0 1-1,0 0 0,1-1 1,-1 0-1,1 1 0,-1-1 1,1 0-1,0 0 0,0 0 1,0 0-1,0 0 1,0 0-1,0 0 0,0 0 1,1 0-1,-1 0 0,1-4 1,0-4 335,1 0-1,0 0 1,1 0 0,1 0 0,-1 1 0,1-1 0,1 1 0,0 0 0,7-12-1,-5 7 381,14-31-229,-1 0 0,-3-2-1,-1 0 1,-3 0 0,-2-1 0,-2-1-1,2-57 1,-9-7-591,0 112 0,-1 1 0,0-1 0,0 1 0,0-1 0,0 0 0,0 1 0,1-1 0,-1 1 0,0-1 0,-1 1 0,1-1 0,0 0 0,0 1 0,0-1 0,0 1 0,0-1 0,0 1 0,-1-1 0,1 0 0,0 1 0,0-1 0,-1 1 0,1-1 0,-1 1 0,1 0 0,0-1 0,-1 0 0,-10 17 0,10-14 0,-191 305 0,128-219 0,-100 108 0,-25-8 0,179-178 0,-10 9 0,-23 27 0,30-22 0,13-23 0,-1-1 0,1 1 0,0 0 0,0-1 0,0 1 0,0 0 0,0-1 0,0 1 0,0-1 0,0 1 0,0 0 0,0-1 0,0 1 0,0 0 0,0-1 0,1 1 0,-1-1 0,0 1 0,0 0 0,1-1 0,0 2 0,1-1 0,0 0 0,0 0 0,1 0 0,-1 0 0,0 0 0,1 0 0,-1-1 0,1 1 0,-1-1 0,1 0 0,-1 0 0,1 0 0,-1 0 0,1 0 0,-1 0 0,3-1 0,177-22 0,41-3 0,-149 25-186,1 3-1,90 14 1,144 45-374,-288-56 560,218 62 0,-205-55 0,-1 1 0,-1 2 0,0 1 0,56 39 0,-76-47 0,-2 1 0,1 0 0,-1 1 0,0 0 0,-1 0 0,12 18 0,-18-23 0,0-1 0,-1 1 0,1 0 0,-1 0 0,0-1 0,-1 1 0,1 1 0,-1-1 0,0 0 0,0 0 0,-1 0 0,0 1 0,1-1 0,-2 0 0,1 0 0,-1 1 0,1-1 0,-2 0 0,-2 10 0,0-6-84,-1-1 0,-1 0 0,1 1 0,-1-2-1,-1 1 1,1-1 0,-1 0 0,0 0 0,-1-1-1,0 0 1,0 0 0,0-1 0,-11 6 0,-55 26-5810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1:53.582"/>
    </inkml:context>
    <inkml:brush xml:id="br0">
      <inkml:brushProperty name="width" value="0.05" units="cm"/>
      <inkml:brushProperty name="height" value="0.05" units="cm"/>
      <inkml:brushProperty name="color" value="#004F8B"/>
    </inkml:brush>
  </inkml:definitions>
  <inkml:trace contextRef="#ctx0" brushRef="#br0">96 3094 24575,'-1'0'0,"0"0"0,-1 0 0,1 0 0,0 0 0,0 1 0,0-1 0,-1 0 0,1 1 0,0-1 0,0 1 0,0-1 0,0 1 0,0 0 0,0-1 0,0 1 0,0 0 0,0 0 0,0 0 0,0 0 0,1 0 0,-2 1 0,-11 26 0,10-19 0,-10 21 0,3 0 0,0 1 0,-10 61 0,19-91 0,1 0 0,0 0 0,-1 0 0,1 0 0,0 0 0,0 0 0,0 0 0,0 1 0,0-1 0,0 0 0,0 0 0,0 0 0,0 0 0,0 0 0,1 0 0,-1 0 0,0 0 0,1 0 0,-1 0 0,1 0 0,-1 0 0,1-1 0,0 1 0,0 1 0,1-2 0,-1-1 0,1 1 0,0-1 0,-1 0 0,0 0 0,1 1 0,-1-1 0,1 0 0,-1 0 0,0-1 0,0 1 0,0 0 0,0 0 0,1-1 0,-2 1 0,1 0 0,1-2 0,30-43 0,31-59 0,-42 69 0,311-579-1754,-52-28-728,-101 75 905,-35-3 729,-88 307 816,-48 221-32,3-63 0,-11 104 64,0 0-1,0 0 1,0 0-1,0 0 0,0 0 1,0 1-1,-1-1 1,1 0-1,-1 0 0,1 0 1,-3-3-1,3 5 5,0 0-1,-1 0 1,1-1 0,-1 1-1,1 0 1,0 0 0,-1 0-1,1 0 1,-1 0 0,1 0-1,0 0 1,-1 0-1,1 0 1,-1 0 0,1 0-1,0 0 1,-1 0 0,1 0-1,-1 0 1,1 1-1,0-1 1,-1 0 0,1 0-1,0 0 1,-1 1 0,1-1-1,0 0 1,-1 0 0,1 1-1,0-1 1,-1 0-1,1 1 1,0-1 0,0 0-1,0 1 1,-1-1 0,1 0-1,0 1 1,-9 13 129,0-1 0,1 2 0,1-1 0,-7 20 1,-42 115 28,-61 269 0,101-349 372,3 1-1,-5 91 0,18-134-266,0 0 0,2 0 1,8 43-1,-6-53-198,1 0 0,0-1 0,1 0 0,1 0 0,0 0 0,15 23 0,-6-19-57,-1 0 0,2-1 0,1 0 0,0-2 0,1 0 0,1-1 0,25 15 0,160 84 127,-129-76-122,-12-5-17,98 68 0,-152-94 14,1 0-1,-2 1 1,1 0 0,-1 1 0,0-1 0,-1 2-1,0-1 1,-1 1 0,10 21 0,-13-22 112,0-1 1,-2 1 0,1 0-1,-1 0 1,0 0-1,-1 0 1,0 1 0,-1-1-1,0 0 1,-1 0-1,0 1 1,0-1 0,-4 12-1,-3 5-73,-1-1 0,-1 0 0,-1-1 0,-2 0 0,0-1 0,-1-1 0,-19 23 0,-1-3-106,-1-2 0,-67 60 0,69-72 8,-2-1 0,-1-2 0,0-2 0,-2-1 0,-1-1 0,-1-3 0,0-1 0,-1-2 0,-1-2 0,-1-2 0,0-1 0,-74 7 0,95-16 45,-1-1 0,1-1 0,-1-1 0,0-1 0,1-2 0,0 0 0,-22-7 0,28 6 0,0-1 0,1-1 0,0 0 0,0-1 0,0-1 0,1 0 0,1-1 0,0-1 0,0 0 0,-13-14 0,7 2 1,1-1 0,0-1 0,2 0 0,-15-32 0,-43-116-207,34 55-297,-34-177 0,49 141 503,24 136 0,0-1 0,1 1 0,1-1 0,1 1 0,0 0 0,6-20 0,-6 31 10,0 0 1,0 0-1,1 0 1,0 0-1,1 0 1,0 0-1,0 1 1,0 0-1,10-12 1,-10 15 15,-1 0 0,1 0 0,0 1 0,0-1 1,0 1-1,0-1 0,0 1 0,0 0 0,1 1 0,-1-1 0,1 1 1,-1 0-1,1 0 0,0 0 0,-1 1 0,9 0 0,-2 0-10,-1 2-1,0-1 0,0 1 0,1 1 1,-1 0-1,-1 0 0,1 1 1,13 7-1,-2 1-24,0 1 0,32 26-1,-24-13 31,-1 1 0,-1 0 0,-2 2-1,-1 1 1,25 42 0,85 173 283,-26-42 6,-83-163-209,1 0 0,58 65 0,-72-92-266,1 0-1,1-1 1,0 0 0,1-1 0,0-1-1,30 16 1,11-4-6661</inkml:trace>
  <inkml:trace contextRef="#ctx0" brushRef="#br0" timeOffset="579.79">1956 1779 24575,'0'-13'0,"-1"0"0,-1 0 0,0 0 0,-1 1 0,0-1 0,-1 0 0,-1 1 0,0 0 0,-8-14 0,8 16 0,-1 0 0,0 1 0,-1 0 0,0 1 0,0-1 0,-1 1 0,0 0 0,0 1 0,-1 0 0,0 1 0,-10-7 0,10 9 0,0-1 0,0 2 0,0-1 0,-1 1 0,0 0 0,0 1 0,-17-2 0,21 4 0,-1 0 0,1 0 0,-1 0 0,0 1 0,1 0 0,0 1 0,-1-1 0,1 1 0,0 0 0,0 1 0,0 0 0,0 0 0,-8 5 0,3 0 0,1 1 0,0 0 0,1 0 0,0 1 0,0 0 0,1 0 0,1 1 0,0 0 0,-9 19 0,2 1 0,1 0 0,-14 54 0,20-57 0,1 0 0,1 1 0,1-1 0,2 1 0,1 0 0,1 0 0,1 0 0,10 53 0,-7-63 0,1 0 0,1 0 0,1-1 0,0 0 0,2 0 0,0-1 0,1 0 0,0 0 0,1-1 0,1 0 0,1-1 0,0-1 0,30 26 0,-34-33 0,0 0 0,0 0 0,1-1 0,0 0 0,0-1 0,0 0 0,1 0 0,0-1 0,0-1 0,0 0 0,0 0 0,0-1 0,1 0 0,-1-1 0,0-1 0,1 0 0,-1 0 0,1-1 0,21-4 0,-16 0 0,0-1 0,0 0 0,0-1 0,-1-1 0,0-1 0,-1 0 0,0-1 0,-1 0 0,1-1 0,-2-1 0,16-17 0,-12 10 0,-1-2 0,-1 0 0,0-1 0,-2 0 0,-1-1 0,-1 0 0,11-33 0,-3-6 0,-3-2 0,-3 0 0,-3-1 0,2-67 0,-10 114 0,1 14 0,4 29 0,11 51 0,46 158 0,-56-214 0,0-1 0,0 0 0,2-1 0,0 0 0,2 0 0,-1-1 0,27 29 0,-36-45 0,-1 0 0,0 1 0,1-1 0,-1 0 0,1 0 0,-1 0 0,1 0 0,-1 0 0,1 0 0,0-1 0,0 1 0,2 0 0,-4-1 0,1 0 0,0 0 0,-1 0 0,1 0 0,-1 0 0,1 0 0,-1 0 0,1 0 0,-1 0 0,1-1 0,-1 1 0,1 0 0,-1 0 0,1-1 0,-1 1 0,1 0 0,-1-1 0,1 1 0,-1 0 0,0-1 0,1 1 0,-1 0 0,0-1 0,1 1 0,-1-1 0,0 1 0,1-1 0,0-3 0,0-1 0,0 1 0,0 0 0,0 0 0,-1-1 0,0 1 0,0 0 0,0-1 0,-1-5 0,-8-80 0,-2-3 0,3-126 0,9 191 0,1 1 0,1 0 0,1 0 0,2 0 0,1 0 0,1 1 0,1 0 0,1 1 0,16-29 0,-23 48 0,0 0 0,0 1 0,1 0 0,0 0 0,0 0 0,1 0 0,-1 0 0,1 1 0,0 0 0,0 0 0,0 0 0,1 0 0,0 1 0,-1 0 0,9-3 0,-8 5 0,0 0 0,-1 0 0,1 0 0,0 1 0,0 0 0,0 0 0,0 0 0,0 1 0,-1 0 0,1 0 0,0 1 0,-1-1 0,1 1 0,-1 0 0,1 1 0,6 3 0,8 7-227,-1 0-1,-1 1 1,0 1-1,-1 1 1,19 21-1,20 24-6598</inkml:trace>
  <inkml:trace contextRef="#ctx0" brushRef="#br0" timeOffset="1367.9">3337 1426 24575,'-2'0'0,"0"-1"0,1 0 0,-1 0 0,1 0 0,0-1 0,-1 1 0,1 0 0,0-1 0,0 1 0,0 0 0,0-1 0,-2-2 0,-11-13 0,12 16 0,0 1 0,0-1 0,1 1 0,-1-1 0,0 1 0,0-1 0,0 1 0,0 0 0,1 0 0,-1 0 0,0 0 0,0 0 0,0 1 0,0-1 0,1 0 0,-1 1 0,0-1 0,0 1 0,1 0 0,-1 0 0,0 0 0,1 0 0,-1 0 0,1 0 0,-1 0 0,1 0 0,-1 0 0,1 1 0,-2 1 0,-2 3 0,-1 1 0,1 0 0,0 0 0,1 0 0,-6 11 0,5-5 0,-1 1 0,1 0 0,1 0 0,1 0 0,0 0 0,0 0 0,2 1 0,0-1 0,0 1 0,4 27 0,-3-36 0,1 0 0,0 1 0,1-1 0,-1 0 0,1 0 0,1 0 0,-1 0 0,1 0 0,0 0 0,0-1 0,1 0 0,-1 1 0,1-1 0,0 0 0,1-1 0,-1 1 0,1-1 0,0 0 0,0 0 0,0 0 0,1-1 0,-1 0 0,1 0 0,0 0 0,0 0 0,11 2 0,-9-4 0,-1 1 0,1-1 0,0-1 0,-1 0 0,1 0 0,0 0 0,-1-1 0,1 0 0,0 0 0,-1-1 0,1 0 0,-1-1 0,0 1 0,0-1 0,0-1 0,0 1 0,0-1 0,-1-1 0,8-6 0,-4 3 0,-1 0 0,0-1 0,-1 0 0,0 0 0,-1-1 0,0 0 0,0-1 0,-1 0 0,0 0 0,-1 0 0,6-19 0,-6 11 0,0 0 0,-1-1 0,-1 0 0,-1 1 0,-1-1 0,-1 0 0,0 0 0,-2 0 0,0 0 0,-1 0 0,-1 1 0,-1-1 0,-1 1 0,0 0 0,-2 1 0,-9-19 0,14 32 0,-1-1 0,1 1 0,-1 0 0,0 0 0,0 0 0,-1 1 0,1-1 0,-1 1 0,0 0 0,0 0 0,-1 1 0,1 0 0,-1 0 0,0 0 0,1 0 0,-11-2 0,11 4 0,-1 0 0,0 1 0,0-1 0,0 1 0,0 0 0,0 1 0,0 0 0,0 0 0,1 0 0,-1 0 0,0 1 0,1 0 0,-1 0 0,1 1 0,-1-1 0,1 1 0,0 0 0,-5 4 0,2 0 0,-1 0 0,1 1 0,0-1 0,1 1 0,0 1 0,0-1 0,1 1 0,0 1 0,1-1 0,0 1 0,0 0 0,1 0 0,0 0 0,-4 21 0,6-24 0,1 0 0,0 0 0,1 0 0,0 0 0,0 0 0,0 0 0,1 0 0,0 0 0,0 0 0,1 0 0,0 0 0,0 0 0,0-1 0,1 1 0,0-1 0,0 0 0,1 1 0,0-1 0,0-1 0,0 1 0,1-1 0,0 0 0,0 0 0,7 6 0,1-3 0,0 0 0,0 0 0,0-1 0,1-1 0,0-1 0,1 1 0,-1-2 0,1 0 0,0-1 0,0-1 0,0 0 0,0-1 0,0 0 0,0-2 0,16-1 0,-5-1 0,0-1 0,0-2 0,0 0 0,-1-2 0,0 0 0,-1-2 0,44-24 0,-43 19 0,-2-1 0,0-2 0,-1 0 0,-1-1 0,-1-1 0,0-1 0,-2 0 0,0-2 0,-1 0 0,-2-1 0,0 0 0,-2-2 0,-1 1 0,-1-2 0,15-50 0,-10 10-91,-2-2 0,8-134-1,-19 96-44,-13-127-1,-4 125 137,13 100 0,-2 0 0,1 0 0,-1 0 0,0 0 0,-1 1 0,0 0 0,0 0 0,-10-14 0,13 21 0,0-1 0,0 1 0,0 0 0,0 0 0,0 0 0,0 0 0,0 0 0,0 0 0,-1 1 0,1-1 0,0 0 0,-1 1 0,1-1 0,0 1 0,-1-1 0,-1 0 0,2 1 0,0 0 0,0 0 0,0 1 0,0-1 0,0 0 0,0 0 0,0 1 0,0-1 0,0 0 0,0 1 0,0-1 0,0 1 0,1-1 0,-1 1 0,0-1 0,0 1 0,0 0 0,0 1 0,-3 3 0,1 0 0,-1 0 0,2 0 0,-1 1 0,0-1 0,1 1 0,-2 6 0,-6 30 0,1 0 0,2 1 0,3 0 0,-1 52 0,5-38 0,1 0 0,4 0 0,1 0 0,4-1 0,1 0 0,21 56 0,-21-82 0,1 0 0,1-1 0,2-1 0,1 0 0,23 29 0,-24-38 0,0-1 0,1-1 0,2 0 0,-1-1 0,2-1 0,0-1 0,35 20 0,-36-25 19,1 0 1,0-2-1,0 0 1,1-1-1,0-1 1,0-1 0,0 0-1,0-2 1,0 0-1,1-2 1,-1 0-1,1-1 1,36-7-1,-43 5-6,0 0 1,0-1-1,0-1 0,0 0 0,-1-1 0,0-1 0,0 0 0,-1 0 0,0-2 0,0 1 0,-1-1 0,0-1 0,0 0 0,-1-1 0,-1 0 0,0 0 0,0-1 0,-1 0 0,-1 0 0,8-18 0,-3 1-4,-2 0 1,-2 0-1,0-1 0,-2 0 0,4-55 0,-10-158-261,0 235 230,-41-455-1077,33 421 1099,-2 1 0,-15-44 0,23 79 0,0 0 0,0 0 0,-1 0 0,0 0 0,0 1 0,0-1 0,-1 1 0,1 0 0,-1-1 0,0 2 0,-9-9 0,12 13 0,0-1 0,1 1 0,-1 0 0,0-1 0,0 1 0,0 0 0,0-1 0,1 1 0,-1 0 0,0 0 0,0 0 0,0 0 0,0 0 0,0 0 0,0 0 0,1 0 0,-1 0 0,0 0 0,0 1 0,0-1 0,0 0 0,-1 1 0,1 0 0,-1 1 0,0-1 0,1 0 0,0 1 0,-1-1 0,1 1 0,0-1 0,0 1 0,0-1 0,0 1 0,0 0 0,-1 2 0,-3 10 0,1 0 0,1 0 0,0 1 0,1-1 0,-1 17 0,0 42-122,2 0-1,4-1 0,3 1 1,30 136-1,-8-99-82,4-1 1,69 155-1,-81-219 377,1-1-1,2-1 0,2 0 1,2-2-1,48 56 0,-75-96-178,33 30 316,-32-30-366,0 0 1,1 0-1,-1 0 1,0 0-1,1 0 1,-1-1-1,1 1 1,-1 0-1,1-1 1,-1 0-1,1 1 1,0-1-1,-1 0 1,1 0-1,-1 1 1,1-1-1,0-1 1,-1 1-1,1 0 1,-1 0 0,4-1-1,-4 0-580,1 0 0,0 0 0,0 0 0,-1-1 0,1 1 0,-1 0 0,1-1 0,2-2 0</inkml:trace>
  <inkml:trace contextRef="#ctx0" brushRef="#br0" timeOffset="2300.63">2951 4185 24575,'-13'-6'0,"3"1"0,10 5 0,0 0 0,0 1 0,-1-1 0,1 0 0,0 0 0,0 0 0,-1 0 0,1 0 0,0 0 0,0 0 0,0 0 0,0 0 0,-1 1 0,1-1 0,0 0 0,0 0 0,0 0 0,0 0 0,-1 1 0,1-1 0,0 0 0,0 0 0,0 0 0,0 1 0,0-1 0,0 0 0,0 0 0,0 0 0,0 1 0,0-1 0,0 0 0,-1 0 0,1 1 0,0-1 0,1 0 0,-1 0 0,0 1 0,0-1 0,0 0 0,0 0 0,0 1 0,1 20 0,2 0 0,0 0 0,10 31 0,-2-4 0,27 120-217,2 13-381,77 320-697,27-10 918,-47-222 377,-93-257 0,0 2 0,1-1 0,2 19 0,-7-30 0,1 0 0,-1 0 0,0 0 0,1 0 0,-1 0 0,0 0 0,0 0 0,-1 0 0,1 0 0,0 0 0,-1 0 0,1-1 0,-1 1 0,1 0 0,-1 0 0,0 0 0,0 0 0,0-1 0,0 1 0,0-1 0,0 1 0,-1 0 0,-1 1 0,2-2 10,-1-1 0,1 1 0,-1 0 1,1-1-1,-1 0 0,0 1 0,1-1 0,-1 0 1,1 1-1,-1-1 0,0 0 0,1 0 0,-1-1 1,0 1-1,1 0 0,-1 0 0,1-1 0,-1 1 1,1-1-1,-1 1 0,0-1 0,1 0 0,0 0 1,-1 0-1,-2-1 0,-4-4 113,0-1 0,1 1 0,-12-13 1,-3-7-99,2-1 0,0-1 0,2-1 1,1 0-1,-22-56 0,-42-125-196,3-75-516,-106-784-2519,161 776 2599,22 229 584,8-86 1,-5 131-8,1 1 0,0 0 0,2 0 0,0 0 1,10-23-1,-14 37 27,1 0 0,-1 1 0,1 0 0,0-1 0,0 1 0,1 0 0,-1 0 0,1 0 0,-1 1 0,1-1 0,0 0 1,0 1-1,0 0 0,0 0 0,1 0 0,-1 0 0,0 0 0,5-1 0,-5 3 3,1-1 1,-1 1-1,0 0 1,0 0 0,1 0-1,-1 1 1,0-1-1,0 1 1,1 0-1,-1 0 1,0 0-1,0 0 1,0 0-1,0 1 1,0-1-1,0 1 1,-1 0-1,1 0 1,-1 0 0,4 3-1,3 4 0,0 0 0,-1 1 0,0 0 0,-1 0 0,0 1 0,-1 0 0,0 0 0,5 12 0,3 14 0,14 53 0,-7-3 0,-4 1 0,-3 1 0,-5 0 0,-2 163 0,-23-106 1697,14-127-770,10-28 1092,-2 0-1213,7-7-731,0 0-1,0 1 0,1 0 0,1 1 1,1 1-1,0 0 0,1 2 1,0-1-1,32-14 0,-24 15-36,0 1 0,0 2 0,1 0 0,1 2 0,-1 0 0,1 2 0,28 0 0,-25 3-32,0 1 1,-1 2 0,0 1 0,1 2 0,-1 0-1,39 14 1,-46-12-10,0 2 1,0 1-1,-1 0 0,0 2 0,-1 0 1,0 2-1,-1 0 0,19 18 0,-24-18 3,-1 0 0,0 1 0,-1 1 0,-1 0 0,0 0 0,-1 1 0,-1 1 0,-1-1 0,0 1 0,-2 1 0,0-1 0,-1 1 0,0 0 0,-2 1 0,0-1 0,-1 1 0,-1-1 0,-1 1 0,-1-1 0,-1 1 0,-4 21 0,-3 0-61,-1 0 0,-2-1 0,-2 0 0,-1-1 0,-3 0 0,-1-2 0,-45 68 0,26-53-36,-2-1-1,-2-3 0,-2-1 1,-74 60-1,70-68 98,-101 61 1,120-84-45,-1-1 0,0-2 0,-1 0 0,0-3 0,-36 9 0,59-17 40,0-1 0,0 0 0,-1 0 0,1 0 0,0-1 0,-1-1 0,1 1 0,0-1-1,0-1 1,0 0 0,0 0 0,0 0 0,-13-6 0,15 4 4,-1 0 1,1-1-1,-1 1 0,2-1 1,-1 0-1,0-1 0,1 1 0,0-1 1,0 0-1,1 0 0,0-1 0,0 0 1,0 1-1,-4-12 0,3 2 0,0-1 0,0 0 0,2 0 0,0-1 0,1 1 0,1-1 0,1 1 0,0-1 0,1 1 0,1-1 0,0 1 0,9-28 0,-1 11 0,1 1 0,1 0 0,2 1 0,2 1 0,28-44 0,-15 34-230,2 2 0,2 1 0,2 1 0,58-47 0,26-10-5519</inkml:trace>
  <inkml:trace contextRef="#ctx0" brushRef="#br0" timeOffset="3033.24">4684 4345 24575,'1'-67'0,"0"3"0,-9-75 0,7 130 0,0 0 0,-1 0 0,0 0 0,-1 1 0,0-1 0,-5-11 0,6 17 0,0-1 0,0 1 0,0 0 0,-1 0 0,1 0 0,-1 0 0,0 1 0,1-1 0,-1 1 0,0 0 0,-1-1 0,1 1 0,0 0 0,-1 1 0,1-1 0,-1 1 0,-5-2 0,4 2 0,-1 0 0,1 0 0,0 0 0,0 1 0,0 0 0,0 0 0,0 1 0,0 0 0,0-1 0,0 2 0,0-1 0,-10 4 0,7-1 0,0 0 0,0 1 0,0 0 0,1 0 0,-1 1 0,-11 12 0,5-3 0,1 0 0,1 1 0,0 1 0,1 0 0,1 1 0,-8 20 0,7-13 0,1 1 0,2 0 0,1 1 0,0 0 0,2 0 0,2 0 0,-1 52 0,4-66 0,1-1 0,1 1 0,0-1 0,0 1 0,2-1 0,-1 0 0,2 0 0,8 17 0,-9-21 0,1-1 0,0 0 0,0 0 0,1 0 0,0 0 0,0-1 0,0 0 0,1-1 0,0 1 0,0-1 0,1 0 0,-1-1 0,13 5 0,-10-4 0,1-1 0,-1-1 0,1 0 0,0 0 0,1-1 0,-1 0 0,0-1 0,0 0 0,1-1 0,-1-1 0,0 1 0,16-4 0,-20 2 0,1 0 0,-1-1 0,0 1 0,0-1 0,0-1 0,0 1 0,-1-1 0,1 0 0,-1-1 0,0 0 0,0 0 0,0 0 0,-1 0 0,0-1 0,0 0 0,-1 0 0,1 0 0,-1-1 0,3-7 0,-2 3 0,-1 0 0,0 0 0,0 0 0,-1-1 0,-1 0 0,0 1 0,-1-1 0,0 0 0,0 0 0,-2 0 0,-1-16 0,0 13 0,-1 1 0,-1 0 0,0 0 0,0 0 0,-2 0 0,0 1 0,0 0 0,-14-21 0,18 31 0,1 1 0,-1-1 0,0 1 0,0 0 0,0 0 0,0-1 0,0 1 0,0 1 0,-1-1 0,1 0 0,-1 0 0,1 1 0,-1 0 0,-2-2 0,4 3 0,0 0 0,0 0 0,0 0 0,1 0 0,-1 0 0,0 0 0,0 0 0,1 0 0,-1 0 0,0 0 0,0 1 0,0-1 0,1 0 0,-1 0 0,0 1 0,1-1 0,-1 1 0,0-1 0,1 1 0,-2 0 0,1 0 0,-1 1 0,1 0 0,-1 0 0,1 0 0,0 0 0,0 0 0,0 0 0,0 0 0,-1 4 0,-1 4 0,1 0 0,1-1 0,0 1 0,0 0 0,0 0 0,2 0 0,-1 0 0,1-1 0,0 1 0,1 0 0,5 15 0,-4-17 0,0 1 0,0-1 0,1 0 0,0 0 0,0 0 0,1 0 0,0-1 0,0 0 0,1 0 0,0 0 0,0 0 0,0-1 0,11 7 0,-9-8 0,0 0 0,1-1 0,0 0 0,0 0 0,0-1 0,0 0 0,0 0 0,0-1 0,1-1 0,-1 1 0,1-1 0,0-1 0,-1 0 0,16-2 0,-18 1 0,1-1 0,0 0 0,-1 0 0,0 0 0,1-1 0,-1 0 0,0-1 0,0 0 0,-1 0 0,1 0 0,-1-1 0,0 1 0,0-2 0,-1 1 0,1-1 0,-1 1 0,0-2 0,6-10 0,-3 4 0,-2 0 0,0-1 0,-1 0 0,0 0 0,-1 0 0,0-1 0,-1 1 0,-1-1 0,1-27 0,-4-6 0,-12-82 0,1 27 0,11 92 0,1 0 0,0 0 0,0 0 0,1 1 0,1-1 0,0 0 0,4-15 0,-4 22 0,-1 0 0,1 0 0,0 0 0,0 0 0,1 1 0,-1-1 0,1 1 0,0-1 0,0 1 0,0 0 0,0 0 0,0 0 0,1 1 0,-1-1 0,1 1 0,0 0 0,-1 0 0,1 0 0,0 0 0,0 1 0,5-2 0,-1 2 0,0-1 0,0 1 0,0 1 0,0-1 0,0 1 0,0 1 0,0 0 0,-1 0 0,1 0 0,0 1 0,0 0 0,-1 1 0,11 4 0,8 5 0,0 2 0,32 23 0,-46-29 0,176 125 0,-160-110 0,0 1 0,-2 1 0,-1 2 0,29 38 0,-44-51 0,-1 1 0,0-1 0,11 27 0,-18-38 0,-1 1 0,0-1 0,0 0 0,0 0 0,0 1 0,0-1 0,-1 1 0,1-1 0,-1 0 0,0 1 0,0-1 0,0 1 0,0-1 0,-1 1 0,0-1 0,1 0 0,-1 1 0,0-1 0,-1 0 0,1 0 0,-1 0 0,1 0 0,-1 0 0,-2 4 0,3-6 0,-1 0 0,1 0 0,0 1 0,-1-1 0,1 0 0,-1 0 0,0 0 0,1-1 0,-1 1 0,1 0 0,-1 0 0,0-1 0,0 1 0,1-1 0,-1 0 0,0 0 0,0 1 0,0-1 0,0 0 0,1 0 0,-1-1 0,-3 0 0,0 0 0,1 0 0,-1-1 0,1 0 0,0 0 0,0 0 0,0 0 0,0-1 0,-5-3 0,0-2 0,0-1 0,1 0 0,-1 0 0,2-1 0,-1 0 0,2 0 0,-1-1 0,1 1 0,1-1 0,-7-18 0,0-9 0,-15-78 0,18 69 0,3-1 0,1 1 0,3-1 0,7-83 0,-3 107 0,1 1 0,2 1 0,0-1 0,2 0 0,0 1 0,1 1 0,1-1 0,2 1 0,0 1 0,1 0 0,25-33 0,-30 45 0,0 1 0,0 0 0,1 0 0,0 0 0,0 1 0,0 1 0,1-1 0,0 1 0,12-5 0,-15 8 0,0 0 0,0 0 0,0 1 0,0 0 0,0 0 0,1 0 0,-1 1 0,0 0 0,0 0 0,1 1 0,-1 0 0,0 0 0,0 0 0,0 1 0,11 4 0,-8-2 0,0 1 0,-1 1 0,0 0 0,0 0 0,0 0 0,-1 1 0,0 0 0,0 0 0,-1 1 0,0 0 0,0 0 0,-1 1 0,0-1 0,0 1 0,-1 0 0,5 17 0,0 0 0,-2 0 0,-1 1 0,-2 0 0,0 0 0,0 30 0,-4-16-682,-7 49-1,-11 34-6143</inkml:trace>
  <inkml:trace contextRef="#ctx0" brushRef="#br0" timeOffset="3561.16">3786 6397 24575,'36'-33'0,"1"2"0,68-44 0,-84 60 0,257-168-998,596-287 0,-831 450 1120,-17 7-22,1 1 0,0 2 0,0 0 0,31-5 1,-46 15 15,-12 1-113,1-1 1,-1 0 0,0 1 0,0-1 0,0 0 0,0 0 0,0 1 0,0-1-1,0 0 1,0 1 0,0-1 0,0 0 0,0 1 0,0-1 0,0 0 0,0 0-1,0 1 1,0-1 0,0 0 0,0 1 0,-1-1 0,1 0 0,0 0-1,0 1 1,0-1 0,0 0 0,-1 0 0,1 1 0,0-1 0,-11 13 5,0-2 0,-1 1-1,0-1 1,0-1 0,-27 17 0,20-14-4,-500 371-117,-96 69-32,405-309 144,46-29 0,145-101 0,0 1 0,-30 32 0,49-47 0,-1 1 0,0-1 0,1 1 0,-1 0 0,1 0 0,-1-1 0,1 1 0,-1 0 0,1 0 0,-1-1 0,1 1 0,0 0 0,0 0 0,-1 0 0,1 0 0,0 0 0,0-1 0,0 1 0,0 0 0,0 1 0,0-1 0,1-1 0,0 0 0,-1 1 0,1-1 0,0 0 0,-1 1 0,1-1 0,0 0 0,0 0 0,-1 0 0,1 0 0,0 0 0,0 1 0,-1-1 0,1-1 0,0 1 0,-1 0 0,1 0 0,0 0 0,0 0 0,-1 0 0,1-1 0,1 0 0,27-9 0,0-1 0,31-18 0,169-89-485,99-58-1456,88-35 786,947-377-2561,-1029 463 2258,7-10 1093,-295 114 743,-41 19 1512</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2:01.164"/>
    </inkml:context>
    <inkml:brush xml:id="br0">
      <inkml:brushProperty name="width" value="0.05" units="cm"/>
      <inkml:brushProperty name="height" value="0.05" units="cm"/>
      <inkml:brushProperty name="color" value="#004F8B"/>
    </inkml:brush>
  </inkml:definitions>
  <inkml:trace contextRef="#ctx0" brushRef="#br0">31 408 24575,'-1'0'0,"0"0"0,0 1 0,0-1 0,1 1 0,-1-1 0,0 1 0,0-1 0,1 1 0,-1-1 0,0 1 0,1 0 0,-1-1 0,1 1 0,-1 0 0,1 0 0,-1-1 0,1 1 0,0 0 0,-1 0 0,1 0 0,0 0 0,-1 0 0,1-1 0,0 1 0,0 1 0,-5 30 0,4-26 0,-5 48 0,2 97 0,4-139 0,1-1 0,1 1 0,0-1 0,1 1 0,0-1 0,1 0 0,0 0 0,1 0 0,0 0 0,9 12 0,-8-15 0,0 0 0,1 0 0,0 0 0,0-1 0,1-1 0,0 1 0,0-1 0,1 0 0,-1-1 0,1 0 0,1 0 0,11 4 0,16 2 0,0-1 0,1-2 0,0-2 0,72 3 0,408 0-891,7-39-654,78-26-763,-31 3 4,94 8 1787,-5 38 423,-331 33-377,-273-17 757,0 2 0,-1 3 0,87 32 0,-51-8 1026,270 102-244,-325-127-73,69 28 743,-93-35-1555,0 1 1,0 0-1,-1 1 1,1 1-1,14 13 1,-24-20-153,-1 0 0,0 0 0,0 1 0,0-1 1,0 0-1,0 1 0,-1-1 0,1 1 0,-1-1 1,1 1-1,-1 0 0,0 0 0,0-1 0,-1 1 1,1 0-1,0 6 0,-1-8-23,0 1 1,-1 0-1,1-1 0,-1 1 1,0 0-1,1-1 0,-1 1 1,0-1-1,0 1 0,0-1 1,0 0-1,0 1 1,0-1-1,0 0 0,-1 0 1,1 0-1,0 0 0,-1 0 1,1 0-1,-1 0 0,1 0 1,-1 0-1,1 0 0,-1-1 1,0 1-1,1-1 1,-1 1-1,-2-1 0,0 1-8,0-1 0,1 1 0,-1-1 0,0 0 0,0 0 0,1 0 0,-1 0 0,0-1 0,1 0 0,-1 1 0,0-1 0,1-1 0,-1 1 0,1 0 0,0-1 0,-1 0 0,1 1 0,0-1 0,0-1 0,0 1 0,0 0 0,1-1 0,-1 1 0,1-1 0,-1 0 0,1 0 0,0 0 0,0 0 0,0 0 0,0 0 0,1-1 0,-1 1 0,1 0 0,0-1 0,0 1 0,1-1 0,-1 0 0,0 1 0,1-1 0,0 1 0,0-1 0,0 0 0,1 1 0,-1-1 0,2-4 0,1-2 0,0 0 0,0 1 0,1-1 0,0 0 0,1 1 0,0 0 0,1 0 0,0 1 0,9-12 0,2 2 0,1 1 0,0 0 0,22-15 0,-10 11 0,2 1 0,0 1 0,53-22 0,115-30 0,-92 43-288,0 4-1,153-13 0,227 8-577,116 25 866,-73 1 0,-386-1 0,220-34 0,-309 29 0,0-4 0,-1-1 0,-1-3 0,-1-2 0,0-3 0,94-53 0,114-109 0,-123 82 0,-137 101 0,22-14 0,-1-1 0,-1-1 0,31-32 0,-50 46-107,0 1-1,0-1 0,-1 1 1,1-1-1,-1 1 0,1-1 1,-1 0-1,0 0 0,1-3 1,-4-14-5276</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2:04.432"/>
    </inkml:context>
    <inkml:brush xml:id="br0">
      <inkml:brushProperty name="width" value="0.05" units="cm"/>
      <inkml:brushProperty name="height" value="0.05" units="cm"/>
      <inkml:brushProperty name="color" value="#004F8B"/>
    </inkml:brush>
  </inkml:definitions>
  <inkml:trace contextRef="#ctx0" brushRef="#br0">22 658 24575,'-20'3'0,"20"-3"0,0 0 0,0 0 0,0 0 0,0 0 0,0 0 0,0 0 0,0 0 0,-1 0 0,1 0 0,0 1 0,0-1 0,0 0 0,0 0 0,0 0 0,0 0 0,0 0 0,0 1 0,0-1 0,0 0 0,0 0 0,0 0 0,0 0 0,0 0 0,0 0 0,0 1 0,0-1 0,0 0 0,0 0 0,0 0 0,0 0 0,0 0 0,0 1 0,0-1 0,0 0 0,0 0 0,1 0 0,-1 0 0,0 0 0,0 0 0,0 0 0,0 0 0,0 1 0,0-1 0,0 0 0,0 0 0,1 0 0,-1 0 0,0 0 0,0 0 0,0 0 0,0 0 0,0 0 0,0 0 0,1 0 0,3 2 0,0 0 0,1 0 0,-1 0 0,1-1 0,-1 0 0,6 1 0,24 1 0,0 0 0,0-3 0,0-1 0,0-1 0,0-2 0,0-1 0,-1-2 0,0-1 0,0-1 0,-1-2 0,-1-2 0,1-1 0,-2-1 0,0-1 0,-1-2 0,-1-1 0,0-1 0,34-34 0,-47 38 0,-2 0 0,1-2 0,-2 0 0,-1 0 0,0-1 0,-1 0 0,-1-1 0,-1 0 0,0-1 0,5-27 0,-7 15 0,-10 37 0,-7 20 0,-149 388-600,70-173 56,52-140 381,-167 398 97,177-441 66,-3-2 0,-39 54 0,60-94 0,0-1 0,-14 14 0,22-26 0,1 0 0,0 1 0,0-1 0,0 0 0,0 0 0,-1 0 0,1 0 0,-1-1 0,1 1 0,0 0 0,-1-1 0,0 1 0,1-1 0,-1 1 0,1-1 0,-1 0 0,-2 1 0,3-1 0,0-1 0,0 1 0,0 0 0,0-1 0,0 1 0,0-1 0,1 1 0,-1-1 0,0 1 0,0-1 0,1 0 0,-1 1 0,0-1 0,1 0 0,-1 0 0,1 1 0,-1-1 0,1 0 0,-1 0 0,1 0 0,-1-1 0,-2-6 0,1 0 0,0-1 0,1 1 0,0 0 0,0-11 0,-1-6 172,1-1-1,2 1 1,1-1 0,1 1-1,1-1 1,1 1 0,9-28-1,-12 48-171,-1 1 0,1 0 0,0 0 0,1 0 0,-1 0 0,1 0 0,-1 0 0,5-3 0,-6 5 0,1 1 0,-1 0 0,0 0 0,1 0 0,0 1 0,-1-1 0,1 0 0,-1 0 0,1 1 0,0-1 0,-1 1 0,1 0 0,0-1 0,0 1 0,0 0 0,-1 0 0,1 0 0,0 0 0,0 0 0,-1 1 0,1-1 0,0 0 0,1 2 0,11 3 0,-1 1 0,-1 1 0,1 0 0,-1 1 0,17 14 0,-3-3 0,3 3 0,2-2 0,0-2 0,1 0 0,38 14 0,-58-28 0,0-1 0,0 1 0,0-2 0,1 0 0,-1 0 0,23-1 0,-27-1 0,0-1 0,0 0 0,0-1 0,0 0 0,-1 0 0,1 0 0,0-1 0,-1 0 0,1-1 0,-1 0 0,10-7 0,-5 2 0,-1-1 0,0 0 0,-1-1 0,0 0 0,-1 0 0,0-1 0,-1 0 0,0-1 0,7-15 0,5-18 0,21-65 0,-29 76 0,4-15 0,27-70 0,-42 119 0,-1 0 0,1-1 0,0 1 0,0-1 0,-1 1 0,1 0 0,0 0 0,0-1 0,0 1 0,0 0 0,0 0 0,1 0 0,-1 0 0,0 0 0,2 0 0,-2 0 0,-1 1 0,1 0 0,0 0 0,-1 0 0,1 0 0,0 0 0,-1 0 0,1 0 0,0 0 0,-1 0 0,1 1 0,-1-1 0,1 0 0,0 0 0,-1 1 0,1-1 0,-1 0 0,1 0 0,-1 1 0,1-1 0,0 1 0,-1-1 0,0 1 0,2 0 0,2 4 0,-1 0 0,1 1 0,-1 0 0,0-1 0,4 10 0,-2-2 0,5 5 0,0 0 0,1-1 0,1 0 0,0-1 0,1 0 0,1-1 0,31 26 0,-37-35 0,-1-1 0,1 0 0,1 0 0,-1-1 0,1 0 0,-1-1 0,1 1 0,13 2 0,-15-5 0,0 0 0,0-1 0,0 0 0,0 0 0,-1 0 0,1-1 0,0 0 0,0 0 0,0 0 0,-1-1 0,1 0 0,10-6 0,-10 4 0,0 0 0,1-1 0,-2 0 0,1-1 0,-1 1 0,1-1 0,-2-1 0,1 1 0,-1-1 0,0 0 0,0 0 0,-1 0 0,0-1 0,0 0 0,0 1 0,-1-1 0,-1-1 0,4-12 0,-2 2 0,-1 0 0,-1-1 0,-1 1 0,0 0 0,-1-1 0,-1 1 0,-4-20 0,3 28 0,-1 0 0,0 0 0,0 1 0,-1 0 0,0 0 0,-1 0 0,0 0 0,-1 1 0,0 0 0,-12-14 0,15 20 0,0-1 0,0 0 0,-1 1 0,0 0 0,0 0 0,1 0 0,-2 0 0,1 1 0,0-1 0,-1 1 0,1 0 0,-1 1 0,1-1 0,-1 1 0,0 0 0,0 0 0,0 0 0,1 0 0,-1 1 0,0 0 0,0 0 0,0 1 0,0-1 0,0 1 0,-6 2 0,4-1 0,0 1 0,0 0 0,1 1 0,-1 0 0,1 0 0,0 0 0,-12 11 0,4-1 0,-22 29 0,23-27 0,2 0 0,0 1 0,1 1 0,1-1 0,0 2 0,2-1 0,0 1 0,-8 35 0,13-45 0,1 0 0,0 0 0,0 0 0,1 0 0,0 0 0,0 0 0,1 0 0,0 0 0,1 0 0,0 0 0,1-1 0,-1 1 0,2-1 0,-1 1 0,1-1 0,0 0 0,1 0 0,0-1 0,0 0 0,1 1 0,11 10 0,-9-12 0,0 1 0,1-1 0,0-1 0,0 0 0,0 0 0,1-1 0,0 0 0,0 0 0,0-1 0,0-1 0,0 1 0,0-2 0,1 1 0,-1-2 0,1 1 0,-1-1 0,1-1 0,-1 0 0,14-3 0,-5 0 0,-1 0 0,0-1 0,0-1 0,-1-1 0,0-1 0,0 0 0,0-1 0,-1-1 0,-1 0 0,16-14 0,-20 14 0,-1 0 0,0-1 0,-1-1 0,0 0 0,-1 0 0,0 0 0,-1-1 0,0 0 0,-1-1 0,-1 1 0,0-1 0,3-15 0,-2 0 0,-1 0 0,-1-1 0,-2 1 0,-2-56 0,-7 23 0,6 60 0,1 1 0,0-1 0,0 1 0,-1-1 0,1 1 0,0-1 0,-1 1 0,0 0 0,1-1 0,-1 1 0,0 0 0,0-1 0,1 1 0,-1 0 0,0 0 0,0 0 0,-2-2 0,2 3 0,0 0 0,0 0 0,0 0 0,0 1 0,0-1 0,0 0 0,0 0 0,1 1 0,-1-1 0,0 0 0,0 1 0,0-1 0,0 1 0,1-1 0,-1 1 0,0 0 0,1-1 0,-1 1 0,0 0 0,1-1 0,-1 1 0,1 0 0,-1 0 0,1-1 0,-1 1 0,0 1 0,-5 9 0,0 0 0,0 1 0,1-1 0,0 1 0,-5 22 0,-8 65 0,15-82 0,1 1 0,1-1 0,1 0 0,0 0 0,5 31 0,-3-41 0,-1-1 0,1 0 0,0 0 0,1 0 0,-1 0 0,1 0 0,0 0 0,1-1 0,0 0 0,-1 1 0,2-1 0,-1-1 0,0 1 0,1-1 0,0 1 0,0-1 0,0-1 0,9 6 0,3-1 0,-1-1 0,1-1 0,1 0 0,-1-1 0,1-1 0,0 0 0,0-1 0,0-1 0,22-1 0,-26-1 0,1-1 0,-1 0 0,1-1 0,-1 0 0,0-1 0,0-1 0,0 0 0,0-1 0,0 0 0,-1-1 0,0-1 0,12-8 0,-16 8 0,-1-1 0,0 1 0,-1-1 0,0-1 0,0 0 0,0 0 0,-1 0 0,-1 0 0,0-1 0,0 0 0,-1 0 0,0 0 0,4-15 0,-3 2 0,0-1 0,-2 0 0,0 1 0,-2-1 0,-1-26 0,-1 31 0,-1 1 0,-1-1 0,-1 1 0,0 0 0,-1-1 0,-12-26 0,13 36 0,0 1 0,0-1 0,-1 1 0,0 0 0,-1 1 0,1-1 0,-2 1 0,1 0 0,-1 1 0,0-1 0,0 2 0,0-1 0,-1 1 0,0 0 0,-11-5 0,14 8 0,0 0 0,-1 0 0,1 1 0,0 0 0,-1 0 0,1 0 0,-1 1 0,1 0 0,-1 0 0,0 1 0,1-1 0,-8 3 0,4-1 0,1 1 0,-1 0 0,1 0 0,0 1 0,0 1 0,1-1 0,-9 7 0,1 1 0,0 1 0,1 0 0,1 1 0,0 1 0,1 0 0,-16 27 0,14-17 0,1 0 0,1 1 0,2 1 0,0 0 0,2 0 0,1 1 0,1 0 0,-3 33 0,9-51 0,-1-1 0,1 1 0,1-1 0,0 1 0,0-1 0,1 1 0,0-1 0,0 0 0,1 1 0,0-1 0,1-1 0,0 1 0,1-1 0,0 1 0,10 12 0,-10-14 0,1-1 0,0-1 0,0 1 0,1-1 0,-1 0 0,1-1 0,0 0 0,1 0 0,-1 0 0,1-1 0,-1 0 0,1 0 0,0-1 0,0 0 0,0 0 0,0-1 0,17 0 0,-14-1 0,1-1 0,-1 0 0,0-1 0,0-1 0,0 1 0,0-2 0,-1 0 0,1 0 0,-1 0 0,0-2 0,0 1 0,-1-1 0,1-1 0,-1 1 0,-1-2 0,12-11 0,-5 3 0,0 0 0,-2-2 0,0 1 0,-1-2 0,-1 1 0,0-2 0,11-30 0,-1-12 0,19-99 0,-27 100 0,35-101 0,-44 150 0,2 0 0,-1 0 0,1 1 0,1-1 0,8-10 0,-13 19 0,-1 1 0,1 1 0,-1-1 0,1 0 0,0 0 0,0 1 0,0-1 0,0 1 0,0-1 0,0 1 0,0 0 0,1 0 0,-1 0 0,0 0 0,1 0 0,-1 0 0,1 1 0,-1-1 0,1 1 0,-1 0 0,1 0 0,-1 0 0,1 0 0,-1 0 0,1 0 0,-1 1 0,1-1 0,-1 1 0,0 0 0,1 0 0,4 2 0,0 1 0,0 0 0,0 1 0,-1 0 0,1 1 0,-1-1 0,11 13 0,-2 2 0,16 24 0,-2 5 0,-3 0 0,30 78 0,20 107 0,-71-216 0,-3-12 0,-4-19 0,2 6 0,-18-292 0,18 263 0,2 0 0,1 0 0,2 1 0,2-1 0,1 1 0,17-46 0,-20 67 0,1 1 0,1-1 0,0 2 0,1-1 0,0 1 0,16-18 0,-21 27 0,-1 0 0,1 0 0,0 0 0,0 1 0,0-1 0,1 1 0,-1 0 0,1 0 0,-1 0 0,1 0 0,0 1 0,-1 0 0,1-1 0,0 1 0,0 1 0,0-1 0,0 1 0,0-1 0,0 1 0,0 0 0,0 0 0,0 1 0,0-1 0,0 1 0,0 0 0,0 0 0,-1 0 0,6 3 0,-1 0 0,-1 0 0,0 1 0,0 0 0,0 0 0,-1 1 0,0 0 0,0 0 0,0 0 0,7 11 0,5 11 0,17 32 0,-13-21 0,-14-26 0,20 32 0,-27-43 0,0 0 0,1 0 0,-1-1 0,0 1 0,1 0 0,-1-1 0,1 1 0,0-1 0,-1 0 0,1 0 0,0 1 0,0-1 0,0 0 0,0-1 0,0 1 0,0 0 0,2 0 0,-2-1 0,-1-1 0,0 1 0,0-1 0,1 1 0,-1-1 0,0 0 0,0 1 0,0-1 0,0 0 0,0 0 0,0 0 0,0 0 0,0 0 0,-1 0 0,1 0 0,0 0 0,0 0 0,-1 0 0,1-1 0,-1 1 0,1 0 0,-1 0 0,1-2 0,7-20 0,0-1 0,7-36 0,-1-2 0,-1 19 0,2 0 0,1 1 0,2 1 0,3 0 0,1 1 0,36-49 0,-49 76 0,2 1 0,-1-1 0,2 2 0,0-1 0,24-17 0,-31 26 0,-1 0 0,1 0 0,-1 1 0,1 0 0,0 0 0,0 0 0,0 0 0,0 1 0,0 0 0,0 0 0,0 0 0,0 1 0,1 0 0,-1 0 0,0 0 0,0 0 0,0 1 0,1 0 0,-1 0 0,0 0 0,8 4 0,-6-1 0,0 0 0,0 0 0,0 0 0,-1 1 0,0 0 0,0 1 0,0-1 0,-1 1 0,7 9 0,0 3 0,0 0 0,12 26 0,-3 3 0,-2 1 0,-2 1 0,-2 1 0,-3 0 0,10 80 0,-19-109 49,-2-1 0,0 1 0,-1-1-1,-1 1 1,-1-1 0,-4 21 0,4-34-127,1 0 0,-1-1 1,0 1-1,-1-1 1,0 1-1,0-1 1,0 0-1,0 0 0,-1 0 1,0-1-1,-1 0 1,1 1-1,-1-1 1,0-1-1,0 1 0,0-1 1,-1 0-1,0 0 1,0 0-1,0-1 1,-7 3-1,-37 8-6748</inkml:trace>
  <inkml:trace contextRef="#ctx0" brushRef="#br0" timeOffset="329.44">278 2294 24575,'-2'1'0,"-1"0"0,1-1 0,0 1 0,0 0 0,-1 0 0,1 0 0,0 1 0,0-1 0,0 0 0,0 1 0,1-1 0,-1 1 0,0 0 0,0-1 0,1 1 0,-1 0 0,1 0 0,-2 4 0,2-5 0,0 0 0,1 0 0,-1 0 0,1-1 0,-1 1 0,1 0 0,0 0 0,-1 0 0,1 0 0,0 0 0,0 0 0,0 0 0,-1 0 0,1 0 0,0 0 0,0 0 0,0 0 0,1 0 0,-1 0 0,0-1 0,0 1 0,0 0 0,1 0 0,-1 0 0,0 0 0,1 0 0,-1 0 0,1 0 0,-1-1 0,1 1 0,0 0 0,-1 0 0,1-1 0,0 1 0,-1 0 0,1-1 0,0 1 0,0-1 0,-1 1 0,1-1 0,0 1 0,0-1 0,0 1 0,0-1 0,0 0 0,0 0 0,0 1 0,0-1 0,0 0 0,1 0 0,8 1 0,0-1 0,0 0 0,0-1 0,0 0 0,13-3 0,130-31 0,94-37-482,94-32-1447,84-27 703,901-286-2877,-1029 317 2578,-114 29 1143,-161 62 382,29-17 0,-48 23 5,-4 2 28,-18 4 226,-66 25 479,-99 48 0,61-24-729,-80 28-63,5-5-218</inkml:trace>
  <inkml:trace contextRef="#ctx0" brushRef="#br0" timeOffset="610.08">471 2744 24575,'-17'0'0,"6"0"0,32-6 0,51-18 0,67-26 0,81-33 0,85-29-3280,67-23 3280,52-15-2876,8 0 2876,-36 27 0,-64 23 0,-99 34 0,-89 39 0,-75 25 0,-49 12-2035</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2:38.780"/>
    </inkml:context>
    <inkml:brush xml:id="br0">
      <inkml:brushProperty name="width" value="0.05" units="cm"/>
      <inkml:brushProperty name="height" value="0.05" units="cm"/>
      <inkml:brushProperty name="color" value="#004F8B"/>
    </inkml:brush>
  </inkml:definitions>
  <inkml:trace contextRef="#ctx0" brushRef="#br0">1 1 24575,'11'0'0,"4"0"-8191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3:16.405"/>
    </inkml:context>
    <inkml:brush xml:id="br0">
      <inkml:brushProperty name="width" value="0.05" units="cm"/>
      <inkml:brushProperty name="height" value="0.05" units="cm"/>
      <inkml:brushProperty name="color" value="#004F8B"/>
    </inkml:brush>
  </inkml:definitions>
  <inkml:trace contextRef="#ctx0" brushRef="#br0">154 2084 24575,'0'-3'0,"0"1"0,-1-1 0,0 1 0,1-1 0,-1 1 0,0 0 0,0-1 0,0 1 0,-1 0 0,1 0 0,0 0 0,-3-3 0,4 5 0,-1-1 0,1 1 0,-1 0 0,1-1 0,0 1 0,-1-1 0,1 1 0,-1 0 0,1-1 0,-1 1 0,1 0 0,-1 0 0,0 0 0,1-1 0,-1 1 0,1 0 0,-1 0 0,1 0 0,-1 0 0,0 0 0,1 0 0,-2 0 0,2 0 0,-1 1 0,0-1 0,0 1 0,1-1 0,-1 1 0,0 0 0,0-1 0,1 1 0,-1 0 0,1-1 0,-1 1 0,1 0 0,-1 0 0,1 0 0,-1-1 0,1 1 0,0 0 0,-1 0 0,1 2 0,-6 20 0,2 1 0,0 0 0,2 0 0,0 37 0,2-38 0,-1 202-312,9 1 1,41 241-1,-13-241 312,-33-196 0,-5-31 0,1 0 0,0-1 0,0 1 0,0-1 0,0 1 0,0-1 0,0 1 0,0-1 0,1 1 0,-1-1 0,0 0 0,0-2 0,-77-216-15,11 28 186,57 169 13,-10-32 220,19 52-388,0 0 0,0 0 0,0-1 0,1 1 0,0-1 0,-1 1 0,1-1-1,0 1 1,1 0 0,-1-1 0,1-4 0,0 7-16,-1 0 0,1 0 0,-1 1 0,1-1 0,-1 0 0,1 1 0,0-1 0,-1 1 0,1-1 0,0 1 0,-1-1 0,1 1 0,0-1 0,-1 1 0,1-1 0,0 1 0,0 0 0,0 0 0,-1-1 0,1 1 0,0 0 0,0 0 0,0 0 0,0 0 0,-1 0 0,1 0 0,0 0 0,0 0 0,0 0 0,0 1 0,1-1 0,25 5 0,-1 0 0,32 12 0,-29-8 0,57 9 0,-64-15 0,-1-2 0,1-1 0,0 0 0,0-2 0,0 0 0,0-2 0,-1 0 0,1-1 0,-1-2 0,-1 0 0,1-1 0,28-16 0,-36 17 0,-1 0 0,0-2 0,0 1 0,-1-1 0,-1-1 0,1 0 0,-1-1 0,-1 0 0,0 0 0,-1-1 0,0 0 0,0 0 0,-2-1 0,1 0 0,-2 0 0,0 0 0,0-1 0,-1 0 0,-1 0 0,2-19 0,-3 3 0,-1 0 0,-2 0 0,-1 0 0,-1 0 0,-2 0 0,-1 0 0,-17-50 0,21 73 0,0 1 0,-1 0 0,0 0 0,0 0 0,-1 1 0,-7-11 0,11 15 0,-1 1 0,1-1 0,-1 1 0,1 0 0,-1-1 0,1 1 0,-1-1 0,1 1 0,-1 0 0,1-1 0,-1 1 0,0 0 0,1-1 0,-1 1 0,0 0 0,1 0 0,-1 0 0,1 0 0,-1 0 0,0 0 0,1 0 0,-1 0 0,0 0 0,1 0 0,-1 0 0,0 0 0,1 0 0,-1 0 0,0 1 0,1-1 0,-1 0 0,1 0 0,-1 1 0,0-1 0,1 0 0,-1 1 0,1-1 0,-1 1 0,1-1 0,-1 1 0,1-1 0,-1 2 0,-2 1 0,1 1 0,0 1 0,-1-1 0,2 0 0,-1 0 0,0 1 0,1-1 0,0 1 0,0 0 0,0-1 0,0 7 0,0 61 0,1-61 0,4 67 0,3 0 0,3-1 0,4 0 0,40 127 0,-46-180 43,1-1 0,1 0-1,1-1 1,0 0 0,2-1-1,1 0 1,17 21 0,-25-36-78,0 1 1,1-1 0,-1-1 0,1 1 0,1-1 0,-1 0 0,1-1 0,0 1-1,15 5 1,-16-8-57,0-1 0,-1 0 0,1 0 0,0 0 0,-1 0 0,1-1 0,0-1 0,0 1 0,-1-1 0,1 0 0,0 0 0,-1-1 0,1 0 0,8-4 0,-1 0-2185,-1-1 1,13-9 0</inkml:trace>
  <inkml:trace contextRef="#ctx0" brushRef="#br0" timeOffset="494.01">1180 2662 24575,'0'9'0,"0"21"0,6 56 0,-4-77 0,0 0 0,0-1 0,0 1 0,1-1 0,1 1 0,-1-1 0,1 0 0,1 0 0,0-1 0,10 13 0,-13-17 0,0 0 0,1-1 0,-1 1 0,1-1 0,0 0 0,0 1 0,0-1 0,0-1 0,0 1 0,0 0 0,0-1 0,1 0 0,-1 1 0,0-1 0,1-1 0,-1 1 0,1 0 0,-1-1 0,1 0 0,0 0 0,-1 0 0,1 0 0,-1 0 0,1-1 0,-1 1 0,1-1 0,-1 0 0,1 0 0,-1-1 0,0 1 0,4-2 0,-1-1 0,1-1 0,-1 1 0,0-1 0,0 0 0,0 0 0,-1-1 0,0 0 0,0 0 0,0 0 0,-1 0 0,0-1 0,0 0 0,5-13 0,-5 9 0,-1 0 0,-1 0 0,0 0 0,0 0 0,-1 0 0,-1 0 0,0-1 0,0 1 0,-1 0 0,0 0 0,-1-1 0,-1 1 0,1 0 0,-2 1 0,0-1 0,0 1 0,-1-1 0,0 1 0,0 0 0,-1 1 0,-1 0 0,-8-10 0,12 15 0,-1 0 0,0 0 0,1 0 0,-2 1 0,1 0 0,0 0 0,-1 0 0,1 0 0,-1 1 0,0-1 0,0 1 0,0 1 0,0-1 0,0 1 0,0-1 0,0 1 0,0 1 0,-8-1 0,7 2 0,-1-1 0,1 1 0,-1 1 0,1-1 0,0 1 0,0 0 0,-1 1 0,1-1 0,1 1 0,-1 0 0,0 1 0,1-1 0,0 1 0,-10 9 0,4-1 0,0 0 0,1 1 0,0 0 0,0 1 0,2 0 0,0 0 0,0 1 0,2 0 0,0 0 0,0 0 0,2 1 0,-5 22 0,8-27 0,-1-1 0,2 0 0,-1 1 0,2-1 0,-1 0 0,1 0 0,1 1 0,0-1 0,4 13 0,-3-16 0,-1-1 0,2 1 0,-1-1 0,1 1 0,0-1 0,0 0 0,0-1 0,1 1 0,0-1 0,0 0 0,1 0 0,-1 0 0,1-1 0,8 5 0,-4-3 0,1-1 0,0 0 0,0-1 0,0 0 0,0-1 0,1 0 0,-1 0 0,1-2 0,0 1 0,0-1 0,0-1 0,0 0 0,-1-1 0,1 0 0,0-1 0,0 0 0,17-7 0,-11 3 0,0-1 0,-1-1 0,0 0 0,0-2 0,-1 0 0,0-1 0,0 0 0,-1-1 0,-1-1 0,17-19 0,-11 9 0,0-1 0,-2-2 0,-1 0 0,-1 0 0,-2-1 0,0-1 0,-2-1 0,-1 0 0,-1 0 0,-2-1 0,0 0 0,-3-1 0,0 1 0,-2-1 0,-1 0 0,-4-53 0,-2 43 0,-1 0 0,-2 1 0,-24-75 0,29 108 0,-1 1 0,1 0 0,-1 0 0,0 0 0,-1 1 0,1-1 0,-10-9 0,13 14 0,-1 1 0,1-1 0,-1 0 0,1 1 0,-1 0 0,1-1 0,-1 1 0,0-1 0,1 1 0,-1 0 0,0-1 0,0 1 0,1 0 0,-1 0 0,0 0 0,0-1 0,1 1 0,-1 0 0,0 0 0,0 0 0,1 0 0,-1 0 0,0 0 0,0 1 0,1-1 0,-1 0 0,0 0 0,1 0 0,-1 1 0,0-1 0,0 0 0,1 1 0,-1-1 0,1 1 0,-1-1 0,0 1 0,1-1 0,-1 1 0,1-1 0,-1 1 0,0 0 0,-2 5 0,-1-1 0,1 1 0,0-1 0,1 1 0,0 0 0,0 0 0,0 0 0,-2 12 0,-5 61 0,7-57 0,-5 84 0,15 213 0,-6-293 0,1-1 0,2 0 0,1 0 0,0 0 0,2-1 0,1 0 0,1-1 0,13 24 0,-17-36 0,1 0 0,0-1 0,1 0 0,0 0 0,1-1 0,0 0 0,0-1 0,1 1 0,0-2 0,1 0 0,-1 0 0,1-1 0,1 0 0,-1 0 0,1-2 0,0 1 0,0-2 0,13 3 0,-11-3-341,1-2 0,-1 0-1,25-1 1,36-10-6485</inkml:trace>
  <inkml:trace contextRef="#ctx0" brushRef="#br0" timeOffset="900.04">2463 2533 24575,'-12'-21'0,"-16"-31"0,20 35 0,0 0 0,-2 1 0,-13-18 0,19 29 0,0 0 0,0 1 0,-1 0 0,0-1 0,0 2 0,0-1 0,0 0 0,-1 1 0,1 0 0,-1 0 0,0 1 0,0 0 0,-9-3 0,12 4 0,-1 1 0,1-1 0,-1 1 0,1-1 0,-1 1 0,1 0 0,-1 1 0,1-1 0,-1 0 0,1 1 0,-1 0 0,1 0 0,0 0 0,-1 0 0,1 0 0,0 1 0,0 0 0,0-1 0,0 1 0,0 0 0,1 0 0,-1 1 0,0-1 0,1 1 0,0-1 0,-1 1 0,1 0 0,0 0 0,0 0 0,1 0 0,-3 5 0,-1 3 0,0 1 0,1 0 0,1 0 0,0 0 0,0 1 0,2-1 0,-2 18 0,3-21 0,0-1 0,1 1 0,-1-1 0,2 1 0,-1-1 0,1 1 0,1-1 0,-1 0 0,1 0 0,1 0 0,-1 0 0,2-1 0,-1 1 0,1-1 0,0 0 0,0-1 0,1 1 0,7 6 0,-8-8 0,1 0 0,0-1 0,0 0 0,1 0 0,-1 0 0,1-1 0,0 0 0,0 0 0,0-1 0,0 0 0,0 0 0,0-1 0,1 0 0,-1 0 0,0 0 0,1-1 0,-1 0 0,1-1 0,-1 0 0,0 0 0,8-2 0,-6 0 0,0 0 0,-1 0 0,1-1 0,-1 0 0,0 0 0,0-1 0,0 0 0,-1 0 0,0-1 0,0 0 0,0 0 0,-1-1 0,1 0 0,-2 0 0,1-1 0,-1 1 0,0-1 0,-1 0 0,0-1 0,0 1 0,5-16 0,-1-7 0,-1 0 0,-1 0 0,-2-1 0,-1 0 0,-2-35 0,-8-402 0,4 441 0,4 64 0,15 172 0,62 299 0,-70-469 86,2 0-1,2-1 0,25 55 1,-31-79-218,1 0 1,0-1 0,1 0-1,0 0 1,1-1 0,0-1 0,1 1-1,0-1 1,1-1 0,0 0 0,0 0-1,23 12 1,24 3-6695</inkml:trace>
  <inkml:trace contextRef="#ctx0" brushRef="#br0" timeOffset="1777.49">3618 1636 24575,'1'7'0,"-1"-1"0,2 0 0,-1 0 0,1 0 0,-1 0 0,6 10 0,4 15 0,1 23 0,-2 0 0,3 73 0,-7 113 0,-6-208 0,0-17 0,1-4 0,-1 1 0,0 0 0,-1 0 0,0-1 0,-4 13 0,5-24 0,0 1 0,0-1 0,0 0 0,0 0 0,0 0 0,0 1 0,0-1 0,0 0 0,0 0 0,-1 0 0,1 1 0,0-1 0,0 0 0,0 0 0,0 0 0,0 1 0,-1-1 0,1 0 0,0 0 0,0 0 0,0 0 0,-1 0 0,1 1 0,0-1 0,0 0 0,0 0 0,-1 0 0,1 0 0,0 0 0,0 0 0,0 0 0,-1 0 0,1 0 0,0 0 0,0 0 0,-1 0 0,1 0 0,0 0 0,0 0 0,-1 0 0,1 0 0,0 0 0,0 0 0,0 0 0,-1-1 0,1 1 0,0 0 0,0 0 0,0 0 0,-1 0 0,1 0 0,0 0 0,0-1 0,0 1 0,0 0 0,0 0 0,-1 0 0,1-1 0,0 1 0,0 0 0,0 0 0,0 0 0,0-1 0,-10-11 0,0 0 0,1 0 0,0-1 0,-8-17 0,10 17 0,-1-1 0,0 2 0,-1-1 0,0 1 0,-13-13 0,20 24 0,1-1 0,-1 1 0,0 0 0,1 0 0,-1 0 0,0 0 0,0 0 0,0 0 0,0 0 0,0 1 0,0-1 0,0 1 0,0-1 0,0 1 0,0 0 0,-3 0 0,4 0 0,1 0 0,-1 0 0,1 0 0,-1 0 0,0 1 0,1-1 0,-1 0 0,1 0 0,-1 1 0,1-1 0,-1 0 0,1 1 0,-1-1 0,1 0 0,0 1 0,-1-1 0,1 1 0,-1-1 0,1 0 0,0 1 0,-1-1 0,1 2 0,-1-1 0,1 0 0,0 0 0,0 1 0,0-1 0,-1 0 0,1 1 0,0-1 0,1 0 0,-1 0 0,0 1 0,0-1 0,0 0 0,1 0 0,0 2 0,1 2 0,0 1 0,0-1 0,1-1 0,0 1 0,0 0 0,0-1 0,0 1 0,1-1 0,0 0 0,7 6 0,-3-3 0,1-1 0,0 0 0,0-1 0,0 0 0,13 5 0,-6-4 0,1-1 0,-1 0 0,1-2 0,0 1 0,0-2 0,28 1 0,-33-4 0,0 1 0,0-2 0,-1 0 0,1 0 0,-1-1 0,1 0 0,-1-1 0,0 0 0,0-1 0,-1 0 0,0-1 0,1 0 0,-2-1 0,1 0 0,-1 0 0,9-10 0,-8 6 0,0 0 0,-1-1 0,-1 0 0,0-1 0,-1 1 0,0-1 0,-1-1 0,0 1 0,-1-1 0,0 0 0,-2-1 0,4-21 0,0-40 0,-3 1 0,-9-106 0,4 148 0,-2-1 0,2 30 0,0 7 0,-2 49 0,3-48 0,5 224 0,-3-205 0,1 0 0,2 0 0,0 0 0,1-1 0,1 1 0,1-1 0,20 37 0,-23-52 0,-1 0 0,1 0 0,0-1 0,0 0 0,1 0 0,0 0 0,8 6 0,-13-11 0,1 0 0,-1 0 0,1 0 0,0 0 0,-1 0 0,1 0 0,-1 0 0,1-1 0,0 1 0,0-1 0,0 1 0,-1-1 0,1 0 0,0 1 0,0-1 0,0 0 0,-1 0 0,1-1 0,0 1 0,0 0 0,0-1 0,0 1 0,-1-1 0,1 1 0,0-1 0,-1 0 0,1 0 0,0 1 0,-1-1 0,1 0 0,-1-1 0,0 1 0,1 0 0,-1 0 0,0-1 0,1 1 0,0-2 0,5-8 0,-1 0 0,1 0 0,-2-1 0,0 0 0,5-17 0,1-1 0,-1 5 0,0 0 0,2 0 0,18-29 0,-29 53 0,0 0 0,-1-1 0,1 1 0,0-1 0,0 1 0,0 0 0,1 0 0,-1 0 0,0 0 0,0 0 0,1 0 0,-1 0 0,0 0 0,1 0 0,-1 0 0,1 1 0,-1-1 0,1 1 0,-1-1 0,1 1 0,-1 0 0,1-1 0,0 1 0,1 0 0,-1 1 0,1 0 0,-1 0 0,0 0 0,0 0 0,0 0 0,0 1 0,-1-1 0,1 1 0,0-1 0,-1 1 0,1 0 0,-1 0 0,1 0 0,-1 0 0,0 0 0,2 3 0,1 2 0,5 9 0,0 0 0,1-1 0,1 0 0,0-1 0,1 0 0,0-1 0,20 16 0,-23-22 0,-1-1 0,2 0 0,-1-1 0,1 0 0,-1 0 0,2-1 0,-1 0 0,0-1 0,1 0 0,-1-1 0,1 0 0,0-1 0,15 1 0,-18-3 0,1 0 0,-1 0 0,1 0 0,-1-1 0,0-1 0,0 1 0,1-1 0,-2-1 0,1 1 0,0-1 0,-1-1 0,0 1 0,0-1 0,0-1 0,-1 1 0,1-1 0,7-9 0,-6 4 0,0-1 0,0 0 0,-1 0 0,0-1 0,-1 0 0,-1 0 0,0-1 0,-1 1 0,0-1 0,-1 0 0,2-28 0,-2 10 0,-3 0 0,0 0 0,-2 0 0,-8-38 0,8 56 0,-1-1 0,-1 1 0,0 0 0,-1 0 0,-1 0 0,-11-20 0,17 33 0,0-1 0,-1 1 0,0 0 0,1 0 0,-1 0 0,0 0 0,1 0 0,-1 0 0,0 0 0,0 1 0,0-1 0,0 0 0,0 0 0,0 0 0,0 1 0,0-1 0,0 1 0,0-1 0,0 1 0,-1-1 0,1 1 0,0 0 0,0-1 0,0 1 0,-1 0 0,1 0 0,0 0 0,0 0 0,-1 0 0,1 0 0,0 0 0,0 1 0,0-1 0,-1 0 0,1 1 0,0-1 0,0 1 0,0-1 0,0 1 0,0-1 0,0 1 0,0 0 0,0-1 0,0 1 0,0 0 0,-1 1 0,-4 4 0,1 1 0,0-1 0,0 1 0,0 0 0,-6 13 0,2 0 0,0 0 0,1 1 0,1 0 0,1 0 0,1 0 0,1 1 0,1 0 0,1 0 0,1 0 0,2 38 0,0-55 0,-1-1 0,1 1 0,1-1 0,-1 0 0,1 0 0,-1 0 0,1 0 0,0 0 0,1 0 0,-1 0 0,1 0 0,-1-1 0,6 6 0,-3-5 0,1 1 0,-1-1 0,1 0 0,0-1 0,0 1 0,0-1 0,0 0 0,8 2 0,4 0 0,1 0 0,0-2 0,0 0 0,0-1 0,30-1 0,-13-2-170,0-2-1,-1-2 0,0-1 1,0-2-1,0-2 0,-1 0 1,59-29-1,12-16-6655</inkml:trace>
  <inkml:trace contextRef="#ctx0" brushRef="#br0" timeOffset="2086.56">6600 1155 24575,'0'-16'0,"-1"0"0,0 0 0,-1 0 0,0 1 0,-2-1 0,-5-18 0,7 30 0,1 0 0,-1 0 0,0 0 0,0 1 0,0-1 0,0 1 0,0-1 0,-1 1 0,0 0 0,0 0 0,0 0 0,0 0 0,0 0 0,0 0 0,-1 1 0,1 0 0,-1 0 0,0 0 0,1 0 0,-1 0 0,0 1 0,0 0 0,0 0 0,0 0 0,-1 0 0,1 1 0,-7-1 0,6 1 0,0 1 0,0 0 0,0-1 0,1 2 0,-1-1 0,0 0 0,0 1 0,1 0 0,0 0 0,-1 1 0,-5 3 0,0 2 0,0-1 0,1 2 0,-13 12 0,7-2 0,0 0 0,2 0 0,0 2 0,1-1 0,1 1 0,-15 41 0,13-24 0,2 2 0,1 0 0,-5 45 0,13-69 0,1 0 0,0 0 0,1 0 0,1 1 0,0-1 0,1 0 0,1-1 0,0 1 0,1 0 0,7 16 0,-7-24 0,0 1 0,0-1 0,1 0 0,0-1 0,1 1 0,-1-1 0,1 0 0,1-1 0,-1 1 0,1-1 0,1 0 0,-1-1 0,1 0 0,0 0 0,0-1 0,0 0 0,0 0 0,14 4 0,-11-5 0,0 0 0,0-1 0,0 0 0,1-1 0,-1 0 0,0-1 0,0 0 0,1 0 0,-1-1 0,0-1 0,0 0 0,0-1 0,0 0 0,0 0 0,16-9 0,-11 4 0,0-2 0,-1 0 0,0-1 0,-1 0 0,-1-1 0,1 0 0,-2-1 0,0-1 0,11-15 0,-7 6-682,15-30-1,5-19-6143</inkml:trace>
  <inkml:trace contextRef="#ctx0" brushRef="#br0" timeOffset="2459.69">6825 385 24575,'-19'-56'0,"19"56"0,0 1 0,0-1 0,-1 0 0,1 0 0,0 0 0,0 0 0,0 0 0,0 0 0,0 0 0,0 1 0,0-1 0,0 0 0,0 0 0,0 0 0,0 0 0,0 0 0,0 0 0,-1 0 0,1 0 0,0 0 0,0 0 0,0 0 0,0 1 0,0-1 0,0 0 0,0 0 0,-1 0 0,1 0 0,0 0 0,0 0 0,0 0 0,0 0 0,0 0 0,0 0 0,0 0 0,-1 0 0,1 0 0,0 0 0,0 0 0,0 0 0,0 0 0,0 0 0,0-1 0,0 1 0,-1 0 0,1 0 0,0 0 0,0 0 0,0 0 0,0 0 0,-1 18 0,1 0 0,1 0 0,4 30 0,-2-29 0,44 293 0,-22-160 0,10 58 0,32 251 0,-68-437 0,1-24 0,0 0 0,0 0 0,0 0 0,0 0 0,0 0 0,0 1 0,0-1 0,0 0 0,0 0 0,0 0 0,0 0 0,0 0 0,0 0 0,0 1 0,-1-1 0,1 0 0,0 0 0,0 0 0,0 0 0,0 0 0,0 0 0,0 0 0,-1 0 0,1 0 0,0 0 0,0 0 0,0 0 0,0 0 0,0 0 0,-1 0 0,1 0 0,0 0 0,0 0 0,0 0 0,0 0 0,0 0 0,-1 0 0,1 0 0,0 0 0,0 0 0,0 0 0,0 0 0,0 0 0,-1 0 0,1 0 0,0 0 0,0 0 0,0 0 0,0 0 0,0-1 0,0 1 0,0 0 0,0 0 0,-1 0 0,1 0 0,0 0 0,0-1 0,-20-31 0,12 17 0,-4-5 0,1-1 0,0 0 0,2-1 0,-14-44 0,21 59 0,1 1 0,0-1 0,0 1 0,1-1 0,-1 0 0,1 1 0,1-1 0,-1 0 0,1 1 0,1-1 0,-1 1 0,1-1 0,0 1 0,0 0 0,1 0 0,0 0 0,0 0 0,0 0 0,1 0 0,0 1 0,0 0 0,9-9 0,-5 7 33,1 0 1,0 0-1,0 1 0,1 0 0,0 1 0,0 0 1,0 1-1,20-6 0,8 0-230,45-5 0,-18 3-1073,14-5-5556</inkml:trace>
  <inkml:trace contextRef="#ctx0" brushRef="#br0" timeOffset="2755.17">7402 898 24575,'0'-4'0,"0"2"0,-1 0 0,1 0 0,0 0 0,1 0 0,-1 0 0,0 0 0,1 0 0,-1 0 0,2-3 0,-2 5 0,1-1 0,-1 1 0,1-1 0,0 1 0,-1-1 0,1 1 0,0-1 0,0 1 0,-1-1 0,1 1 0,0 0 0,0-1 0,-1 1 0,1 0 0,0 0 0,0 0 0,0 0 0,0 0 0,0 0 0,-1 0 0,1 0 0,0 0 0,0 0 0,0 0 0,0 0 0,1 1 0,7 1 0,0 1 0,1 0 0,-1 1 0,-1 0 0,1 0 0,0 1 0,-1 0 0,0 0 0,0 1 0,12 12 0,-2-2 0,-2 2 0,0 0 0,18 27 0,-18-19 0,-2 1 0,0 0 0,-2 2 0,-1-1 0,-1 1 0,-2 1 0,-1 0 0,-1 0 0,4 57 0,-10-78 0,1 0 0,-1 0 0,-1 0 0,1 0 0,-2 0 0,1 0 0,-4 10 0,4-16 0,0 0 0,0 0 0,0 0 0,-1 0 0,1 0 0,-1-1 0,0 1 0,0-1 0,0 1 0,0-1 0,0 0 0,0 0 0,-1 0 0,1 0 0,-1 0 0,1 0 0,-1-1 0,0 0 0,0 1 0,0-1 0,0 0 0,0 0 0,-3 0 0,3 0 0,1 0 0,-1-1 0,0 0 0,0 0 0,0 0 0,0 0 0,0 0 0,1-1 0,-1 1 0,0-1 0,0 0 0,0 0 0,1 0 0,-1 0 0,0 0 0,1 0 0,-4-3 0,2 1 0,0-1 0,0 0 0,0 0 0,1 0 0,-1 0 0,1 0 0,0 0 0,-4-10 0,0-2 0,1 1 0,0-1 0,2 0 0,0-1 0,-2-18 0,3 13 0,1-1 0,0 1 0,2-1 0,1 1 0,5-28 0,-3 36 0,0 0 0,1-1 0,0 2 0,2-1 0,-1 0 0,2 1 0,0 0 0,0 1 0,10-14 0,0 6 49,1 1 0,0 0 0,1 1-1,1 1 1,1 1 0,34-20 0,-12 12-618,0 2 0,71-25 0,-41 22-6257</inkml:trace>
  <inkml:trace contextRef="#ctx0" brushRef="#br0" timeOffset="3003.64">8107 0 24575,'-11'0'0,"3"0"0,1 22 0,14 23 0,5 32 0,1 35 0,15 31 0,1 30 0,-2 2 0,-8-13 0,6-23 0,-3-24 0,6-32 0,10-30 0,-3-29 0,-6-30 0,-8-13-8191</inkml:trace>
  <inkml:trace contextRef="#ctx0" brushRef="#br0" timeOffset="4546.61">1340 4329 24575,'-1'0'0,"0"0"0,0 0 0,1 0 0,-1 0 0,0 0 0,0 1 0,1-1 0,-1 0 0,0 0 0,0 1 0,1-1 0,-1 0 0,0 1 0,1-1 0,-1 1 0,0-1 0,1 1 0,-1-1 0,1 1 0,-2 1 0,-7 19 0,2 5 0,1 1 0,2 0 0,1 0 0,0 28 0,1-35 0,-6 165 0,1 1028-2592,7-1210 2590,5 116 77,-3-100 35,0 1 0,2 0 0,7 25 0,-10-43-105,-1 0 1,1 0-1,0 0 0,-1 0 1,1 0-1,0 0 1,0 0-1,0-1 0,1 1 1,-1 0-1,0 0 1,1-1-1,-1 1 0,1-1 1,-1 0-1,1 1 1,0-1-1,2 2 0,-2-3-3,-1 0-1,0 0 0,1 1 0,-1-1 1,1 0-1,-1 0 0,1-1 0,-1 1 0,1 0 1,-1 0-1,0-1 0,1 1 0,-1-1 1,0 1-1,1-1 0,-1 1 0,0-1 0,1 0 1,-1 0-1,1-1 0,6-5-5,0-1 0,0 0-1,-1 0 1,0-1 0,10-16-1,13-28 5,38-91 0,0 0 0,-12 48 577,-48 84-363,0 0 0,2 0 0,-1 1 1,23-20-1,-31 30-198,0 0 1,1 0-1,-1-1 1,1 1-1,-1 0 1,1 0-1,-1 0 1,1 0-1,0 1 1,0-1-1,-1 0 0,1 1 1,0-1-1,0 1 1,0 0-1,0 0 1,-1-1-1,1 1 1,0 0-1,0 1 1,0-1-1,0 0 1,0 0-1,3 2 1,-3-1-23,0 1 1,1 0-1,-1 0 1,0 0-1,0 0 1,0 0-1,0 1 1,0-1-1,-1 1 1,1-1-1,-1 1 1,0-1-1,1 1 1,0 5-1,5 12 6,-2 0 0,0 1 0,-1 0 0,-2-1 0,0 1 0,-1 0 0,-3 39 0,0-31 0,-3 1 0,0 0 0,-2-1 0,-20 55 0,16-59 0,0-1 0,-2-1 0,0 0 0,-1-1 0,-19 22 0,22-31 0,-1 0 0,-1 0 0,0-2 0,0 1 0,-1-2 0,-1 0 0,1 0 0,-25 10 0,35-18 0,0 0 0,-1 0 0,1-1 0,-1 1 0,0-1 0,0 0 0,1 0 0,-1-1 0,0 1 0,0-1 0,0 0 0,0-1 0,1 1 0,-1-1 0,-8-2 0,8 1 0,1 0 0,0 0 0,0-1 0,0 0 0,0 0 0,0 0 0,0 0 0,1 0 0,-1-1 0,1 1 0,0-1 0,0 0 0,1 0 0,-1 0 0,-3-9 0,0 1 0,1-1 0,0 1 0,1-1 0,0-1 0,1 1 0,1 0 0,0-1 0,0 0 0,2-21 0,0 29 0,0 0 0,1 0 0,0 0 0,0-1 0,1 2 0,-1-1 0,1 0 0,1 0 0,-1 0 0,1 1 0,0 0 0,0-1 0,1 1 0,-1 0 0,1 0 0,0 1 0,0-1 0,1 1 0,-1 0 0,1 0 0,0 1 0,0-1 0,9-4 0,-1 3 0,0 0 0,1 1 0,-1 0 0,28-3 0,58-1 0,-51 6 0,134-17 0,-151 14 0,1-2 0,-1-1 0,51-21 0,-73 25 0,0-1 0,0 0 0,-1 0 0,0-1 0,0 0 0,0-1 0,-1 0 0,0 0 0,0 0 0,-1-1 0,0 0 0,0 0 0,-1-1 0,0 1 0,0-1 0,-1 0 0,0-1 0,-1 1 0,3-13 0,-1 0 0,-1-1 0,-1 0 0,-2 0 0,0 0 0,-1 0 0,-1 0 0,-6-29 0,7 50 0,-13-61 0,12 60 0,1 0 0,-1 0 0,0 0 0,0 0 0,0 1 0,0-1 0,-1 0 0,1 1 0,-1-1 0,0 1 0,1-1 0,-1 1 0,0 0 0,-1 0 0,1 0 0,-5-4 0,6 6 0,0 0 0,1 0 0,-1 0 0,0 0 0,0 0 0,0 1 0,0-1 0,1 0 0,-1 0 0,0 0 0,0 1 0,0-1 0,1 1 0,-1-1 0,0 0 0,1 1 0,-1-1 0,0 1 0,1 0 0,-1-1 0,0 1 0,1-1 0,-1 1 0,1 0 0,-1 0 0,1-1 0,0 1 0,-1 0 0,1 0 0,0-1 0,-1 1 0,1 0 0,0 1 0,-5 12 0,2 0 0,0 0 0,0 0 0,2 0 0,-1 0 0,2 1 0,0-1 0,2 17 0,1-10 0,1 1 0,0-1 0,2 0 0,1 0 0,0 0 0,1-1 0,1 0 0,1-1 0,1 0 0,1-1 0,1 0 0,0 0 0,1-2 0,0 0 0,31 26 0,-40-38 0,0-1 0,0 1 0,0-1 0,0 0 0,1 0 0,0 0 0,-1-1 0,1 0 0,0 0 0,0-1 0,0 0 0,0 0 0,0 0 0,9 0 0,-10-2 0,1 0 0,-1 0 0,1 0 0,-1-1 0,1 0 0,-1 0 0,0 0 0,0-1 0,0 1 0,0-1 0,0-1 0,0 1 0,-1-1 0,0 1 0,7-8 0,-1-1 0,0-1 0,-1 0 0,0-1 0,-1 0 0,-1 0 0,0 0 0,-1-1 0,0 0 0,-1 0 0,4-24 0,-4 13 0,-1 0 0,-2-1 0,0 1 0,-2 0 0,-4-38 0,-2 40 0,2 25 0,0 11 0,1 1 0,1-1 0,0 0 0,1 0 0,1 1 0,-1-1 0,2 1 0,0-1 0,1 0 0,0 1 0,0-1 0,8 20 0,-7-24 0,1-1 0,0 1 0,0 0 0,1-1 0,0 0 0,0 0 0,0 0 0,1-1 0,0 1 0,0-1 0,1-1 0,0 1 0,0-1 0,0-1 0,1 1 0,-1-1 0,16 6 0,-16-8 0,1 1 0,-1-1 0,1-1 0,0 1 0,0-1 0,0 0 0,0-1 0,-1 0 0,1 0 0,0-1 0,0 0 0,0 0 0,0-1 0,-1 0 0,13-5 0,-10 2 0,-1 0 0,0 0 0,0-1 0,0 0 0,-1-1 0,0 0 0,0 0 0,-1 0 0,0-1 0,0 0 0,7-13 0,0-3 0,0-1 0,-2-1 0,-2 0 0,0 0 0,-1-1 0,-2 0 0,-1-1 0,5-46 0,-5 0 0,-4 1 0,-8-84 0,-3 15 0,-35-177 0,19 229 0,25 87 0,-1 1 0,0 0 0,0-1 0,0 1 0,0 0 0,0 0 0,0 0 0,-1 0 0,1 0 0,-1 0 0,1 0 0,-1 0 0,-3-2 0,5 4 0,-1-1 0,1 1 0,0 0 0,0 0 0,-1 0 0,1 0 0,0 0 0,-1 0 0,1 0 0,0 1 0,0-1 0,-1 0 0,1 0 0,0 0 0,-1 0 0,1 0 0,0 0 0,0 0 0,-1 1 0,1-1 0,0 0 0,0 0 0,0 0 0,-1 1 0,1-1 0,0 0 0,0 0 0,0 1 0,-1-1 0,1 0 0,0 0 0,0 1 0,0-1 0,0 1 0,-5 22 0,5 16 0,2 0 0,12 67 0,-9-67 0,-1-14-3,54 352-618,25-4 55,-72-333 566,22 48 0,-26-73 0,0 0 0,1 0 0,1-1 0,0-1 0,19 22 0,-25-31 0,1 0 0,0 0 0,1 0 0,-1-1 0,1 1 0,-1-1 0,1 0 0,0 0 0,0-1 0,1 1 0,-1-1 0,0 0 0,1-1 0,0 1 0,-1-1 0,10 1 0,-10-2 0,0-1 0,0 0 0,0 0 0,0 0 0,0 0 0,-1-1 0,1 0 0,0 1 0,-1-2 0,1 1 0,-1-1 0,0 1 0,0-1 0,0 0 0,0-1 0,-1 1 0,1-1 0,-1 1 0,4-6 0,3-6 0,0 1 0,-1-1 0,-1-1 0,-1 0 0,0 0 0,-1 0 0,7-29 0,-2-8 0,5-68 0,2-254 595,-25 8 0,3 329-595,4 37 0,0 3 0,3 13 0,54 192 0,-31-120 0,52 153 0,-59-192 0,3 0 0,48 79 0,-67-123 0,30 42 0,-31-44 0,0 0 0,0 1 0,0-1 0,0 0 0,0 0 0,1-1 0,-1 1 0,0 0 0,1-1 0,0 0 0,-1 1 0,1-1 0,0 0 0,3 1 0,-5-2-47,0 0 0,-1 0 0,1 0 0,0 0 0,-1-1 0,1 1 0,0 0 0,-1 0 0,1 0-1,0-1 1,-1 1 0,1 0 0,0 0 0,-1-1 0,1 1 0,-1-1 0,1 1 0,0 0 0,-1-1 0,1 1 0,-1-1 0,0 1-1,1-1 1,-1 0 0,1 1 0,-1-1 0,0 1 0,1-2 0,6-24-6779</inkml:trace>
  <inkml:trace contextRef="#ctx0" brushRef="#br0" timeOffset="4718.92">2880 5100 24575,'-11'0'0,"24"0"0,31-6 0,25-1 0,28-22 0,13-6 0,5 3 0,-6 7 0,-11 8 0,-6 7 0,-8 4 0,-17 4-8191</inkml:trace>
  <inkml:trace contextRef="#ctx0" brushRef="#br0" timeOffset="5279.05">3971 4938 24575,'-9'0'0,"0"-1"0,0 2 0,1-1 0,-1 1 0,0 1 0,1-1 0,-1 1 0,1 1 0,0 0 0,-1 0 0,1 1 0,0-1 0,1 2 0,-1-1 0,-11 10 0,8-4 0,1 1 0,0 0 0,0 0 0,1 1 0,1 0 0,0 0 0,-10 21 0,14-25 0,1 1 0,-1 0 0,1-1 0,1 1 0,0 0 0,0 0 0,1 0 0,0 1 0,0-1 0,1 0 0,0 0 0,1 1 0,2 10 0,-2-16 0,1 1 0,-1-1 0,1 0 0,1 0 0,-1 0 0,0 0 0,1 0 0,0-1 0,0 1 0,0-1 0,0 1 0,1-1 0,-1 0 0,1-1 0,0 1 0,0-1 0,0 1 0,6 1 0,-7-2 0,1 0 0,0-1 0,0 0 0,-1 1 0,1-2 0,0 1 0,0 0 0,0-1 0,0 0 0,0 0 0,0 0 0,0 0 0,0-1 0,0 1 0,0-1 0,0 0 0,0 0 0,0-1 0,0 1 0,-1-1 0,5-2 0,-3 0 0,0-1 0,0 0 0,0 0 0,0 0 0,-1-1 0,0 1 0,0-1 0,-1 0 0,1 0 0,-1-1 0,-1 1 0,1 0 0,-1-1 0,0 0 0,1-7 0,2-15 0,-1-1 0,0-33 0,-4 55 0,1-21 0,-1 7 0,1 1 0,1-1 0,7-34 0,-8 52 0,0 1 0,0-1 0,1 0 0,-1 0 0,1 0 0,-1 1 0,1-1 0,0 0 0,1 1 0,-1 0 0,0 0 0,1-1 0,0 1 0,0 1 0,0-1 0,0 0 0,0 1 0,1 0 0,-1-1 0,1 1 0,-1 1 0,1-1 0,0 0 0,0 1 0,4-1 0,-3 1 0,-1 1 0,1 0 0,0 0 0,-1 0 0,1 0 0,0 1 0,0 0 0,-1 0 0,1 0 0,-1 1 0,1-1 0,-1 1 0,0 0 0,0 0 0,0 1 0,0-1 0,0 1 0,0 0 0,4 5 0,2 1 0,0 2 0,-2-1 0,1 1 0,-1 0 0,10 19 0,-6-5 0,-1 0 0,0 1 0,-2 1 0,10 51 0,4 99 0,-26-234 0,3 0 0,2 0 0,18-104 0,-15 141 0,-1 0 0,2 1 0,1 0 0,0 0 0,2 1 0,0 0 0,0 1 0,2 0 0,0 0 0,1 1 0,1 0 0,20-18 0,-28 29 0,0 0 0,0 1 0,1 0 0,0 0 0,0 0 0,0 0 0,1 1 0,-1 0 0,1 1 0,-1 0 0,13-3 0,-15 4 0,1 1 0,-1 0 0,0 0 0,1 0 0,-1 1 0,0-1 0,0 1 0,1 0 0,-1 0 0,0 1 0,0-1 0,0 1 0,0 0 0,0 0 0,-1 0 0,1 1 0,-1-1 0,1 1 0,5 5 0,-1 2 0,0-1 0,-1 1 0,0 1 0,0-1 0,-1 1 0,-1 0 0,0 1 0,0-1 0,-1 1 0,0 0 0,1 14 0,3 17 0,4 79 0,-12-93 90,1-7 20,4 33-1,-4-49-248,0-1-1,1 0 1,-1 1-1,1-1 1,0 0-1,0 0 1,1-1-1,-1 1 1,1 0-1,0-1 0,6 7 1,9 1-6687</inkml:trace>
  <inkml:trace contextRef="#ctx0" brushRef="#br0" timeOffset="5794.11">5702 4682 24575,'0'-2'0,"0"1"0,0 0 0,0-1 0,1 1 0,-1 0 0,0-1 0,1 1 0,0 0 0,-1-1 0,1 1 0,-1 0 0,1 0 0,0 0 0,0-1 0,0 1 0,0 0 0,0 0 0,0 0 0,0 0 0,0 1 0,2-2 0,4-4 0,-7 6 0,0 0 0,0 0 0,0 0 0,0 0 0,0 0 0,0 0 0,0 0 0,0 0 0,1-1 0,-1 1 0,0 0 0,0 0 0,0 0 0,0 0 0,0 0 0,0 0 0,0 0 0,0 0 0,0 0 0,0-1 0,0 1 0,0 0 0,0 0 0,0 0 0,0 0 0,0 0 0,0 0 0,0 0 0,0-1 0,0 1 0,0 0 0,0 0 0,-1 0 0,1 0 0,0 0 0,0 0 0,0 0 0,0 0 0,0 0 0,0 0 0,0-1 0,0 1 0,0 0 0,0 0 0,0 0 0,0 0 0,-1 0 0,1 0 0,0 0 0,0 0 0,0 0 0,0 0 0,0 0 0,0 0 0,0 0 0,0 0 0,-1 0 0,1 0 0,0 0 0,0 0 0,0 0 0,0 0 0,0 0 0,0 0 0,0 0 0,0 0 0,-1 0 0,1 0 0,-7 0 0,-1 0 0,1 1 0,-1 0 0,1 0 0,-1 0 0,1 1 0,0 0 0,0 1 0,-7 3 0,-14 3 0,9-3 0,-1-1 0,1-1 0,-1-1 0,0 0 0,-39-2 0,51-1 0,-1-1 0,1 0 0,0 0 0,0-1 0,1 0 0,-1-1 0,0 0 0,1 0 0,-1 0 0,1-1 0,0 0 0,0-1 0,1 1 0,-1-1 0,1-1 0,0 1 0,-7-10 0,2 0 0,1 0 0,1-1 0,0 0 0,1 0 0,1-1 0,1 0 0,0-1 0,1 1 0,-3-27 0,2 4 0,2 0 0,2-1 0,3-46 0,7 11 0,-7 70 0,0-1 0,1 1 0,-1 0 0,1 0 0,1 0 0,-1 0 0,1 1 0,6-10 0,-9 14 0,0 1 0,0-1 0,1 1 0,-1 0 0,0-1 0,1 1 0,-1 0 0,0-1 0,1 1 0,-1 0 0,0-1 0,1 1 0,-1 0 0,1 0 0,-1-1 0,1 1 0,-1 0 0,0 0 0,1 0 0,-1 0 0,1 0 0,-1 0 0,1-1 0,-1 1 0,1 0 0,-1 0 0,1 0 0,-1 1 0,1-1 0,-1 0 0,1 0 0,-1 0 0,0 0 0,1 0 0,-1 0 0,1 1 0,-1-1 0,1 0 0,-1 0 0,0 1 0,1-1 0,-1 0 0,0 1 0,1-1 0,-1 0 0,0 1 0,1 0 0,2 3 0,-1 0 0,1 0 0,-1 0 0,0 0 0,-1 0 0,1 1 0,-1-1 0,2 9 0,5 46 0,-7-45 0,9 110 0,6 52 0,-11-139 0,2 0 0,20 62 0,-17-74 0,0 1 0,2-1 0,22 34 0,-26-46 0,2 0 0,0-1 0,0 0 0,1 0 0,0-1 0,1-1 0,14 10 0,-22-17 0,1 0 0,-1 0 0,1-1 0,0 1 0,-1-1 0,1 0 0,0-1 0,0 1 0,1-1 0,-1 0 0,0 0 0,0 0 0,0-1 0,1 0 0,-1 0 0,0-1 0,1 1 0,-1-1 0,0 0 0,0 0 0,7-3 0,-6 1 0,1-1 0,-1 0 0,1 0 0,-1 0 0,0-1 0,-1 0 0,1 0 0,-1 0 0,0-1 0,0 0 0,-1 0 0,1 0 0,-1-1 0,4-8 0,-1 0 0,-1-1 0,0 0 0,-2-1 0,1 1 0,-2-1 0,2-25 0,-1-104 0,-4 117 0,-4-112 0,4 132 0,4 26 0,-2-7 0,12 56 0,25 87 0,-25-109 0,2-1 0,42 80 0,-54-116-273,1 0 0,1 0 0,-1-1 0,9 8 0,21 14-6553</inkml:trace>
  <inkml:trace contextRef="#ctx0" brushRef="#br0" timeOffset="6247.5">7434 3976 24575,'17'-18'0,"-1"-1"0,-1-1 0,-1 0 0,13-27 0,-10 19 0,2-4 0,-2-1 0,-1 0 0,-1-2 0,14-49 0,-27 77 0,0 0 0,-1 0 0,0-1 0,0 1 0,-1-1 0,0 1 0,0-1 0,-2-12 0,1 17 0,0 0 0,0 1 0,0-1 0,0 0 0,0 1 0,0-1 0,-1 1 0,0-1 0,1 1 0,-1 0 0,0-1 0,0 1 0,0 0 0,0 0 0,0 1 0,-1-1 0,1 0 0,-1 1 0,1-1 0,-1 1 0,1 0 0,-1 0 0,0 0 0,0 0 0,-3 0 0,-3-1 0,1 1 0,-1 0 0,0 1 0,1 0 0,-1 0 0,0 1 0,-12 3 0,-3 1 0,-36 14 0,34-10 0,0 2 0,1 1 0,0 1 0,1 1 0,-37 28 0,49-32 0,0 0 0,1 1 0,0 0 0,1 1 0,0 1 0,1-1 0,0 1 0,1 1 0,1-1 0,0 1 0,-8 23 0,13-31 0,0 1 0,0 0 0,1 0 0,0 0 0,0 0 0,1 0 0,0 0 0,0 0 0,0 0 0,1 0 0,0 0 0,1 0 0,4 12 0,-3-11 0,1-1 0,0 1 0,1-1 0,-1 0 0,1 0 0,1 0 0,0-1 0,0 0 0,12 11 0,9 1 0,1 0 0,0-2 0,1-2 0,54 20 0,-67-28 0,32 13 0,132 57 0,-151-62 0,-1 1 0,-1 2 0,-1 0 0,27 24 0,-46-35 0,-1 0 0,1 1 0,-1 0 0,0 0 0,-1 0 0,0 1 0,0 0 0,-1 0 0,1 0 0,4 16 0,-7-18 0,-1-1 0,0 0 0,0 0 0,-1 1 0,0-1 0,0 0 0,0 1 0,0-1 0,-1 0 0,0 0 0,0 1 0,0-1 0,-1 0 0,1 0 0,-1 0 0,-1 0 0,1 0 0,-1-1 0,-5 9 0,0-4 0,-1 0 0,0 0 0,0-1 0,-1-1 0,0 1 0,0-2 0,0 1 0,-1-1 0,0-1 0,-1 0 0,1 0 0,-1-1 0,-15 3 0,-15 2 0,-1-1 0,-61 2 0,84-9 0,-1 0 0,0-1 0,0-1 0,1-1 0,-25-6 0,39 7 0,0-1 0,0 1 0,0-1 0,1-1 0,-1 1 0,1-1 0,-1 0 0,1 0 0,0 0 0,0-1 0,0 0 0,1 0 0,-1 0 0,1 0 0,0-1 0,0 0 0,1 1 0,0-1 0,-1-1 0,1 1 0,1 0 0,-3-7 0,3 3-114,1-1 1,0 1-1,1 0 0,-1 0 0,2-1 1,-1 1-1,2 0 0,-1-1 0,1 1 1,0 0-1,5-9 0,13-40-6712</inkml:trace>
  <inkml:trace contextRef="#ctx0" brushRef="#br0" timeOffset="6777.75">8493 3527 24575,'-3'0'0,"1"0"0,-1-1 0,1 1 0,0-1 0,-1 0 0,1 0 0,0 0 0,-1 0 0,1 0 0,0 0 0,-3-3 0,-16-7 0,17 10 0,0 0 0,1 1 0,-1-1 0,0 1 0,1-1 0,-1 1 0,0 1 0,0-1 0,1 0 0,-1 1 0,0 0 0,1 0 0,-1 0 0,1 0 0,-1 0 0,-4 3 0,3 0 0,-1 0 0,1 0 0,0 0 0,-1 1 0,2-1 0,-1 1 0,1 0 0,-6 9 0,0 2 0,0 1 0,1 1 0,1 0 0,1 0 0,-7 26 0,9-23 0,0 0 0,1 1 0,1 0 0,1 0 0,1 0 0,1-1 0,1 1 0,6 36 0,-5-46 0,1-1 0,0 0 0,1-1 0,0 1 0,1-1 0,0 1 0,0-2 0,1 1 0,1 0 0,-1-1 0,2 0 0,-1-1 0,1 0 0,0 0 0,1 0 0,0-1 0,0-1 0,15 9 0,-13-9 0,0-1 0,0 0 0,0 0 0,0-1 0,1-1 0,0 0 0,0-1 0,0 0 0,0-1 0,0 0 0,0 0 0,20-3 0,-23 0 0,1 0 0,-1 0 0,0-1 0,0 0 0,0-1 0,-1 0 0,1 0 0,-1-1 0,0 0 0,0 0 0,0-1 0,-1 0 0,0 0 0,0-1 0,-1 0 0,9-11 0,-5 2 0,0 1 0,-1-1 0,-1-1 0,0 0 0,-1 0 0,-1-1 0,-1 0 0,6-30 0,-3-12 0,1-78 0,-6 67 0,-3 64 0,6-52 0,-5 56 0,-1 0 0,1 0 0,0 0 0,0 0 0,0 1 0,0-1 0,0 0 0,1 0 0,-1 1 0,1-1 0,0 1 0,0-1 0,0 1 0,4-4 0,-5 5 0,0 1 0,0-1 0,0 1 0,-1 0 0,1-1 0,0 1 0,0 0 0,0 0 0,0 0 0,0 0 0,0 0 0,0 0 0,0 0 0,0 0 0,0 0 0,0 0 0,0 0 0,0 1 0,-1-1 0,1 0 0,0 1 0,0-1 0,0 1 0,0-1 0,-1 1 0,1-1 0,0 1 0,0-1 0,0 2 0,7 4 0,-1 1 0,0 0 0,0 1 0,-1 0 0,0 0 0,0 0 0,-1 1 0,0-1 0,5 12 0,3 12 0,13 46 0,-9-13 0,14 110 0,-27-154 0,-4-20 0,1-3 0,-2-34 0,1 20 0,0-59 0,15-129 0,-10 168 0,2 0 0,1 0 0,2 1 0,2 0 0,26-55 0,-32 79 31,0 0 0,1 0 0,0 1 0,1 0 0,0 0 0,1 0 0,0 1 0,0 1 1,1-1-1,11-6 0,-14 11-138,0 0 0,1 0 1,-1 1-1,1 0 0,0 0 1,0 1-1,0 0 0,0 0 1,1 1-1,-1 0 0,0 0 1,1 1-1,-1 0 0,0 1 1,16 2-1,34 14-6719</inkml:trace>
  <inkml:trace contextRef="#ctx0" brushRef="#br0" timeOffset="7491.12">9647 3238 24575,'0'-2'0,"0"-1"0,0 0 0,0 1 0,0-1 0,-1 1 0,0-1 0,1 1 0,-1-1 0,0 1 0,0-1 0,0 1 0,0 0 0,-1-1 0,1 1 0,-3-3 0,3 4 0,0 0 0,-1 0 0,1 0 0,0 0 0,-1 1 0,1-1 0,-1 0 0,1 1 0,-1-1 0,1 1 0,-1-1 0,1 1 0,-1 0 0,1 0 0,-1 0 0,1-1 0,-1 2 0,0-1 0,1 0 0,-1 0 0,1 0 0,-1 1 0,1-1 0,-1 1 0,1-1 0,-3 2 0,-1 1 0,-1 0 0,1 1 0,0-1 0,0 1 0,1 0 0,-1 0 0,1 1 0,0-1 0,0 1 0,1 0 0,-1 0 0,1 1 0,0-1 0,0 0 0,-3 11 0,0 1 0,0 1 0,1 0 0,1 0 0,-2 20 0,5-26 0,0 1 0,1-1 0,1 0 0,0 1 0,0-1 0,1 0 0,1 0 0,6 19 0,-7-26 0,-1-1 0,1 1 0,0 0 0,1-1 0,-1 1 0,1-1 0,0 0 0,0 0 0,1 0 0,-1 0 0,1 0 0,-1-1 0,1 0 0,0 0 0,1 0 0,-1 0 0,0 0 0,1-1 0,0 0 0,-1 0 0,1 0 0,0-1 0,7 2 0,-7-2 0,0-1 0,-1 0 0,1 0 0,-1 0 0,1-1 0,0 0 0,-1 1 0,1-2 0,-1 1 0,0 0 0,1-1 0,-1 0 0,7-4 0,-5 2 0,1-1 0,-1 0 0,0 0 0,0 0 0,0-1 0,-1 0 0,7-9 0,-2-1 0,0-1 0,-1 0 0,-1 0 0,-1-1 0,11-36 0,-11 20 0,-1 1 0,-1-1 0,-2 0 0,-2 0 0,-1 0 0,-6-51 0,5 73 0,-1 0 0,-1 1 0,0-1 0,0 1 0,-1 0 0,0 0 0,-1 0 0,0 0 0,-1 1 0,-8-12 0,13 20 0,-1 0 0,1 1 0,-1-1 0,1 0 0,-1 0 0,0 1 0,0-1 0,0 1 0,0-1 0,0 1 0,0 0 0,0 0 0,-1 0 0,1 0 0,0 0 0,-1 0 0,1 1 0,0-1 0,-1 1 0,-4-1 0,6 2 0,1-1 0,-1 0 0,0 0 0,0 1 0,0-1 0,0 0 0,0 1 0,1-1 0,-1 1 0,0-1 0,0 1 0,1-1 0,-1 1 0,0 0 0,1-1 0,-1 1 0,0 0 0,1-1 0,-1 1 0,0 1 0,0 1 0,1-1 0,-1 0 0,0 0 0,1 0 0,0 1 0,-1-1 0,1 0 0,0 1 0,0-1 0,0 0 0,1 4 0,1 0 0,-1 0 0,1 0 0,0 0 0,1 0 0,0-1 0,0 1 0,0-1 0,0 0 0,1 0 0,0 0 0,0 0 0,0 0 0,0-1 0,1 0 0,0 0 0,0 0 0,0-1 0,9 5 0,2 1 0,0-1 0,1-1 0,0 0 0,0-1 0,21 3 0,-25-6 0,0-1 0,0 0 0,0-1 0,0-1 0,1 0 0,-1-1 0,0 0 0,0-1 0,0-1 0,0 0 0,0-1 0,0 0 0,-1 0 0,0-2 0,0 0 0,0 0 0,13-10 0,-11 5 0,1 0 0,-1-2 0,-1 0 0,0 0 0,-1-1 0,0-1 0,-2 0 0,1 0 0,-2-1 0,0-1 0,11-28 0,-8 11 0,-1-2 0,-2 1 0,-2-1 0,-1 0 0,-2 0 0,-1-1 0,-2 1 0,-2-1 0,-5-43 0,3 63 0,-1 1 0,-7-21 0,10 31 0,-1 1 0,0 1 0,-1-1 0,1 0 0,-1 0 0,0 1 0,0 0 0,0 0 0,-1-1 0,-5-4 0,8 8 0,0 1 0,1-1 0,-1 0 0,0 1 0,0-1 0,0 1 0,1-1 0,-1 1 0,0 0 0,0-1 0,0 1 0,0 0 0,0 0 0,0 0 0,0-1 0,0 1 0,0 0 0,1 0 0,-1 0 0,0 0 0,0 1 0,0-1 0,0 0 0,0 0 0,0 1 0,0-1 0,0 0 0,0 1 0,1-1 0,-1 1 0,0-1 0,0 1 0,0-1 0,1 1 0,-1-1 0,0 1 0,1 0 0,-2 0 0,0 3 0,-1 1 0,0-1 0,1 0 0,0 1 0,0-1 0,-2 9 0,-4 19 0,1 0 0,2 1 0,1-1 0,2 1 0,1 0 0,2 0 0,1 0 0,1-1 0,2 1 0,1-1 0,21 62 0,-20-74 0,2 0 0,0-1 0,1 0 0,1-1 0,1 0 0,0 0 0,1-1 0,1-1 0,1 0 0,0-1 0,1-1 0,1 0 0,0-1 0,1-1 0,0-1 0,24 12 0,-14-11 0,1-1 0,0-1 0,51 11 0,-60-18 0,0 0 0,1-1 0,0-1 0,-1-1 0,1 0 0,26-5 0,-38 3 0,-1 0 0,1 0 0,0-1 0,0 0 0,-1-1 0,0 0 0,0 0 0,0-1 0,0 0 0,0 0 0,-1-1 0,0 1 0,9-12 0,-7 7 0,-1-1 0,-1 0 0,0 0 0,0-1 0,-1 0 0,-1 0 0,0 0 0,6-25 0,-1-7 0,-2-1 0,4-81 0,-13-96 0,-48-275 0,34 401 0,5 61 0,10 35 0,0 0 0,0 0 0,0 0 0,0 0 0,0 0 0,0 0 0,0 0 0,0 0 0,-1-1 0,1 1 0,0 0 0,0 0 0,0 0 0,0 0 0,0 0 0,0 0 0,0 0 0,-1 0 0,1 0 0,0 0 0,0 0 0,0 0 0,0 0 0,0 0 0,0 0 0,0 0 0,0 0 0,-1 0 0,1 0 0,0 1 0,0-1 0,0 0 0,0 0 0,0 0 0,0 0 0,0 0 0,0 0 0,0 0 0,-1 0 0,1 0 0,0 0 0,0 0 0,0 0 0,0 1 0,0-1 0,0 0 0,0 0 0,0 0 0,0 0 0,0 0 0,0 0 0,0 0 0,0 1 0,0-1 0,0 0 0,0 0 0,0 0 0,0 0 0,0 0 0,0 0 0,0 0 0,0 1 0,-3 20 0,1 21 0,3-1 0,1 1 0,3 0 0,9 41 0,-2-6 0,65 357-171,-56-327-1023,-5-18-5632</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3:12.430"/>
    </inkml:context>
    <inkml:brush xml:id="br0">
      <inkml:brushProperty name="width" value="0.05" units="cm"/>
      <inkml:brushProperty name="height" value="0.05" units="cm"/>
      <inkml:brushProperty name="color" value="#004F8B"/>
    </inkml:brush>
  </inkml:definitions>
  <inkml:trace contextRef="#ctx0" brushRef="#br0">73 180 24575,'0'19'0,"-1"-5"0,1-1 0,1 0 0,0 0 0,5 23 0,-5-32 0,0 0 0,1-1 0,0 1 0,-1 0 0,1-1 0,1 1 0,-1-1 0,0 0 0,1 1 0,0-1 0,0 0 0,-1-1 0,2 1 0,-1 0 0,0-1 0,1 0 0,-1 0 0,1 0 0,6 3 0,2-1 0,0-1 0,0 0 0,1-1 0,-1 0 0,1-1 0,-1 0 0,1-1 0,0 0 0,-1-1 0,1 0 0,18-6 0,7-2 0,-1-2 0,53-24 0,-52 19 0,-1-2 0,-1-2 0,-1-1 0,-1-2 0,0-1 0,-2-2 0,40-41 0,-45 32 0,-26 33 0,0 1 0,0-1 0,0 0 0,0 1 0,-1-1 0,1 0 0,-1 0 0,1 1 0,-1-1 0,0 0 0,1 0 0,-1 0 0,0 1 0,0-1 0,0 0 0,0 0 0,-1 0 0,1 1 0,-1-4 0,0 4 0,1 0 0,-1 0 0,0 0 0,1 0 0,-1 0 0,0 1 0,0-1 0,0 0 0,0 0 0,0 1 0,1-1 0,-1 0 0,0 1 0,0-1 0,0 1 0,-1-1 0,1 1 0,0 0 0,0 0 0,0-1 0,0 1 0,0 0 0,0 0 0,0 0 0,-1 0 0,1 0 0,0 0 0,0 0 0,-2 1 0,-3 0 0,1 1 0,0-1 0,-1 1 0,1 0 0,-8 5 0,-7 7 0,0 0 0,1 1 0,1 1 0,0 1 0,2 0 0,-24 32 0,-4 9-72,4 3 1,2 1-1,-53 116 0,-64 220-332,106-265 362,-24 38 42,48-129 0,24-40 0,-1 0 0,0 1 0,1-1 0,-1-1 0,0 1 0,0 0 0,0 0 0,0-1 0,0 1 0,-1-1 0,1 1 0,0-1 0,-1 0 0,-4 1 0,6-2 0,0 0 0,0 1 0,0-2 0,0 1 0,0 0 0,0 0 0,0 0 0,1 0 0,-1-1 0,0 1 0,0 0 0,0-1 0,0 1 0,0-1 0,0 1 0,0-1 0,1 1 0,-1-1 0,0 1 0,0-1 0,1 0 0,-1 0 0,0 1 0,1-1 0,-1 0 0,1 0 0,-1 0 0,1 0 0,-1-1 0,-9-33 122,3-8 10,2 0 1,1-46-1,8-86 82,-3 162-214,-1-5 0,1-1 0,1 1 0,0 0 0,9-30 0,-11 47 0,0 0 0,0 0 0,1 0 0,-1 0 0,0 0 0,0 0 0,1 1 0,-1-1 0,1 0 0,-1 0 0,1 0 0,-1 1 0,1-1 0,-1 0 0,1 1 0,0-1 0,-1 0 0,1 1 0,0-1 0,0 1 0,-1-1 0,1 1 0,0-1 0,0 1 0,0 0 0,0-1 0,-1 1 0,1 0 0,0 0 0,0-1 0,0 1 0,0 0 0,0 0 0,0 0 0,0 0 0,0 0 0,0 1 0,0-1 0,-1 0 0,1 0 0,0 1 0,0-1 0,0 0 0,0 1 0,0-1 0,0 1 0,5 3 0,-1 0 0,0 1 0,0-1 0,0 1 0,5 7 0,-4-6 0,39 43 0,72 60 0,-93-90 0,1 0 0,1-2 0,1-1 0,0-1 0,40 16 0,-19-16 0,0-1 0,1-3 0,0-1 0,0-3 0,53 1 0,-84-7 0,1-1 0,-1-1 0,1 0 0,-1-1 0,0-2 0,0 1 0,0-2 0,20-7 0,-30 8 0,0 0 0,-1 0 0,1-1 0,-1 1 0,0-2 0,0 1 0,0-1 0,-1 0 0,1 0 0,-2-1 0,1 0 0,-1 0 0,0 0 0,0 0 0,-1-1 0,0 0 0,0 0 0,4-15 0,-5 11 0,0 0 0,0 0 0,-2-1 0,2-18 0,-3 26 0,0 0 0,0 0 0,-1 0 0,0 0 0,1 0 0,-2 0 0,1 1 0,0-1 0,-1 0 0,0 1 0,0-1 0,0 1 0,-6-8 0,8 11 0,-1 1 0,1-1 0,-1 0 0,0 0 0,1 0 0,-1 0 0,0 1 0,0-1 0,0 0 0,1 1 0,-1-1 0,0 1 0,0-1 0,0 1 0,0-1 0,0 1 0,0 0 0,0-1 0,0 1 0,0 0 0,0 0 0,0 0 0,0 0 0,0 0 0,0 0 0,-1 0 0,1 0 0,0 0 0,0 0 0,0 1 0,0-1 0,0 0 0,0 1 0,0-1 0,0 1 0,1-1 0,-1 1 0,0-1 0,0 1 0,0 0 0,0-1 0,1 1 0,-2 1 0,-1 2 0,-1 0 0,1 0 0,0 1 0,1 0 0,-1-1 0,1 1 0,-3 8 0,3-5 0,-1 1 0,1 0 0,1 0 0,0 0 0,0 0 0,1 0 0,0 0 0,1 0 0,0 1 0,0-1 0,1-1 0,0 1 0,0 0 0,1 0 0,0-1 0,1 1 0,0-1 0,0 0 0,1 0 0,0-1 0,9 11 0,-7-9 0,1-1 0,0 0 0,0 0 0,1-1 0,-1 0 0,2 0 0,-1-1 0,1 0 0,0-1 0,0 0 0,1-1 0,0 0 0,-1 0 0,1-1 0,0-1 0,1 0 0,13 1 0,-20-3 0,-1 0 0,1 0 0,-1-1 0,0 1 0,1-1 0,-1 0 0,1 0 0,-1-1 0,0 1 0,0-1 0,0 0 0,0 0 0,0 0 0,0-1 0,6-5 0,-5 3 0,0 0 0,0 0 0,-1-1 0,0 0 0,0 1 0,0-1 0,-1-1 0,0 1 0,4-11 0,-3 5 0,-1-1 0,0-1 0,0 1 0,-2 0 0,1 0 0,-2-1 0,0 1 0,0-1 0,-2 1 0,-3-20 0,3 25 0,0 0 0,-1-1 0,0 1 0,-1 1 0,0-1 0,0 1 0,-1-1 0,1 1 0,-1 0 0,-1 1 0,0-1 0,0 1 0,0 0 0,0 1 0,-1-1 0,0 1 0,0 1 0,0-1 0,-1 1 0,-10-4 0,8 5 0,0 0 0,0 0 0,0 1 0,0 0 0,0 1 0,-1 0 0,1 1 0,0 0 0,-1 0 0,1 1 0,0 1 0,-1 0 0,1 0 0,0 1 0,0 0 0,-12 6 0,13-5 0,1 1 0,0-1 0,0 1 0,0 1 0,1-1 0,0 1 0,0 1 0,1-1 0,-1 1 0,1 0 0,1 0 0,-1 1 0,1 0 0,1 0 0,-1 0 0,1 1 0,-5 17 0,8-24 0,1 1 0,-1-1 0,1 1 0,0 0 0,-1-1 0,1 1 0,1 0 0,-1-1 0,0 1 0,1 0 0,-1-1 0,1 1 0,0-1 0,0 1 0,0-1 0,0 1 0,0-1 0,0 1 0,1-1 0,-1 0 0,1 0 0,0 0 0,-1 0 0,1 0 0,0 0 0,0 0 0,0-1 0,1 1 0,-1-1 0,0 0 0,4 2 0,0 0 0,-1-2 0,1 1 0,-1 0 0,1-1 0,0 0 0,-1-1 0,1 1 0,0-1 0,0 0 0,-1 0 0,1-1 0,0 0 0,10-2 0,0-3 0,-1 0 0,0 0 0,0-2 0,19-12 0,55-44 0,-63 44 0,206-153 0,-229 171 0,12-10 0,0 1 0,1 1 0,1 0 0,17-7 0,-30 15 0,-1 1 0,1-1 0,-1 1 0,1 0 0,0 0 0,-1 1 0,1-1 0,0 1 0,-1-1 0,1 1 0,0 0 0,0 0 0,0 1 0,-1-1 0,1 1 0,0 0 0,-1 0 0,1 0 0,-1 1 0,1-1 0,-1 1 0,1 0 0,-1 0 0,0 0 0,0 0 0,0 0 0,3 4 0,-1 0 0,0 0 0,-1 1 0,1 0 0,-1 0 0,-1 0 0,1 0 0,-1 0 0,-1 1 0,1 0 0,1 13 0,1 10 0,1 45 0,-2-29 0,-3-35 0,1-1 0,0 1 0,1-1 0,0 1 0,1-1 0,1-1 0,-1 1 0,2 0 0,-1-1 0,14 18 0,-16-25 0,-1 1 0,1-1 0,0 0 0,0 0 0,0-1 0,0 1 0,1-1 0,-1 0 0,1 1 0,-1-1 0,1-1 0,0 1 0,-1-1 0,1 1 0,0-1 0,0 0 0,0 0 0,0-1 0,0 1 0,1-1 0,-1 0 0,0 0 0,0 0 0,0-1 0,0 1 0,0-1 0,0 0 0,0 0 0,0-1 0,0 1 0,-1-1 0,1 0 0,0 0 0,3-2 0,2-3 0,0 0 0,0 0 0,-1-1 0,0 0 0,0 0 0,0-1 0,-2 0 0,1 0 0,8-16 0,-5 5 0,0 1 0,-2-2 0,12-39 0,-17 48 0,-1 1 0,0-1 0,0 0 0,-1 0 0,-1 0 0,-1-23 0,0 31 0,0-1 0,0 1 0,0 0 0,0 0 0,-1-1 0,1 1 0,-1 0 0,0 0 0,0 1 0,-1-1 0,1 0 0,-1 1 0,0-1 0,0 1 0,0 0 0,0 0 0,0 0 0,-1 1 0,0-1 0,1 1 0,-8-4 0,3 3 0,0-1 0,0 2 0,-1-1 0,1 1 0,-1 0 0,0 1 0,1 0 0,-1 0 0,0 1 0,-16 1 0,13 1 0,-1 1 0,1 0 0,0 0 0,0 1 0,1 1 0,-1 0 0,-11 7 0,5-1 0,1 1 0,0 1 0,0 0 0,1 1 0,1 1 0,1 0 0,0 1 0,-22 33 0,26-32 0,0 1 0,1 0 0,1 0 0,-11 38 0,17-48 0,0-1 0,0 1 0,1 0 0,0 0 0,0 0 0,1-1 0,0 1 0,0 0 0,1 0 0,0 0 0,1 0 0,0-1 0,0 1 0,0-1 0,5 10 0,-4-13 0,0 1 0,0-1 0,0 0 0,1 0 0,0 0 0,0 0 0,0 0 0,0-1 0,1 0 0,-1 0 0,1 0 0,0 0 0,0-1 0,0 0 0,0 0 0,0 0 0,0-1 0,1 0 0,-1 0 0,1 0 0,-1 0 0,0-1 0,10 0 0,-3-1 0,0 0 0,0-1 0,-1 0 0,1-1 0,-1 0 0,1-1 0,-1 0 0,0-1 0,0 0 0,10-7 0,-3 0 0,-1-1 0,0-1 0,-1 0 0,0-2 0,-2 1 0,0-2 0,0 0 0,-2 0 0,0-1 0,-1-1 0,-1 0 0,14-36 0,2-22 0,7-17 0,-28 81 0,2 0 0,-1 0 0,2 0 0,13-18 0,-20 30 0,-1 0 0,1 0 0,0-1 0,0 1 0,1 0 0,-1 0 0,0 0 0,0 0 0,1 0 0,-1 0 0,0 0 0,1 1 0,-1-1 0,1 0 0,-1 1 0,1-1 0,-1 1 0,1-1 0,-1 1 0,1 0 0,0 0 0,-1 0 0,1 0 0,-1 0 0,1 0 0,-1 0 0,1 0 0,0 1 0,-1-1 0,1 1 0,-1-1 0,1 1 0,-1-1 0,1 1 0,-1 0 0,0 0 0,1 0 0,-1 0 0,0 0 0,0 0 0,0 0 0,2 2 0,6 7 0,-1 0 0,0 0 0,-1 0 0,8 18 0,-13-25 0,20 37 0,-3 0 0,-1 2 0,15 55 0,-24-67 0,-2 1 0,-1-1 0,-2 1 0,-1 0 0,-1 49 0,-6-55 0,4-25 0,0 0 0,0 0 0,0 1 0,-1-1 0,1 0 0,0 0 0,0 0 0,0 0 0,0 0 0,0 0 0,-1 0 0,1 0 0,0 0 0,0 0 0,0 0 0,0 0 0,-1 0 0,1 0 0,0 0 0,0 0 0,0 0 0,0 0 0,-1 0 0,1 0 0,0 0 0,0 0 0,0-1 0,0 1 0,0 0 0,0 0 0,-1 0 0,1 0 0,0 0 0,0 0 0,0 0 0,0 0 0,0-1 0,0 1 0,0 0 0,0 0 0,-1 0 0,1 0 0,0 0 0,0-1 0,0 1 0,0 0 0,0 0 0,0 0 0,0 0 0,0-1 0,0 1 0,0 0 0,0 0 0,0 0 0,0 0 0,0-1 0,0 1 0,0 0 0,-2-8 0,0 0 0,1 0 0,-2-14 0,2-5 0,0 0 0,2 0 0,1 0 0,2 0 0,11-47 0,-12 62 0,1 0 0,1 1 0,-1-1 0,2 1 0,-1 1 0,2-1 0,-1 1 0,1 0 0,1 0 0,0 1 0,0 0 0,1 1 0,0 0 0,1 0 0,12-8 0,-17 13 0,0 0 0,0 1 0,0-1 0,0 1 0,1 0 0,-1 1 0,1-1 0,-1 1 0,1 0 0,-1 0 0,1 1 0,7 0 0,-9 0 0,-1 1 0,1 0 0,-1 0 0,1 0 0,-1 0 0,0 0 0,1 1 0,-1-1 0,0 1 0,0 0 0,0 0 0,0 0 0,-1 0 0,1 1 0,0-1 0,-1 1 0,0-1 0,1 1 0,-1 0 0,2 4 0,1 3 0,-1 0 0,0 1 0,0-1 0,-1 1 0,-1 0 0,0 0 0,2 21 0,-3-20 0,-1 1 0,0 0 0,-1 0 0,0 0 0,-4 16 0,10-42 0,0 0 0,0 1 0,1-1 0,1 1 0,0 0 0,1 0 0,13-15 0,-15 20 0,1-1 0,0 1 0,0 1 0,1-1 0,0 1 0,0 1 0,1-1 0,-1 1 0,1 1 0,0 0 0,15-5 0,-21 8 0,1 0 0,0 0 0,-1 1 0,1-1 0,0 1 0,-1 0 0,1 0 0,0 0 0,0 0 0,-1 1 0,1 0 0,0-1 0,-1 1 0,1 1 0,-1-1 0,1 0 0,-1 1 0,6 3 0,-4-1 0,-1 0 0,1 1 0,-1-1 0,0 1 0,0 0 0,0-1 0,-1 2 0,0-1 0,0 0 0,3 9 0,2 8 0,-1 1 0,-1 0 0,-1 0 0,3 42 0,2 88 342,-10-129-684,-1 0 1,-1 0 0,-1 0-1,-8 29 1,-5-7-6485</inkml:trace>
  <inkml:trace contextRef="#ctx0" brushRef="#br0" timeOffset="296.12">1100 2329 24575,'0'-10'0,"0"-10"0,6-18 0,12 15 0,3 26 0,-1 36 0,-5 38 0,-5 28 0,-3 23 0,-10 17 0,-3 1 0,-1-14 0,0-35 0,2-34-8191</inkml:trace>
  <inkml:trace contextRef="#ctx0" brushRef="#br0" timeOffset="607.41">1164 2040 24575,'-2'0'0,"0"1"0,-1-1 0,1 0 0,0 1 0,0 0 0,0-1 0,-1 1 0,1 0 0,0 0 0,0 0 0,0 0 0,1 0 0,-1 1 0,0-1 0,0 0 0,1 1 0,-1 0 0,1-1 0,-1 1 0,1 0 0,-1 0 0,1 0 0,0 0 0,0 0 0,0 0 0,0 0 0,1 0 0,-1 0 0,0 0 0,1 0 0,0 1 0,-1-1 0,1 0 0,0 3 0,0 0 0,-1 0 0,1 0 0,0-1 0,1 1 0,-1 0 0,1 0 0,0 0 0,0 0 0,0 0 0,1-1 0,0 1 0,0-1 0,0 1 0,5 6 0,-5-8 0,0 0 0,1-1 0,-1 0 0,1 1 0,-1-1 0,1 0 0,0 0 0,0 0 0,0-1 0,0 1 0,0-1 0,0 0 0,1 0 0,-1 0 0,0 0 0,1 0 0,3 0 0,-2-1 0,-1 0 0,1-1 0,0 1 0,-1-1 0,1 0 0,-1 0 0,1-1 0,-1 1 0,1-1 0,-1 0 0,6-4 0,-1 0 0,1-1 0,-1 0 0,-1 0 0,1-1 0,-1-1 0,-1 1 0,1-1 0,-1 0 0,10-19 0,-11 16 0,0-1 0,-1 0 0,-1 0 0,0 0 0,-1 0 0,0-1 0,-1 1 0,0-16 0,-1 24 0,-1 0 0,0-1 0,0 1 0,-1 0 0,1-1 0,-1 1 0,-1 0 0,1 0 0,-1 0 0,1 0 0,-2 0 0,1 0 0,0 0 0,-1 1 0,0-1 0,0 1 0,0 0 0,-1 0 0,1 0 0,-1 0 0,0 0 0,0 1 0,-7-5 0,7 6 0,-1 0 0,1 0 0,-1 1 0,0-1 0,0 1 0,0 0 0,1 0 0,-1 1 0,0-1 0,0 1 0,0 0 0,0 1 0,0-1 0,0 1 0,0 0 0,0 0 0,1 1 0,-1-1 0,0 1 0,1 0 0,-1 0 0,1 0 0,0 1 0,0 0 0,-7 6 0,0-1 0,2 1 0,-1 0 0,1 0 0,1 1 0,0 1 0,0-1 0,1 1 0,-11 24 0,13-25 0,1 0 0,1 1 0,-1-1 0,2 1 0,0 0 0,0 0 0,1 0 0,0 0 0,1 0 0,1 14 0,0-17 0,0-1 0,1 1 0,0-1 0,0 1 0,1-1 0,0 0 0,0 0 0,1 0 0,0-1 0,0 1 0,0-1 0,1 0 0,0 0 0,0 0 0,1-1 0,5 5 0,1-1-455,0-1 0,24 13 0,27 6-6371</inkml:trace>
  <inkml:trace contextRef="#ctx0" brushRef="#br0" timeOffset="1042.8">1517 2297 24575,'19'0'0,"1"0"0,0 2 0,-1 0 0,0 2 0,1 0 0,-1 1 0,-1 1 0,1 0 0,23 13 0,-32-13 0,0 0 0,-1 0 0,1 1 0,-2 0 0,1 1 0,-1 0 0,0 0 0,0 1 0,-1 0 0,-1 0 0,1 1 0,-2 0 0,1 0 0,-1 0 0,-1 1 0,0-1 0,4 15 0,-4-7 0,0 1 0,2 26 0,-6-36 0,1 0 0,-1 0 0,-1 0 0,0 0 0,0 0 0,-1 0 0,-3 10 0,-1-10 0,2-13 0,-2-18 0,4 7 0,1 0 0,1 0 0,0-1 0,1 1 0,1 0 0,0 0 0,1 0 0,6-17 0,-7 24 0,1 0 0,0 1 0,1-1 0,0 1 0,0 0 0,0 0 0,1 1 0,0-1 0,0 1 0,1 0 0,0 1 0,0-1 0,0 1 0,0 0 0,1 0 0,0 1 0,8-4 0,-11 6 0,0 0 0,0 1 0,0 0 0,0 0 0,0 0 0,0 0 0,0 0 0,0 1 0,0-1 0,0 1 0,0 1 0,0-1 0,1 0 0,-1 1 0,0 0 0,0 0 0,5 2 0,-5-1 0,0 0 0,0 1 0,0-1 0,0 1 0,-1 0 0,1 0 0,-1 0 0,0 1 0,1 0 0,-2-1 0,1 1 0,0 0 0,-1 0 0,1 0 0,1 5 0,3 10 0,0 1 0,-1-1 0,-1 1 0,-1 0 0,3 36 0,-3 105 0,-4-130 0,0 1 0,1-19 0,-1 0 0,0 0 0,-4 24 0,16-75-1365,7-17-5461</inkml:trace>
  <inkml:trace contextRef="#ctx0" brushRef="#br0" timeOffset="1263.99">2608 1527 24575,'0'11'0,"0"20"0,0 32 0,0 38 0,0 45 0,0 64 0,0 50-2473,0 25 2473,0-4 0,0-21 0,0-40 0,0-45 113,11-53-113,14-53 0,3-54 0,-3-30-5831</inkml:trace>
  <inkml:trace contextRef="#ctx0" brushRef="#br0" timeOffset="2165.92">3057 2297 24575,'-1'-10'0,"-4"27"0,-5 50 0,3 1 0,2 85 0,4-136 0,2 1 0,1 0 0,0-1 0,1 0 0,1 1 0,11 30 0,-13-42 0,1 0 0,0 0 0,0 0 0,0 0 0,1 0 0,0-1 0,0 0 0,0 0 0,1 0 0,-1 0 0,1 0 0,0-1 0,1 0 0,-1 0 0,1-1 0,0 1 0,0-1 0,0 0 0,0-1 0,0 0 0,8 2 0,-9-3 0,0 0 0,0-1 0,-1 1 0,1-1 0,0 0 0,0-1 0,0 1 0,-1-1 0,1 0 0,0 0 0,-1 0 0,1-1 0,0 0 0,-1 1 0,0-2 0,1 1 0,-1 0 0,0-1 0,0 0 0,-1 0 0,1 0 0,0-1 0,-1 1 0,0-1 0,3-4 0,2-2 0,-2-1 0,0 0 0,0 0 0,-1-1 0,0 1 0,-1-1 0,0 0 0,3-23 0,-1 1 0,-3 1 0,0-1 0,-3 0 0,0 0 0,-2 0 0,-12-61 0,9 76 0,0-1 0,0 2 0,-2-1 0,0 1 0,-2 0 0,0 0 0,0 1 0,-2 0 0,0 1 0,-1 0 0,0 1 0,-29-26 0,37 37 0,-1 0 0,1 0 0,-1 1 0,-1 0 0,1 0 0,0 0 0,-1 1 0,1-1 0,-1 2 0,1-1 0,-1 0 0,0 1 0,0 0 0,0 0 0,0 1 0,0 0 0,0 0 0,-8 1 0,7 1 0,-1 0 0,1 0 0,0 1 0,-1 0 0,1 0 0,1 1 0,-1 0 0,0 0 0,1 0 0,0 1 0,0 0 0,1 0 0,-8 9 0,0 2 0,1 0 0,1 1 0,0 1 0,2 0 0,0 0 0,1 1 0,0 0 0,2 0 0,0 1 0,2-1 0,-5 37 0,9-47 0,-1 0 0,1 0 0,1 1 0,0-1 0,0 0 0,1 0 0,0 0 0,0-1 0,1 1 0,0 0 0,1-1 0,0 0 0,0 0 0,1 0 0,0 0 0,0-1 0,1 0 0,0 0 0,0 0 0,0-1 0,1 0 0,0 0 0,12 8 0,-7-7 0,1 0 0,-1-1 0,1-1 0,0 0 0,1 0 0,-1-1 0,1-1 0,0 0 0,-1-1 0,1-1 0,0 0 0,0-1 0,1 0 0,23-4 0,-21 0 0,0 0 0,0 0 0,0-2 0,-1 0 0,1-1 0,-2-1 0,1 0 0,-1-1 0,0-1 0,-1 0 0,0-1 0,-1 0 0,16-18 0,-16 14 0,0-1 0,-1 0 0,-1-1 0,-1 0 0,0-1 0,-1 0 0,-1-1 0,-1 0 0,-1 0 0,0 0 0,4-26 0,-9 35 0,6-39 0,-7 46 0,1-1 0,-1 1 0,0-1 0,-1 1 0,1-1 0,-1 1 0,1-1 0,-1 1 0,-2-7 0,-1 10 0,0 8 0,-2 19 0,1 0 0,1 1 0,1-1 0,2 29 0,0-45 0,1 0 0,1 0 0,0-1 0,0 1 0,5 14 0,-6-23 0,1 1 0,0-1 0,-1 1 0,1-1 0,1 0 0,-1 1 0,0-1 0,0 0 0,1 0 0,-1 0 0,1 0 0,0 0 0,0 0 0,-1-1 0,1 1 0,0 0 0,0-1 0,1 0 0,-1 1 0,0-1 0,0 0 0,1 0 0,-1 0 0,1 0 0,-1-1 0,1 1 0,3 0 0,-1-1 0,1-1 0,-1 1 0,0-1 0,1 0 0,-1 0 0,0-1 0,0 0 0,0 1 0,0-2 0,0 1 0,-1-1 0,1 1 0,-1-1 0,1 0 0,-1-1 0,0 1 0,0-1 0,-1 0 0,5-5 0,1-2 0,0-1 0,-1 0 0,-1 0 0,0-1 0,10-25 0,18-72 0,-35 109 0,5-14 0,0 28 0,-3-6 0,0 0 0,0 0 0,1 0 0,0 0 0,1 0 0,-1-1 0,1 1 0,1-1 0,-1 0 0,1 0 0,9 8 0,-6-6 0,1-2 0,0 1 0,1-1 0,-1 0 0,1-1 0,0 0 0,17 5 0,-15-6 0,0 0 0,1-1 0,0-1 0,0 0 0,0 0 0,0-1 0,0-1 0,0 0 0,0-1 0,0-1 0,18-4 0,-21 4 0,-1-1 0,0-1 0,0 0 0,0 0 0,0-1 0,-1 0 0,0 0 0,0-1 0,0 0 0,-1 0 0,1-1 0,-1 0 0,-1 0 0,0-1 0,11-16 0,-9 10 0,-1-1 0,0 0 0,-1 0 0,-1-1 0,0 0 0,4-29 0,3-102 0,-11 137 0,-2-390 0,-1 358 0,2 42 0,0 0 0,0 0 0,0 0 0,0 0 0,-1 0 0,1 0 0,0 0 0,0 0 0,0 0 0,0 0 0,0 0 0,0 0 0,0 0 0,0 0 0,0 0 0,0 0 0,0 0 0,0 0 0,0 0 0,0 0 0,0 0 0,0 0 0,0-1 0,-1 1 0,1 0 0,-1 23 0,-4 354 0,5-271 0,0-65 0,3 86 0,-2-115 0,1 1 0,0-1 0,1 0 0,0 1 0,1-1 0,1 0 0,9 17 0,-13-27 0,0 0 0,0 0 0,0 0 0,1 1 0,-1-1 0,1-1 0,0 1 0,0 0 0,-1 0 0,1-1 0,0 1 0,0-1 0,1 1 0,-1-1 0,0 0 0,0 0 0,1 0 0,-1 0 0,0 0 0,1 0 0,-1-1 0,5 1 0,-5-1 0,1-1 0,0 1 0,-1-1 0,1 0 0,-1 1 0,1-1 0,-1 0 0,0-1 0,1 1 0,-1 0 0,0-1 0,0 1 0,0-1 0,0 1 0,0-1 0,0 0 0,0 0 0,-1 0 0,1 0 0,2-5 0,4-9-195,0-1 0,-2 0 0,0 0 0,-1 0 0,0-1 0,3-29 0,5-43-6631</inkml:trace>
  <inkml:trace contextRef="#ctx0" brushRef="#br0" timeOffset="2304.97">4212 1720 24575,'-11'0'-9830,"-15"0"6297,8 0 8489,24-11-4956,22-3 2326,16-16-2326,12-3 1326,8-12-1326,9 2 4755,13-9-4755,-6 5-8191</inkml:trace>
  <inkml:trace contextRef="#ctx0" brushRef="#br0" timeOffset="2745.22">5623 982 24575,'0'-1'0,"1"0"0,-1 0 0,0 0 0,1 0 0,-1 0 0,1 0 0,-1 0 0,1 1 0,-1-1 0,1 0 0,0 0 0,-1 1 0,1-1 0,0 0 0,0 1 0,-1-1 0,1 0 0,0 1 0,0-1 0,0 1 0,0 0 0,0-1 0,0 1 0,0 0 0,0-1 0,0 1 0,0 0 0,1 0 0,9-4 0,79-30 0,262-115 0,-346 146 0,1 0 0,-1-1 0,0 0 0,0 0 0,-1-1 0,1 1 0,-1-1 0,0 0 0,8-10 0,-12 12 0,0 1 0,0-1 0,1 0 0,-2 1 0,1-1 0,0 0 0,0 0 0,-1 1 0,0-1 0,1 0 0,-1 0 0,0 0 0,0 0 0,-1 0 0,1 0 0,-1 1 0,1-1 0,-1 0 0,0 0 0,0 1 0,0-1 0,0 0 0,-1 1 0,1-1 0,-1 1 0,1 0 0,-4-4 0,-6-7 0,-2 0 0,1 0 0,-2 1 0,0 1 0,0 0 0,-1 1 0,0 1 0,-32-15 0,-1 3 0,-79-23 0,137 48 0,-1 0 0,0 0 0,-1 1 0,1 0 0,-1 1 0,0 0 0,0 0 0,-1 0 0,12 14 0,-1 1 0,-1 0 0,22 36 0,-27-36 0,-1 0 0,0 0 0,-2 1 0,0 1 0,-2-1 0,0 1 0,-1 1 0,-2-1 0,0 1 0,-2 0 0,0-1 0,-3 35 0,0-52 0,1 0 0,-1-1 0,-1 1 0,1 0 0,-1-1 0,0 1 0,0-1 0,0 0 0,-7 10 0,6-11 0,0 0 0,0-1 0,-1 0 0,1 0 0,-1 0 0,0 0 0,0 0 0,0-1 0,0 0 0,0 0 0,-1 0 0,1 0 0,-5 1 0,-60 11-1365,-2-5-5461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3:25.211"/>
    </inkml:context>
    <inkml:brush xml:id="br0">
      <inkml:brushProperty name="width" value="0.05" units="cm"/>
      <inkml:brushProperty name="height" value="0.05" units="cm"/>
      <inkml:brushProperty name="color" value="#004F8B"/>
    </inkml:brush>
  </inkml:definitions>
  <inkml:trace contextRef="#ctx0" brushRef="#br0">88 3624 24575,'-7'-23'0,"6"17"0,-1-1 0,0 1 0,0 0 0,0 0 0,-1 0 0,1 0 0,-1 0 0,-1 0 0,1 1 0,-1-1 0,0 1 0,-7-7 0,10 12 0,1-1 0,0 1 0,-1 0 0,1-1 0,-1 1 0,1-1 0,-1 1 0,0 0 0,1 0 0,-1-1 0,1 1 0,-1 0 0,0 0 0,1 0 0,-1-1 0,1 1 0,-1 0 0,0 0 0,1 0 0,-1 0 0,0 0 0,1 0 0,-1 0 0,0 1 0,1-1 0,-1 0 0,1 0 0,-1 0 0,0 1 0,1-1 0,-2 1 0,1 0 0,0 1 0,0-1 0,0 0 0,0 1 0,0-1 0,0 1 0,1-1 0,-1 1 0,0-1 0,1 1 0,-1 3 0,-3 16 0,2-1 0,1 1 0,1 0 0,0-1 0,2 1 0,6 35 0,-5-40 0,1 0 0,1 0 0,0-1 0,1 1 0,13 23 0,-15-32 0,1 0 0,-1 0 0,1-1 0,0 1 0,1-1 0,0 0 0,0-1 0,0 1 0,0-1 0,1 0 0,0-1 0,0 0 0,10 5 0,-9-6 0,-1 0 0,1-1 0,0 0 0,1 0 0,-1-1 0,0 0 0,0 0 0,1-1 0,-1 0 0,1-1 0,-1 0 0,0 0 0,0 0 0,0-1 0,0-1 0,0 1 0,0-1 0,0 0 0,-1-1 0,1 0 0,-1 0 0,0-1 0,0 0 0,-1 0 0,0 0 0,1-1 0,-2 0 0,1 0 0,-1-1 0,0 1 0,0-1 0,-1 0 0,0-1 0,0 1 0,-1-1 0,4-10 0,-2 1 0,0 0 0,-2-1 0,0 1 0,-1 0 0,0-1 0,-2 0 0,0 1 0,-4-26 0,-2 20 0,6 23 0,0-1 0,0 1 0,0 0 0,0 0 0,0-1 0,-1 1 0,1 0 0,0 0 0,0-1 0,0 1 0,0 0 0,0 0 0,0-1 0,-1 1 0,1 0 0,0 0 0,0 0 0,0-1 0,-1 1 0,1 0 0,0 0 0,0 0 0,0 0 0,-1 0 0,1-1 0,0 1 0,0 0 0,-1 0 0,1 0 0,0 0 0,0 0 0,-1 0 0,1 0 0,0 0 0,-1 0 0,1 0 0,0 0 0,0 0 0,-1 0 0,1 0 0,0 0 0,0 0 0,-1 0 0,1 1 0,0-1 0,0 0 0,-1 0 0,1 0 0,0 0 0,0 0 0,-1 1 0,1-1 0,0 0 0,0 0 0,0 0 0,0 1 0,-1-1 0,1 0 0,0 0 0,0 0 0,0 1 0,0-1 0,0 1 0,-1 0 0,0 1 0,0 0 0,0-1 0,1 1 0,-1 0 0,0 0 0,1 0 0,0 0 0,-1 0 0,1 0 0,0-1 0,0 1 0,0 0 0,0 0 0,1 0 0,-1 0 0,1 2 0,1 1 0,-1 0 0,1 0 0,1 0 0,-1 0 0,1 0 0,3 5 0,2 1 0,1-1 0,0 0 0,1 0 0,15 13 0,-15-16 0,0 1 0,1-2 0,0 1 0,0-1 0,0-1 0,0 0 0,1 0 0,0-2 0,0 1 0,0-1 0,0-1 0,1 0 0,-1-1 0,1 0 0,-1-1 0,1 0 0,-1-1 0,0-1 0,1 0 0,-1 0 0,20-8 0,-19 5 0,-1-1 0,1-1 0,-1 0 0,0 0 0,-1-2 0,0 1 0,0-1 0,0-1 0,16-20 0,-16 15 0,0-1 0,0-1 0,-2 1 0,0-2 0,-1 1 0,8-29 0,-6 10 0,-2 0 0,-2-1 0,-1 0 0,-2 1 0,-2-1 0,-6-74 0,-3 59 0,3 45 0,1 16 0,1 17 0,0 0 0,2 0 0,1 1 0,4 31 0,-2-16 0,86 772-1413,-76-725 1373,80 469 40,-106-617 0,-14-62 0,-23-334-901,34-5-85,16 431 981,-3-240 5,9 53 0,-4 184 72,2 1 1,13-54 0,-15 79-2,1 0 0,0 0-1,0 1 1,1-1 0,-1 1 0,1 0 0,0-1 0,1 1 0,6-8 0,-8 12-59,-1-1 0,1 1 1,0 0-1,-1 0 0,1 0 1,0 0-1,0 0 0,-1 1 0,1-1 1,0 1-1,0-1 0,0 1 1,0-1-1,0 1 0,0 0 1,0 0-1,0 0 0,0 0 1,0 0-1,-1 0 0,1 1 1,0-1-1,0 1 0,0-1 0,0 1 1,0 0-1,-1 0 0,1-1 1,0 1-1,2 2 0,4 3-12,-1 0 0,1 0 0,-1 0 0,-1 1 0,1 0 0,-1 0 0,10 15 0,-3 0 0,21 46 0,-16-26-21,-2 2 0,-2 0 0,12 63-1,-22-82 76,0 0-1,-2 1 0,-1-1 0,-1 1 0,-1-1 0,-1 1 0,-9 42 0,8-56 101,0-1 0,-1 1 1,0-1-1,-1 0 0,0 0 1,-1-1-1,0 0 0,-1 0 1,0 0-1,-16 17 0,21-25-125,0-1-1,0 1 1,-1 0-1,1-1 0,0 0 1,-1 1-1,1-1 1,-1 0-1,1 0 1,-1 0-1,-2 0 1,4-1-101,-1 0 1,1 0 0,0 0 0,0 0 0,-1 0 0,1 0 0,0-1 0,0 1 0,0 0-1,-1-1 1,1 1 0,0-1 0,0 1 0,0-1 0,0 1 0,0-1 0,0 0 0,0 0 0,0 1-1,0-1 1,0 0 0,0 0 0,0-2 0,-13-23-6755</inkml:trace>
  <inkml:trace contextRef="#ctx0" brushRef="#br0" timeOffset="514.74">1917 3495 24575,'0'3'0,"0"0"0,0-1 0,0 1 0,0 0 0,-1-1 0,1 1 0,-1-1 0,1 1 0,-1 0 0,0-1 0,0 1 0,0-1 0,-1 0 0,1 1 0,-1-1 0,1 0 0,-1 0 0,0 0 0,1 0 0,-1 0 0,0 0 0,0-1 0,0 1 0,-1-1 0,1 1 0,0-1 0,-1 0 0,1 0 0,-1 0 0,1 0 0,-1 0 0,1 0 0,-1-1 0,-3 1 0,-1 0 0,1-1 0,-1 0 0,0 0 0,1-1 0,-1 0 0,1 0 0,-1-1 0,1 1 0,-1-1 0,1-1 0,0 1 0,-11-7 0,6 1 0,0 0 0,1 0 0,1-1 0,-1-1 0,1 0 0,1 0 0,0 0 0,0-1 0,1 0 0,0-1 0,1 0 0,-5-14 0,-6-20 0,-22-91 0,33 110 0,-11-48 0,-8-98 0,34 303 0,9 98 0,-11-169 0,29 107 0,-27-140 0,0 0 0,1-1 0,2-1 0,0 0 0,31 44 0,-34-55 0,1-1 0,1 0 0,-1-1 0,2 0 0,-1 0 0,2-2 0,-1 1 0,1-2 0,1 1 0,0-2 0,23 10 0,-32-15 0,-1-1 0,0 1 0,1-1 0,-1 0 0,1 0 0,-1 0 0,1-1 0,-1 0 0,1 0 0,-1 0 0,1 0 0,-1-1 0,1 1 0,-1-1 0,1 0 0,-1-1 0,1 1 0,-1-1 0,0 0 0,0 0 0,0 0 0,0 0 0,0-1 0,-1 0 0,1 0 0,-1 0 0,1 0 0,-1 0 0,0-1 0,0 1 0,-1-1 0,1 0 0,-1 0 0,0 0 0,3-7 0,2-4 0,-2-1 0,0 1 0,-1-1 0,0 1 0,2-25 0,-1-81 0,-5 93 0,-4-231 0,2 246 0,1 18 0,-1 22 0,1 336 0,2-344 0,1 0 0,0 0 0,2 0 0,9 29 0,-10-39 0,1-1 0,0 1 0,0-1 0,1 0 0,0 0 0,0-1 0,1 1 0,0-1 0,0 0 0,0-1 0,13 10 0,-6-8-151,0 0-1,0-1 0,1-1 0,0 0 1,0-1-1,1 0 0,-1-1 1,20 2-1,36 4-6674</inkml:trace>
  <inkml:trace contextRef="#ctx0" brushRef="#br0" timeOffset="945.38">3072 3272 24575,'0'-21'0,"-1"1"0,0-1 0,-1 1 0,-2 0 0,-7-27 0,9 41 0,0-1 0,-1 0 0,0 1 0,0 0 0,-1 0 0,0 0 0,0 0 0,0 0 0,-1 1 0,0 0 0,0 0 0,0 0 0,0 0 0,-1 1 0,0 0 0,0 0 0,0 1 0,-12-5 0,12 5 0,0 1 0,-1 0 0,1 0 0,-1 1 0,0 0 0,1 0 0,-1 0 0,0 1 0,0 0 0,0 0 0,1 1 0,-1 0 0,0 0 0,1 1 0,-12 3 0,9-1 0,1 0 0,-1 1 0,0 1 0,1-1 0,0 1 0,1 0 0,-1 1 0,1 0 0,-11 14 0,3-1 0,2 1 0,0 0 0,1 1 0,1 0 0,1 1 0,2 0 0,-12 44 0,16-51 0,1 1 0,1 0 0,1 0 0,0 1 0,1-1 0,1 0 0,0 0 0,1 0 0,6 21 0,-5-30 0,-1 1 0,1-1 0,1 1 0,0-1 0,0 0 0,0 0 0,1-1 0,1 1 0,-1-1 0,1 0 0,0-1 0,0 1 0,1-1 0,0 0 0,0-1 0,1 0 0,-1 0 0,1 0 0,11 4 0,-11-6 0,0 0 0,0 0 0,1-1 0,-1 0 0,0-1 0,1 1 0,0-1 0,-1-1 0,1 0 0,-1 0 0,1-1 0,0 0 0,-1 0 0,0-1 0,1 0 0,-1-1 0,11-4 0,-8 1 0,-1 0 0,0 0 0,0-1 0,-1 0 0,0-1 0,0 0 0,-1 0 0,0-1 0,-1 0 0,1 0 0,-2-1 0,8-13 0,-4 4 0,-1-1 0,-1 0 0,-1 0 0,-1-1 0,0 0 0,-2 0 0,3-28 0,-1-154 0,-6 179 0,0-7 0,-8-336 0,7 437 0,3 76 0,2-107 0,2-1 0,1 1 0,3-2 0,1 1 0,1-1 0,32 64 0,-36-88-76,0 0 1,1-1-1,1 0 0,-1 0 0,2-1 0,0-1 0,0 0 0,0 0 1,2-1-1,-1-1 0,1 0 0,0 0 0,1-2 0,-1 1 1,1-2-1,1 0 0,27 6 0,43 3-6750</inkml:trace>
  <inkml:trace contextRef="#ctx0" brushRef="#br0" timeOffset="1723.63">3712 2919 24575,'-1'-1'0,"1"0"0,-1 0 0,0 1 0,1-1 0,-1 0 0,0 0 0,0 1 0,0-1 0,1 1 0,-1-1 0,0 1 0,0-1 0,0 1 0,0-1 0,0 1 0,0 0 0,0-1 0,0 1 0,0 0 0,0 0 0,0 0 0,0 0 0,0 0 0,0 0 0,0 0 0,0 0 0,0 0 0,0 1 0,0-1 0,0 0 0,0 1 0,0-1 0,0 1 0,0-1 0,0 1 0,0 0 0,-4 1 0,0 1 0,0 0 0,1 0 0,-1 0 0,-7 8 0,4-1 0,0 0 0,1 0 0,0 0 0,1 1 0,0 0 0,1 1 0,0-1 0,1 1 0,-4 16 0,-1 11 0,-6 65 0,12-83 0,2 1 0,0 0 0,6 42 0,-4-57 0,0 1 0,0-1 0,1 1 0,1-1 0,-1 0 0,1 0 0,0 0 0,1 0 0,-1 0 0,1-1 0,1 0 0,-1 0 0,1 0 0,10 10 0,-8-11 0,-1 0 0,1-1 0,0 0 0,0 0 0,0 0 0,1-1 0,-1 0 0,1 0 0,0-1 0,0 0 0,0 0 0,0-1 0,0 0 0,0-1 0,13 0 0,-14-1 0,-1 0 0,1 0 0,-1 0 0,1-1 0,-1 0 0,0-1 0,0 1 0,0-1 0,0 0 0,0-1 0,-1 1 0,0-1 0,1 0 0,-1-1 0,-1 1 0,1-1 0,-1 0 0,1 0 0,4-8 0,-1-1 0,-1 0 0,0-1 0,-1 0 0,-1 0 0,0 0 0,-1 0 0,-1-1 0,0 0 0,-1 1 0,0-29 0,-2 29 0,-1 0 0,0 0 0,-1 0 0,-1 1 0,0-1 0,-1 1 0,-1 0 0,0 0 0,0 0 0,-2 0 0,-11-18 0,11 22 0,-1 0 0,0 1 0,-1 0 0,0 1 0,0 0 0,0 0 0,-1 1 0,0 0 0,-14-7 0,19 12 0,0-1 0,0 1 0,0 0 0,-1 0 0,1 0 0,-1 1 0,1 0 0,-1 0 0,0 1 0,1-1 0,-1 1 0,0 0 0,1 1 0,-1-1 0,0 1 0,1 0 0,-1 1 0,1-1 0,0 1 0,-1 0 0,-8 5 0,6-1 0,1 0 0,0 0 0,0 1 0,1 0 0,-1 0 0,2 0 0,-1 1 0,1 0 0,0 0 0,1 0 0,0 1 0,0 0 0,1-1 0,0 1 0,0 1 0,-2 16 0,3-16 0,1 0 0,0 0 0,0 0 0,1 0 0,0 1 0,1-1 0,0 0 0,1 0 0,0 0 0,1-1 0,-1 1 0,2 0 0,0-1 0,0 0 0,9 15 0,-6-16 0,-1-1 0,2 0 0,-1 0 0,1-1 0,0 0 0,0 0 0,1-1 0,-1 0 0,1-1 0,1 0 0,-1 0 0,0-1 0,1 0 0,0 0 0,-1-1 0,17 1 0,-15-2 0,0 0 0,0 0 0,0-2 0,1 1 0,-1-1 0,0-1 0,0 0 0,0 0 0,0-1 0,-1-1 0,1 0 0,-1 0 0,0-1 0,15-9 0,-16 6 0,-1 0 0,0 0 0,0-1 0,0 0 0,-1-1 0,0 1 0,-1-1 0,0-1 0,-1 1 0,0-1 0,-1 0 0,0 0 0,-1-1 0,4-15 0,-3 5 0,-1 0 0,-1-1 0,0 1 0,-2-1 0,-1 0 0,-4-31 0,-3 26 0,8 27 0,-1 1 0,1 0 0,0 0 0,0 0 0,0 0 0,0-1 0,0 1 0,0 0 0,0 0 0,-1 0 0,1 0 0,0-1 0,0 1 0,0 0 0,0 0 0,0 0 0,-1 0 0,1 0 0,0 0 0,0 0 0,0 0 0,-1 0 0,1-1 0,0 1 0,0 0 0,0 0 0,-1 0 0,1 0 0,0 0 0,0 0 0,0 0 0,-1 0 0,1 0 0,0 0 0,0 1 0,0-1 0,0 0 0,-1 0 0,1 0 0,0 0 0,0 0 0,0 0 0,-1 0 0,1 0 0,0 0 0,0 1 0,0-1 0,0 0 0,0 0 0,0 0 0,-1 0 0,1 1 0,0-1 0,0 0 0,0 0 0,0 0 0,0 0 0,0 1 0,0-1 0,-3 6 0,1-1 0,0 1 0,0 0 0,1 0 0,-1 0 0,1 0 0,1 0 0,-1 0 0,1 0 0,0 0 0,1 8 0,0-3 0,1-1 0,-1 0 0,2 0 0,0 0 0,0 0 0,5 11 0,-5-15 0,0-1 0,0 0 0,1 0 0,0-1 0,-1 1 0,2-1 0,-1 0 0,0 0 0,1 0 0,0 0 0,9 5 0,-5-5 0,-1 0 0,1 0 0,0-1 0,0 0 0,0-1 0,1 0 0,9 1 0,-5-2 0,0 0 0,0-1 0,1-1 0,-1 0 0,0-1 0,0 0 0,-1-1 0,1-1 0,-1 0 0,15-7 0,-18 6 0,0-1 0,-1 1 0,0-2 0,-1 1 0,1-1 0,-1-1 0,-1 0 0,1 0 0,-1 0 0,-1-1 0,1 0 0,-1 0 0,4-11 0,-4 8 0,-1 0 0,0 0 0,-1 0 0,-1-1 0,0 1 0,0-1 0,-2 0 0,1 0 0,-2 0 0,0-19 0,-1 25 0,0 0 0,0 1 0,-1-1 0,-2-7 0,4 12 0,-1 1 0,1-1 0,-1 1 0,0-1 0,1 1 0,-1 0 0,0-1 0,0 1 0,0 0 0,0-1 0,0 1 0,0 0 0,-1 0 0,1 0 0,0 0 0,-1 0 0,1 0 0,0 0 0,-1 1 0,-2-2 0,3 2 0,0 0 0,0 0 0,0 0 0,0 0 0,0 0 0,0 0 0,0 0 0,0 1 0,0-1 0,0 0 0,0 1 0,0-1 0,0 1 0,0-1 0,0 1 0,0-1 0,0 1 0,0 0 0,1-1 0,-1 1 0,0 0 0,0 0 0,1-1 0,-1 1 0,0 2 0,-13 27 0,10-19 0,1 0 0,1 0 0,-1 1 0,2-1 0,0 1 0,1 21 0,0-28 0,0 1 0,1-1 0,0 1 0,0-1 0,1 0 0,-1 1 0,1-1 0,0 0 0,1 0 0,-1 0 0,1-1 0,0 1 0,0-1 0,1 1 0,-1-1 0,1 0 0,5 4 0,-4-4 0,0 0 0,1 0 0,0 0 0,-1-1 0,1 0 0,0-1 0,0 1 0,1-1 0,-1 0 0,0-1 0,1 1 0,-1-1 0,1-1 0,-1 1 0,1-1 0,0 0 0,-1-1 0,1 1 0,-1-1 0,1-1 0,-1 1 0,0-1 0,1 0 0,-1 0 0,0-1 0,0 0 0,0 0 0,-1-1 0,1 1 0,-1-1 0,0 0 0,7-8 0,2-2 0,-1-1 0,0-1 0,-1 0 0,-1-1 0,-1 0 0,0-1 0,-1 0 0,-1-1 0,-1 1 0,8-33 0,-12 40 0,-1 0 0,0-1 0,-1 1 0,0 0 0,-1-1 0,0 1 0,0-1 0,-2 1 0,1 0 0,-1-1 0,-1 1 0,0 0 0,-1 0 0,0 1 0,0-1 0,-1 1 0,-1 0 0,0 0 0,0 0 0,-9-9 0,10 13-97,0 1-1,-1-1 1,1 1-1,-1 1 1,-1-1-1,1 1 1,-1 0-1,1 0 1,-1 1-1,0 0 1,0 0-1,-1 1 0,-13-3 1,-23 3-6729</inkml:trace>
  <inkml:trace contextRef="#ctx0" brushRef="#br0" timeOffset="2111.69">4932 2437 24575,'0'-7'0,"0"-1"0,0 1 0,1 0 0,2-11 0,-2 17 0,-1 0 0,0 0 0,0 0 0,1 0 0,-1 0 0,1 0 0,-1 0 0,1 0 0,-1 0 0,1 0 0,0 0 0,-1 0 0,1 0 0,0 1 0,0-1 0,0 0 0,0 0 0,-1 1 0,1-1 0,0 0 0,0 1 0,0-1 0,0 1 0,0 0 0,1-1 0,-1 1 0,0 0 0,0-1 0,0 1 0,0 0 0,0 0 0,0 0 0,0 0 0,1 0 0,-1 0 0,1 1 0,2 0 0,-1 0 0,1 1 0,-1-1 0,1 1 0,-1 0 0,0 0 0,0 0 0,0 0 0,0 1 0,0-1 0,2 4 0,29 34 0,-18-16 0,0 1 0,-2 1 0,-1 0 0,-1 1 0,-1 0 0,12 46 0,-8-10 0,13 123 0,-26-169 0,1 30 0,-3-44 0,0 0 0,0 0 0,0 0 0,-1 0 0,1 0 0,-1 0 0,0 0 0,0 0 0,0-1 0,0 1 0,-3 4 0,4-6 0,0-1 0,-1 0 0,1 1 0,0-1 0,-1 0 0,1 1 0,0-1 0,-1 0 0,1 0 0,0 1 0,-1-1 0,1 0 0,-1 0 0,1 0 0,0 0 0,-1 1 0,1-1 0,-1 0 0,1 0 0,0 0 0,-1 0 0,1 0 0,-1 0 0,1 0 0,-1 0 0,1 0 0,0 0 0,-1 0 0,1-1 0,-1 1 0,1 0 0,-1 0 0,1 0 0,0 0 0,-1-1 0,1 1 0,0 0 0,-1 0 0,1-1 0,0 1 0,-1 0 0,1-1 0,0 1 0,0 0 0,-1-1 0,1 1 0,0 0 0,0-1 0,-1 1 0,1-1 0,-12-24 0,8 10 0,0 0 0,2-1 0,-1 0 0,2 1 0,0-1 0,1 0 0,1 0 0,2-18 0,4-11 0,20-71 0,-18 87 0,0 0 0,2 0 0,25-48 0,-32 69 0,0 1 0,1-1 0,0 1 0,0 0 0,1 1 0,0 0 0,0-1 0,0 2 0,1-1 0,0 1 0,0 0 0,0 0 0,1 1 0,-1 0 0,1 1 0,0-1 0,0 1 0,9-1 0,-11 3 0,-1 0 0,0 1 0,1-1 0,-1 2 0,1-1 0,-1 0 0,0 1 0,1 0 0,-1 0 0,0 1 0,0-1 0,10 5 0,-8-2 0,0 1 0,0-1 0,-1 1 0,1 0 0,-1 1 0,0-1 0,9 13 0,-4-4 0,-1 2 0,0-1 0,-1 2 0,-1-1 0,-1 1 0,11 34 0,33 132-1365,-37-138-5461</inkml:trace>
  <inkml:trace contextRef="#ctx0" brushRef="#br0" timeOffset="3985.48">6663 1571 24575,'-2'0'0,"-1"0"0,1 0 0,-1-1 0,1 1 0,0-1 0,0 0 0,-1 0 0,1 0 0,0 0 0,0 0 0,0 0 0,-3-2 0,0 0 0,4 2 0,1 1 0,0 0 0,-1-1 0,1 1 0,0 0 0,-1 0 0,1-1 0,-1 1 0,1 0 0,-1 0 0,1 0 0,0-1 0,-1 1 0,1 0 0,-1 0 0,1 0 0,-1 0 0,1 0 0,-1 0 0,1 0 0,-1 0 0,1 0 0,-1 0 0,1 0 0,-1 1 0,1-1 0,-1 0 0,1 0 0,0 0 0,-1 0 0,1 1 0,-1-1 0,1 0 0,0 1 0,-1-1 0,1 0 0,-1 1 0,1-1 0,0 0 0,0 1 0,-1-1 0,1 1 0,0-1 0,0 0 0,-1 1 0,0 3 0,0-1 0,1 1 0,-1-1 0,1 1 0,0-1 0,0 1 0,1 4 0,5 50 0,21 78 0,-18-95 0,34 150-483,36 185-815,-59-258 1298,42 200 0,-43-260 0,-11-46 0,-8-12 0,1 0 0,-1 0 0,0 0 0,0 0 0,0 1 0,0-1 0,0 0 0,1 0 0,-1 0 0,0 0 0,0 0 0,0 0 0,0 0 0,1 0 0,-1 0 0,0 0 0,0 0 0,0 0 0,0 0 0,0 0 0,1 0 0,-1 0 0,0-1 0,0 1 0,0 0 0,0 0 0,1 0 0,-1 0 0,0 0 0,0 0 0,0 0 0,0 0 0,0 0 0,0-1 0,0 1 0,1 0 0,-1 0 0,0 0 0,0 0 0,0-1 0,4-21 0,-5 13 92,0 0 1,0 0-1,-1 0 0,0 1 1,-1-1-1,0 1 1,0-1-1,-7-12 1,-7-8 377,-20-27-1,32 48-459,-13-16-10,0 0 0,-1 1 0,-1 0 0,-1 2 0,-2 1 0,0 0 0,-36-23 0,50 38 0,0 0 0,0 0 0,-1 1 0,-10-3 0,17 6 0,0 0 0,0 1 0,0-1 0,-1 1 0,1 0 0,0-1 0,-1 1 0,1 1 0,0-1 0,-1 0 0,1 1 0,0 0 0,0 0 0,-6 2 0,7-2 0,1-1 0,-1 1 0,1 0 0,-1 0 0,1 0 0,0 0 0,0 0 0,-1 0 0,1 0 0,0 0 0,0 0 0,0 0 0,0 1 0,0-1 0,0 0 0,1 1 0,-1-1 0,0 1 0,1-1 0,-1 1 0,1-1 0,-1 1 0,1-1 0,0 1 0,0 0 0,0-1 0,-1 1 0,2-1 0,-1 1 0,0 0 0,0-1 0,0 1 0,1-1 0,-1 1 0,1-1 0,-1 1 0,1-1 0,1 3 0,1 2 0,0-1 0,1 0 0,-1 0 0,1 0 0,0-1 0,0 1 0,1-1 0,-1 0 0,8 5 0,0-3 0,0 1 0,0-2 0,0 0 0,1 0 0,0-1 0,0-1 0,0 0 0,0 0 0,0-2 0,1 1 0,-1-2 0,0 0 0,1 0 0,13-3 0,2-2 0,-1 0 0,0-2 0,0-1 0,-1-1 0,43-20 0,-43 16 0,-1-2 0,-1 0 0,-1-2 0,0-1 0,-1 0 0,29-32 0,-36 32 0,0 0 0,-2-1 0,-1-1 0,0 0 0,-1 0 0,-1-2 0,-2 1 0,13-37 0,-14 24 0,0 0 0,-3 0 0,0 0 0,-3-1 0,-1 1 0,-1-1 0,-5-37 0,-2 21 0,-3 0 0,-1 0 0,-35-94 0,39 129 0,1-1 0,-2 1 0,-15-24 0,21 38 0,1 0 0,0 0 0,-1 0 0,1 0 0,-1 0 0,0 0 0,0 0 0,0 1 0,0-1 0,0 1 0,0-1 0,0 1 0,0 0 0,-1 0 0,1 0 0,-1 0 0,1 0 0,0 0 0,-1 1 0,-3-1 0,4 1 0,0 1 0,-1 0 0,1 0 0,0-1 0,0 1 0,-1 1 0,1-1 0,0 0 0,0 0 0,0 1 0,1-1 0,-1 1 0,0 0 0,0 0 0,1-1 0,-1 1 0,1 0 0,0 0 0,-1 0 0,1 1 0,-1 2 0,-5 9 0,1 1 0,1 0 0,0 0 0,1 0 0,-4 25 0,-4 88 0,6 190 0,10-236 0,28 154 0,-29-220 0,1 0 0,0 0 0,1-1 0,1 1 0,1-1 0,0 0 0,10 14 0,-15-26 0,0 1 0,0-1 0,1 0 0,-1 0 0,1-1 0,0 1 0,0-1 0,0 1 0,0-1 0,0 0 0,1 0 0,-1 0 0,0 0 0,1-1 0,0 0 0,-1 1 0,1-1 0,0 0 0,0-1 0,-1 1 0,1-1 0,0 0 0,0 0 0,0 0 0,0 0 0,-1-1 0,1 1 0,0-1 0,0 0 0,-1 0 0,1 0 0,0-1 0,-1 1 0,6-4 0,-1 0 0,1 0 0,-1-1 0,0 0 0,-1-1 0,1 1 0,-1-1 0,0-1 0,-1 1 0,0-1 0,10-16 0,1-9 0,23-56 0,-23 50 0,-7 12 0,-8 19 0,1 1 0,0-1 0,1 0 0,-1 1 0,1 0 0,1 0 0,8-10 0,-13 16 0,1 0 0,0 1 0,-1-1 0,1 1 0,0-1 0,0 1 0,-1-1 0,1 1 0,0 0 0,0-1 0,0 1 0,0 0 0,0 0 0,-1-1 0,1 1 0,0 0 0,0 0 0,0 0 0,0 0 0,0 0 0,0 0 0,0 1 0,-1-1 0,1 0 0,0 0 0,0 1 0,1 0 0,22 16 0,-14-8 0,14 9 0,1-1 0,0-1 0,1-1 0,1-1 0,0-1 0,1-2 0,52 15 0,-71-24 0,0-1 0,0 0 0,0-1 0,0 1 0,0-2 0,0 1 0,0-1 0,0-1 0,-1 0 0,1 0 0,0 0 0,-1-1 0,1-1 0,-1 1 0,0-1 0,0-1 0,0 0 0,-1 0 0,0 0 0,0-1 0,0 0 0,0 0 0,8-11 0,-7 7 0,-1-1 0,0 1 0,0-1 0,-2-1 0,1 1 0,-1-1 0,-1 0 0,0 0 0,0 0 0,-1 0 0,-1-1 0,0 1 0,-1-1 0,-1 0 0,1 0 0,-3-13 0,0 7 0,-2 0 0,-8-32 0,10 45 0,-1-1 0,1 1 0,-1 0 0,0 0 0,0 0 0,-1 0 0,0 0 0,0 1 0,0 0 0,-10-9 0,13 13 0,0 0 0,-1 0 0,1 0 0,-1 0 0,1 0 0,-1 0 0,0 1 0,1-1 0,-1 1 0,0-1 0,1 1 0,-1-1 0,0 1 0,0 0 0,0 0 0,1 0 0,-1 0 0,0 0 0,-2 1 0,1 0 0,0 0 0,0 0 0,0 0 0,0 0 0,0 1 0,1 0 0,-1-1 0,0 1 0,1 0 0,-3 3 0,-4 4 0,2 1 0,-1-1 0,1 1 0,-9 17 0,7-10 0,1 1 0,0 0 0,1 0 0,1 0 0,1 1 0,0 0 0,2 0 0,-2 22 0,4-34 0,1 1 0,0-1 0,0 0 0,1 1 0,0-1 0,0 0 0,0 1 0,1-1 0,1 0 0,-1 0 0,1-1 0,0 1 0,0 0 0,1-1 0,0 0 0,0 0 0,1 0 0,0 0 0,-1-1 0,2 0 0,-1 0 0,1 0 0,0 0 0,10 5 0,0-2 43,0-1-1,1-1 1,-1 0-1,1-1 0,0-1 1,0-1-1,25 2 1,125-2-1424,-153-3 1057,105-5-6502</inkml:trace>
  <inkml:trace contextRef="#ctx0" brushRef="#br0" timeOffset="4608.2">8683 1797 24575,'0'-6'0,"-1"0"0,0 0 0,-1 1 0,1-1 0,-1 1 0,0-1 0,-3-6 0,-5-12 0,8 16 0,0 0 0,0 0 0,0 0 0,2-1 0,-1 1 0,1 0 0,0 0 0,2-16 0,-1 21 0,-1 0 0,1 0 0,0 0 0,1 0 0,-1 0 0,0 0 0,1 1 0,-1-1 0,1 0 0,0 1 0,0-1 0,0 1 0,0 0 0,1-1 0,-1 1 0,1 0 0,-1 1 0,1-1 0,0 0 0,-1 1 0,1-1 0,0 1 0,0 0 0,0 0 0,5-1 0,-1 1 0,0 0 0,0 0 0,0 1 0,0 0 0,0 0 0,0 1 0,0 0 0,1 0 0,-2 0 0,1 1 0,0 0 0,0 1 0,-1 0 0,11 5 0,-3 0 0,0 1 0,-1 0 0,0 1 0,0 0 0,17 20 0,-9-5 0,-2 0 0,0 2 0,-2 0 0,-1 1 0,-1 0 0,-2 1 0,-1 1 0,-1 0 0,-1 1 0,-2 0 0,6 43 0,-11-57 0,-1-1 0,-1 1 0,-1 30 0,-1-43 0,1 0 0,0-1 0,-1 1 0,0 0 0,0 0 0,0-1 0,0 1 0,0 0 0,-1-1 0,0 1 0,0-1 0,0 0 0,0 0 0,0 0 0,-1 0 0,1 0 0,-1 0 0,0 0 0,1-1 0,-2 0 0,-4 4 0,6-5 0,0 0 0,0 0 0,1-1 0,-1 1 0,0-1 0,0 1 0,0-1 0,0 0 0,0 0 0,0 0 0,0 0 0,0 0 0,0 0 0,0 0 0,0-1 0,0 1 0,0-1 0,0 1 0,0-1 0,0 0 0,0 0 0,1 0 0,-1 0 0,0 0 0,0 0 0,1 0 0,-1 0 0,1-1 0,-3-2 0,0-1 0,0-1 0,-1 0 0,2 0 0,-1 0 0,1 0 0,0 0 0,-3-11 0,-2-8 0,2-1 0,0 1 0,2-1 0,1 0 0,1 0 0,3-42 0,0 49 0,0 1 0,2 0 0,0 0 0,1 0 0,1 1 0,1-1 0,0 1 0,2 0 0,-1 1 0,12-17 0,-17 29 0,1 0 0,0 0 0,0 1 0,0-1 0,0 1 0,0 0 0,1 0 0,-1 0 0,1 1 0,0-1 0,-1 1 0,1 0 0,1 0 0,-1 0 0,0 0 0,7-1 0,-7 3 0,1 0 0,-1-1 0,1 2 0,-1-1 0,0 0 0,1 1 0,-1 0 0,0 0 0,1 0 0,-1 1 0,0-1 0,0 1 0,0 0 0,0 0 0,0 1 0,5 3 0,3 4 0,0 0 0,-1 1 0,0 1 0,-1-1 0,0 2 0,-1 0 0,0 0 0,-1 0 0,-1 1 0,0 0 0,-1 1 0,0 0 0,-1-1 0,-1 2 0,0-1 0,-1 0 0,1 20 0,-15-98 0,9 38 0,2 0 0,0 0 0,2-1 0,0 1 0,2 1 0,1-1 0,1 1 0,1-1 0,1 2 0,1-1 0,1 1 0,24-40 0,-29 55 0,1-1 0,1 2 0,-1-1 0,1 1 0,0 0 0,1 0 0,-1 1 0,14-8 0,-18 12 0,0 0 0,0 1 0,0-1 0,0 1 0,1 0 0,-1 0 0,0 0 0,1 0 0,-1 1 0,1-1 0,-1 1 0,1 0 0,-1 0 0,1 0 0,-1 1 0,1-1 0,-1 1 0,1 0 0,-1 0 0,1 0 0,-1 0 0,0 1 0,0-1 0,0 1 0,0 0 0,5 4 0,-1-1 0,-1 2 0,0-1 0,0 1 0,-1 0 0,1 0 0,-2 1 0,1-1 0,-1 1 0,0 0 0,-1 0 0,4 13 0,1 8 0,-1 0 0,3 33 0,4 111 0,-13-165 0,0 0 0,1-1 0,0 1 0,4 13 0,-5-20 0,-1 0 0,1 1 0,0-1 0,-1 0 0,1 1 0,0-1 0,0 0 0,-1 0 0,1 0 0,0 0 0,0 0 0,1 0 0,-1 0 0,0 0 0,0 0 0,0 0 0,0-1 0,1 1 0,-1 0 0,0-1 0,1 1 0,-1-1 0,1 0 0,-1 1 0,0-1 0,1 0 0,-1 0 0,1 0 0,-1 0 0,1 0 0,1 0 0,1-1-124,-1-1 0,0 1 0,1 0 0,-1-1 0,0 0 0,0 0-1,0 0 1,0 0 0,-1 0 0,6-6 0,28-35-6702</inkml:trace>
  <inkml:trace contextRef="#ctx0" brushRef="#br0" timeOffset="5724.28">9870 1348 24575,'-1'-11'-7438,"-2"4"3550,3 6 3828,0 0-1,-1 1 0,1-1 1,-1 1-1,1-1 0,-1 1 0,1-1 1,-1 1-1,0-1 0,1 1 1,-1-1-1,1 1 0,-1 0 1,0 0-1,1-1 0,-2 1 0,0 0 211,1 0-1,-1 0 0,1 0 1,-1 0-1,1 0 0,-1 0 1,1 1-1,-1-1 0,1 1 1,0-1-1,-1 1 0,1 0 1,0-1-1,0 1 0,-1 0 1,1 0-1,0 0 0,0 0 1,0 0-1,0 0 0,-1 2 1,-3 3 126,0 1 0,0 0 0,1 0 0,0 1 0,1-1 0,0 1 1,0 0-1,1 0 0,-4 16 0,4-9 73,0-1-1,1 1 1,0 0 0,3 26 0,-1-35-238,0 1 1,0-1-1,1 0 0,-1 0 1,1 0-1,1 0 1,-1 0-1,1 0 0,0-1 1,0 1-1,1-1 1,-1 0-1,1 0 0,1 0 1,-1-1-1,0 1 1,1-1-1,0 0 0,0 0 1,1-1-1,-1 1 1,0-1-1,1 0 0,0-1 1,0 1-1,0-1 1,0-1-1,0 1 0,0-1 1,1 0-1,-1 0 1,0-1-1,1 1 0,-1-2 1,0 1-1,1-1 1,-1 0-1,0 0 0,0 0 1,8-4-1,-4 1-111,0-1 0,0 0 0,-1 0 0,1-1 0,-1 0 0,-1-1 0,1 0 0,-1-1 0,0 0 0,9-12 0,-8 7 0,0 0 0,0 0 0,-2-1 0,0 0 0,0-1 0,-1 1 0,4-18 0,-6 17 0,-1-1 0,0 0 0,-1 0 0,-1 0 0,0 0 0,-4-32 0,2 37 0,-1-1 0,-1 1 0,0 0 0,0 1 0,-1-1 0,0 0 0,-1 1 0,0 0 0,-1 0 0,-8-10 0,9 14 0,0 0 0,-1 1 0,0-1 0,-1 1 0,1 0 0,-1 1 0,0-1 0,0 1 0,0 1 0,0 0 0,-1 0 0,0 0 0,1 1 0,-1 0 0,0 0 0,0 1 0,0 0 0,0 0 0,0 1 0,0 0 0,0 1 0,-1-1 0,1 2 0,1-1 0,-1 1 0,0 0 0,0 1 0,1 0 0,-1 0 0,1 0 0,0 1 0,0 0 0,0 1 0,1 0 0,-1 0 0,1 0 0,0 0 0,1 1 0,-1 0 0,-6 10 0,7-7 0,0 1 0,0-1 0,0 1 0,2 1 0,-1-1 0,1 0 0,1 1 0,-1 0 0,0 16 0,3-22 0,0 1 0,0-1 0,0 0 0,1 0 0,0 0 0,0 0 0,0 0 0,0 0 0,1 0 0,0-1 0,0 1 0,0 0 0,1-1 0,-1 0 0,1 1 0,0-1 0,0 0 0,1 0 0,-1-1 0,1 1 0,0-1 0,6 5 0,0-2 0,1 0 0,0 0 0,1-1 0,-1-1 0,1 0 0,0 0 0,0-1 0,0-1 0,0 0 0,1-1 0,-1 0 0,0-1 0,24-2 0,-22 0 0,0 0 0,0-1 0,0-1 0,-1 0 0,1-1 0,-1-1 0,0 0 0,-1 0 0,1-1 0,-2-1 0,1 0 0,11-10 0,-9 4 0,-1-1 0,0 0 0,-1-1 0,-1 0 0,0-1 0,-1 0 0,-1 0 0,-1-1 0,0-1 0,6-21 0,-4 5 0,-2-1 0,-1 0 0,-2 0 0,1-53 0,-5 79 0,-2 0 0,1 0 0,-1 0 0,-3-12 0,-3 6 0,6 16 0,1 0 0,0 0 0,0 0 0,0 0 0,-1 0 0,1-1 0,0 1 0,0 0 0,-1 0 0,1 0 0,0 0 0,0 0 0,-1 0 0,1 0 0,0 0 0,0 0 0,-1 0 0,1 0 0,0 0 0,0 0 0,-1 0 0,1 0 0,0 0 0,0 0 0,-1 0 0,1 0 0,0 0 0,0 1 0,0-1 0,-1 0 0,1 0 0,0 0 0,-2 2 0,0 0 0,1 0 0,-1 0 0,1 1 0,0-1 0,0 0 0,-1 0 0,0 5 0,-1 3 0,1 0 0,0 0 0,0 0 0,1 0 0,0 0 0,1 0 0,0 1 0,1-1 0,0 0 0,1 0 0,0 0 0,0 0 0,1 0 0,0-1 0,1 1 0,0-1 0,0 0 0,10 14 0,-8-13 0,0-2 0,1 1 0,-1-1 0,2 0 0,-1 0 0,1 0 0,0-1 0,1-1 0,0 1 0,0-2 0,0 1 0,1-1 0,-1 0 0,1-1 0,1 0 0,-1-1 0,18 4 0,-21-6 0,0-1 0,-1 1 0,1-1 0,-1 0 0,1-1 0,0 1 0,-1-1 0,1-1 0,-1 1 0,0-1 0,1 0 0,-1-1 0,0 0 0,7-4 0,-6 3 0,-1-1 0,1-1 0,-1 1 0,0-1 0,0 0 0,-1 0 0,0-1 0,0 0 0,-1 0 0,5-8 0,0-6 0,0-1 0,-1 0 0,-1-1 0,-2 1 0,0-2 0,3-45 0,-5 39 0,-2 0 0,-6-56 0,5 83 0,0-1 0,-1 1 0,0 0 0,0-1 0,0 1 0,-3-6 0,4 9 0,0-1 0,0 1 0,0 0 0,0 0 0,-1 0 0,1 0 0,0 0 0,0-1 0,0 1 0,0 0 0,0 0 0,0 0 0,-1 0 0,1 0 0,0 0 0,0 0 0,0 0 0,-1 0 0,1-1 0,0 1 0,0 0 0,0 0 0,0 0 0,-1 0 0,1 0 0,0 0 0,0 0 0,0 0 0,-1 0 0,1 0 0,0 1 0,0-1 0,0 0 0,0 0 0,-1 0 0,1 0 0,0 0 0,0 0 0,0 0 0,0 0 0,-1 0 0,1 0 0,0 1 0,0-1 0,0 0 0,0 0 0,0 0 0,0 0 0,0 1 0,-1-1 0,1 0 0,0 0 0,0 0 0,0 0 0,0 1 0,0-1 0,0 0 0,0 0 0,0 0 0,0 0 0,0 1 0,0-1 0,0 0 0,0 0 0,-1 4 0,1 0 0,0 0 0,-1-1 0,1 1 0,1 0 0,-1-1 0,0 1 0,1 0 0,0-1 0,0 1 0,0-1 0,0 1 0,1-1 0,-1 1 0,1-1 0,3 6 0,3 3 0,1 0 0,-1 0 0,12 11 0,-12-16 0,0 1 0,0-1 0,1-1 0,0 0 0,0 0 0,1-1 0,-1 0 0,1 0 0,0-1 0,1-1 0,-1 0 0,1 0 0,-1-1 0,1 0 0,0-1 0,-1 0 0,18-1 0,-9-1 0,-1 0 0,0-2 0,0 0 0,0-1 0,-1-1 0,1-1 0,-1 0 0,-1-2 0,28-15 0,-33 17 0,-1-1 0,0-1 0,0 0 0,-1 0 0,0-1 0,0 0 0,-1 0 0,-1-1 0,1 0 0,-2-1 0,1 0 0,-1 0 0,-1 0 0,0 0 0,-1-1 0,0 0 0,-1 0 0,0 0 0,0 0 0,-2-1 0,1 1 0,-2-1 0,-1-20 0,-2 3 0,-1 0 0,-2 0 0,-1 1 0,-1 0 0,-2 0 0,-15-33 0,16 37 0,9 25 0,0 0 0,0 0 0,0 0 0,0 1 0,0-1 0,0 0 0,0 0 0,1 0 0,-1 0 0,0 0 0,0 0 0,0 0 0,0 0 0,0 0 0,0 0 0,0 0 0,0 1 0,1-1 0,-1 0 0,0 0 0,0 0 0,0 0 0,0 0 0,0 0 0,0 0 0,0 0 0,1 0 0,-1 0 0,0 0 0,0 0 0,0 0 0,0 0 0,0 0 0,0 0 0,1 0 0,-1-1 0,0 1 0,0 0 0,0 0 0,0 0 0,0 0 0,0 0 0,0 0 0,0 0 0,1 0 0,-1 0 0,0 0 0,0 0 0,0-1 0,0 1 0,0 0 0,0 0 0,0 0 0,0 0 0,0 0 0,0 0 0,0 0 0,0-1 0,0 1 0,0 0 0,0 0 0,0 0 0,0 0 0,0 0 0,0 0 0,0-1 0,0 1 0,0 0 0,0 0 0,32 32 0,-25-24 0,47 51 0,120 136 0,-137-149 0,-2 1 0,39 70 0,-67-104 0,0 0 0,7 25 0,-13-36 0,0 0 0,0 1 0,-1-1 0,1 1 0,-1-1 0,1 1 0,-1-1 0,0 1 0,0-1 0,0 1 0,0-1 0,-1 1 0,1-1 0,-1 1 0,1-1 0,-1 0 0,0 1 0,0-1 0,0 0 0,0 1 0,-2 1 0,2-3 0,0 0 0,0 0 0,0-1 0,0 1 0,-1 0 0,1-1 0,0 1 0,0-1 0,-1 1 0,1-1 0,-1 0 0,1 1 0,0-1 0,-1 0 0,1 0 0,0 0 0,-1 0 0,1 0 0,-1-1 0,1 1 0,0 0 0,-1 0 0,1-1 0,0 1 0,0-1 0,-1 1 0,1-1 0,0 0 0,0 0 0,0 1 0,-1-1 0,1 0 0,0 0 0,-1-1 0,-4-3 0,0-1 0,1 1 0,-1-1 0,1 0 0,-5-7 0,4 3 0,1 1 0,0-1 0,0 0 0,1 0 0,0 0 0,1-1 0,0 1 0,-3-23 0,5 16 0,0-1 0,1 1 0,1-1 0,1 1 0,3-21 0,3 7 0,0 1 0,2-1 0,2 1 0,0 1 0,31-52 0,-10 28 0,-1 3 0,33-71 0,-58 105 0,-1 0 0,0 0 0,-1 0 0,-1 0 0,0-1 0,-2 0 0,0 1 0,0-1 0,-2-22 0,0 37 0,0 0 0,0 0 0,-1 0 0,1 0 0,-1 0 0,1 0 0,-1 0 0,0 0 0,0 0 0,1 0 0,-1 0 0,-2-2 0,2 3 0,1 0 0,-1 1 0,0-1 0,1 1 0,-1-1 0,0 1 0,0-1 0,1 1 0,-1-1 0,0 1 0,0 0 0,0 0 0,1-1 0,-1 1 0,0 0 0,0 0 0,0 0 0,0 0 0,0 0 0,0 0 0,-1 0 0,-1 1 0,0 0 0,0 0 0,0 0 0,0 1 0,0-1 0,0 1 0,1 0 0,-1 0 0,0 0 0,1 0 0,-1 0 0,1 0 0,0 1 0,-3 4 0,-6 10 0,0 1 0,2 0 0,0 1 0,1 0 0,1 0 0,1 1 0,0 0 0,2 0 0,-3 22 0,6-31 0,-1 0 0,2 0 0,0 1 0,0-1 0,1 0 0,0 1 0,1-1 0,4 16 0,-3-20 0,0 1 0,0 0 0,1-1 0,0 0 0,0 1 0,1-2 0,0 1 0,0 0 0,1-1 0,-1 0 0,1-1 0,10 8 0,-4-5 0,0 0 0,0-2 0,1 1 0,0-2 0,0 1 0,0-2 0,24 6 0,-5-4 0,1-2 0,36 1 0,-56-4-151,1-1-1,-1 0 0,1-1 0,-1-1 1,1 0-1,-1-1 0,0 0 1,21-8-1,8-14-6674</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05.444"/>
    </inkml:context>
    <inkml:brush xml:id="br0">
      <inkml:brushProperty name="width" value="0.05" units="cm"/>
      <inkml:brushProperty name="height" value="0.05" units="cm"/>
      <inkml:brushProperty name="color" value="#004F8B"/>
    </inkml:brush>
  </inkml:definitions>
  <inkml:trace contextRef="#ctx0" brushRef="#br0">359 2256 24575,'-1'31'0,"0"-23"0,0 1 0,1 0 0,0-1 0,1 1 0,3 16 0,-4-25 0,0 0 0,0 1 0,0-1 0,0 0 0,0 0 0,1 1 0,-1-1 0,0 0 0,0 0 0,0 1 0,0-1 0,1 0 0,-1 0 0,0 0 0,0 1 0,0-1 0,1 0 0,-1 0 0,0 0 0,0 0 0,0 1 0,1-1 0,-1 0 0,0 0 0,1 0 0,-1 0 0,0 0 0,0 0 0,1 0 0,-1 0 0,0 0 0,0 0 0,1 0 0,-1 0 0,0 0 0,1 0 0,-1 0 0,0 0 0,0 0 0,1 0 0,-1 0 0,0-1 0,0 1 0,1 0 0,-1 0 0,0 0 0,0 0 0,0-1 0,1 1 0,-1 0 0,0 0 0,0 0 0,0-1 0,0 1 0,1 0 0,-1-1 0,11-15 0,7-28 10,-2-1 1,-2 0-1,13-71 0,8-149-119,-27 190 6,70-699-1497,-46 1 256,-32 743 1344,-3-57 0,2 78 0,0 0 0,0 1 0,-1-1 0,0 1 0,-1-1 0,-5-11 0,7 19-1,1 0-1,-1 0 1,1 0 0,-1 0-1,1 0 1,-1 0 0,0 0 0,0 1-1,1-1 1,-1 0 0,0 0 0,0 1-1,0-1 1,-1 0 0,1 1 0,1-1 0,0 1 0,-1 0 1,1 0-1,-1 0 0,1 0 0,-1 0 0,1 0 0,-1 0 1,1 0-1,-1 0 0,1 1 0,-1-1 0,1 0 0,-1 0 0,1 0 1,0 0-1,-1 1 0,1-1 0,-1 0 0,1 0 0,-1 1 1,-2 2 26,1 0 1,-1 0-1,1 0 1,0 0-1,0 1 1,-2 4-1,4-8-21,-23 49 982,-20 67-1,-2 3 4,-182 324-990,210-412 0,-2-1 0,-1-1 0,-2-1 0,0-1 0,-2-1 0,-28 23 0,50-47 0,1-1 0,-1 1 0,0-1 0,1 0 0,-1 0 0,0 0 0,0 0 0,0 0 0,0 0 0,0 0 0,0-1 0,0 1 0,-2 0 0,3-1 0,1 0 0,0 0 0,-1 0 0,1-1 0,0 1 0,-1 0 0,1 0 0,0 0 0,-1 0 0,1-1 0,0 1 0,-1 0 0,1 0 0,0-1 0,0 1 0,-1 0 0,1 0 0,0-1 0,0 1 0,0 0 0,-1-1 0,1 1 0,0 0 0,0-1 0,0 1 0,0-1 0,-1-18 0,6-2 0,1-1 0,1 1 0,1 0 0,14-26 0,-7 13 0,157-338 0,-75 196 0,-77 146 0,0 1 0,2 1 0,38-38 0,-51 57 0,1 1 0,0 0 0,0 0 0,0 1 0,1 1 0,22-11 0,-28 15 0,0 0 0,0 1 0,0 0 0,0 0 0,0 0 0,0 0 0,0 1 0,0 0 0,0 0 0,0 0 0,0 1 0,0-1 0,0 1 0,0 0 0,0 1 0,0-1 0,0 1 0,-1 0 0,7 4 0,3 4 0,0 1 0,0 1 0,-1 0 0,-1 1 0,0 0 0,-1 1 0,14 23 0,5 3 0,-9-12-170,2-1-1,0-1 0,2-1 1,1-1-1,0-1 0,2-2 1,33 20-1,-6-12-6655</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06.426"/>
    </inkml:context>
    <inkml:brush xml:id="br0">
      <inkml:brushProperty name="width" value="0.05" units="cm"/>
      <inkml:brushProperty name="height" value="0.05" units="cm"/>
      <inkml:brushProperty name="color" value="#004F8B"/>
    </inkml:brush>
  </inkml:definitions>
  <inkml:trace contextRef="#ctx0" brushRef="#br0">263 1977 24575,'1'2'0,"-1"-1"0,0 1 0,0 0 0,1-1 0,-1 1 0,1-1 0,-1 1 0,1-1 0,0 1 0,0-1 0,-1 1 0,1-1 0,0 0 0,0 1 0,0-1 0,2 2 0,-2-3 0,-1 1 0,1-1 0,-1 1 0,1-1 0,0 0 0,-1 1 0,1-1 0,0 0 0,-1 1 0,1-1 0,0 0 0,-1 0 0,1 1 0,0-1 0,0 0 0,-1 0 0,1 0 0,0 0 0,0 0 0,-1 0 0,1 0 0,0 0 0,0-1 0,-1 1 0,1 0 0,0 0 0,0 0 0,-1-1 0,1 1 0,0-1 0,-1 1 0,1 0 0,-1-1 0,1 1 0,0-1 0,0 0 0,7-9 0,-1-1 0,0 0 0,-1 0 0,0 0 0,0 0 0,-2-1 0,1 0 0,2-14 0,1 4 0,55-221 83,-19-12-233,-26 142-145,29-224-1001,5-414 1,-53 724 1295,-1 28 0,-2 12 0,-15 84 859,9-44 116,-17 55-1,18-81-963,-1 0 1,-1 0-1,-2-1 0,-1-1 0,0 0 0,-2-1 0,-1-1 0,-1 0 1,-1-1-1,0-1 0,-2-1 0,-44 34 0,51-45-11,-82 65 0,79-60 0,2 1 0,0 1 0,-22 29 0,-15 35 0,46-70 0,1 1 0,0 0 0,0 1 0,1-1 0,-4 20 0,8-29 0,0 0 0,-1 1 0,1-1 0,0 0 0,0 0 0,0 0 0,0 0 0,1 0 0,-1 0 0,0 0 0,1 0 0,0 2 0,0-3 0,-1 0 0,1-1 0,-1 1 0,1 0 0,-1-1 0,1 1 0,-1 0 0,1-1 0,0 1 0,-1-1 0,1 1 0,0-1 0,0 1 0,-1-1 0,1 1 0,0-1 0,0 0 0,0 0 0,0 1 0,1-1 0,1 0 0,0 0 0,1 0 0,-1-1 0,0 1 0,1-1 0,-1 0 0,0 0 0,0 0 0,0 0 0,0-1 0,0 1 0,0-1 0,0 0 0,3-2 0,12-10 0,1-1 0,-2 0 0,0-1 0,17-22 0,55-85 0,52-124-270,-20-12-138,-69 143 342,-31 70 66,3 1 0,54-82 0,-75 122 0,1 0 0,0 0 0,1 0 0,-1 0 0,1 1 0,0 0 0,0 0 0,0 0 0,1 1 0,-1-1 0,7-2 0,-10 5 0,0 1 0,0 0 0,0-1 0,0 1 0,0 0 0,0 0 0,0 0 0,0 0 0,0 0 0,0 0 0,0 1 0,0-1 0,0 1 0,-1-1 0,4 2 0,-2 0 0,0-1 0,0 1 0,0 1 0,0-1 0,0 0 0,-1 1 0,1-1 0,-1 1 0,0 0 0,4 5 0,4 9 73,0 1-1,0 0 1,11 34 0,14 66 337,-24-79-367,14 42-384,3-2 0,3-1-1,48 84 1,-38-88-6485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07.403"/>
    </inkml:context>
    <inkml:brush xml:id="br0">
      <inkml:brushProperty name="width" value="0.05" units="cm"/>
      <inkml:brushProperty name="height" value="0.05" units="cm"/>
      <inkml:brushProperty name="color" value="#004F8B"/>
    </inkml:brush>
  </inkml:definitions>
  <inkml:trace contextRef="#ctx0" brushRef="#br0">282 1581 24575,'3'-53'0,"15"-92"0,0 20 0,28-243 0,-7 72 0,40-235 0,-72 481 0,-7 37 0,-4 13 0,-9 18 0,11-16 0,-84 161 0,34-59 0,-45 56 0,84-142 0,-1 0 0,0-1 0,-2-1 0,0 0 0,-36 26 0,48-39 0,0 0 0,0 0 0,-1-1 0,1 0 0,-1 0 0,1 0 0,-1 0 0,0-1 0,0 0 0,1 0 0,-1 0 0,-6 0 0,9-1 0,0 0 0,0-1 0,0 1 0,0-1 0,0 0 0,0 1 0,0-1 0,1 0 0,-1 0 0,0 0 0,0 0 0,1-1 0,-1 1 0,1 0 0,-1-1 0,1 1 0,-1-1 0,1 1 0,0-1 0,0 0 0,0 1 0,0-1 0,0 0 0,0 0 0,0 0 0,1 0 0,-1 0 0,1 0 0,-1 0 0,1-3 0,-2-7 0,0 1 0,1-1 0,1 0 0,0 0 0,0 0 0,1 1 0,5-22 0,29-82 0,-32 105 0,9-23 0,25-51 0,-31 72 0,1 1 0,0 0 0,0 1 0,1 0 0,0 0 0,1 0 0,18-14 0,-25 22 0,1 0 0,0 0 0,-1 1 0,1-1 0,0 1 0,0-1 0,0 1 0,0 0 0,0 0 0,0 1 0,0-1 0,1 1 0,-1-1 0,0 1 0,0 0 0,0 0 0,1 0 0,-1 1 0,0-1 0,0 1 0,0 0 0,0 0 0,0 0 0,0 0 0,0 0 0,0 1 0,0-1 0,3 3 0,6 6 0,0-1 0,-1 1 0,0 1 0,17 22 0,-9-11 0,4 4 0,0-2 0,2-1 0,1 0 0,0-2 0,2-1 0,0-2 0,1 0 0,34 14 0,90 28-1365,-88-39-5461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02.802"/>
    </inkml:context>
    <inkml:brush xml:id="br0">
      <inkml:brushProperty name="width" value="0.05" units="cm"/>
      <inkml:brushProperty name="height" value="0.05" units="cm"/>
      <inkml:brushProperty name="color" value="#004F8B"/>
    </inkml:brush>
  </inkml:definitions>
  <inkml:trace contextRef="#ctx0" brushRef="#br0">328 2281 24575,'0'-5'0,"0"-3"0,6-10 0,1-18 0,16-25 0,5-19 0,13-22 0,0-16 0,-7-16 0,-9 16-8191</inkml:trace>
  <inkml:trace contextRef="#ctx0" brushRef="#br0" timeOffset="1367.27">681 102 24575,'0'-11'0,"-1"-21"0,1 31 0,0 0 0,0 0 0,0 0 0,0 0 0,0 0 0,0 0 0,0 0 0,-1 1 0,1-1 0,0 0 0,-1 0 0,1 0 0,-1 1 0,1-1 0,-1 0 0,1 0 0,-1 1 0,1-1 0,-1 0 0,0 1 0,1-1 0,-1 1 0,0-1 0,-1 0 0,1 1 0,1 1 0,-1-1 0,0 0 0,0 1 0,0-1 0,0 0 0,0 1 0,1-1 0,-1 1 0,0 0 0,1-1 0,-1 1 0,0 0 0,1-1 0,-1 1 0,0 0 0,1 0 0,-1-1 0,1 1 0,0 0 0,-1 0 0,1 0 0,0 0 0,-1 1 0,-11 24 0,2 1 0,0 1 0,2-1 0,-5 34 0,3-16 0,-38 165-310,-98 539-2008,48 14 373,96-743 1945,-7 169 0,13-160-23,0-25 63,2-14 208,3-32-55,-1-11-4269</inkml:trace>
  <inkml:trace contextRef="#ctx0" brushRef="#br0" timeOffset="1848.98">650 262 24575,'0'-24'0,"-2"-41"0,1 60 0,0 0 0,0 0 0,0 0 0,-1 0 0,1 0 0,-1 1 0,-1-1 0,1 0 0,-1 1 0,-2-5 0,4 8 0,0 0 0,0 0 0,0-1 0,0 1 0,0 0 0,0 0 0,0 0 0,0 0 0,0 0 0,0 0 0,-1 0 0,1 1 0,0-1 0,-1 0 0,1 1 0,0-1 0,-1 1 0,1-1 0,-1 1 0,1 0 0,-1-1 0,1 1 0,-1 0 0,1 0 0,-1 0 0,1 0 0,-1 0 0,1 1 0,-1-1 0,1 0 0,-3 2 0,0 0 0,-1 1 0,1 0 0,0 0 0,0 1 0,0-1 0,0 1 0,1 0 0,-6 6 0,-136 195 0,94-129 0,-3-2 0,-82 88 0,127-151 0,-1-1 0,-1 0 0,0-1 0,-1 0 0,1 0 0,-2-1 0,1-1 0,-20 9 0,31-16 0,0 1 0,0-1 0,0 0 0,0 1 0,0-1 0,0 0 0,0 1 0,0-1 0,0 0 0,0 0 0,0 0 0,-1 0 0,1 0 0,0 0 0,0 0 0,0-1 0,0 1 0,0 0 0,0 0 0,0-1 0,0 1 0,0-1 0,0 1 0,0-1 0,0 1 0,-1-2 0,1 0 0,1 1 0,-1-1 0,0 0 0,1 1 0,0-1 0,-1 1 0,1-1 0,0 0 0,0 0 0,0 1 0,0-1 0,0 0 0,0 1 0,0-1 0,1 0 0,0-1 0,4-14 0,2 1 0,0-1 0,1 2 0,0-1 0,1 1 0,18-21 0,33-44 0,98-98 0,81-55 0,-226 221 0,-5 3 0,1 0 0,0 1 0,1 0 0,-1 0 0,2 1 0,-1 0 0,23-9 0,-31 15 0,0 1 0,0-1 0,-1 1 0,1 0 0,0 0 0,0-1 0,0 2 0,0-1 0,0 0 0,0 0 0,-1 0 0,1 1 0,0-1 0,0 1 0,0 0 0,-1-1 0,1 1 0,0 0 0,-1 0 0,1 0 0,-1 0 0,1 1 0,-1-1 0,1 0 0,-1 0 0,0 1 0,0-1 0,2 3 0,2 3 0,0 1 0,-1 1 0,0-1 0,5 13 0,-6-12 0,20 52 0,-10-23 0,2-1 0,24 42 0,-25-54-170,1-2-1,2 0 0,0-1 1,1 0-1,1-2 0,2 0 1,33 26-1,4-9-6655</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11.135"/>
    </inkml:context>
    <inkml:brush xml:id="br0">
      <inkml:brushProperty name="width" value="0.05" units="cm"/>
      <inkml:brushProperty name="height" value="0.05" units="cm"/>
      <inkml:brushProperty name="color" value="#004F8B"/>
    </inkml:brush>
  </inkml:definitions>
  <inkml:trace contextRef="#ctx0" brushRef="#br0">1 162 24575,'0'0'0,"0"1"0,0 0 0,0-1 0,0 1 0,1 0 0,-1-1 0,0 1 0,0-1 0,1 1 0,-1-1 0,0 1 0,1-1 0,-1 1 0,1-1 0,-1 1 0,1-1 0,-1 1 0,1-1 0,-1 0 0,1 1 0,-1-1 0,1 0 0,-1 0 0,2 1 0,19 6 0,-12-5 0,72 20 0,0-4 0,1-3 0,0-4 0,1-4 0,90-3 0,-137-5 0,43-5 0,-67 4 0,-1 0 0,0-1 0,0 0 0,0-1 0,0 0 0,0 0 0,19-13 0,-28 16 0,0-1 0,0 1 0,0-1 0,0 0 0,0 1 0,-1-1 0,1 0 0,-1 0 0,1 0 0,-1 0 0,0 0 0,0-1 0,0 1 0,0 0 0,0-1 0,0 1 0,-1 0 0,1-1 0,-1 1 0,1-1 0,-1 1 0,0-1 0,0 1 0,0-1 0,-1 1 0,1-1 0,0 1 0,-1-1 0,0 1 0,1 0 0,-1-1 0,-2-2 0,-3-7 0,0-1 0,-1 1 0,-1 0 0,-13-16 0,11 14 0,-12-20 0,20 22 0,9 10 0,14 12 0,-14-4 0,0 0 0,0 1 0,0 0 0,-1 0 0,0 1 0,-1 0 0,1 0 0,-2 0 0,1 0 0,-1 1 0,0 0 0,3 12 0,-1-3 0,-2 1 0,0 0 0,0 0 0,-2 0 0,0 25 0,-3-24-170,-1 1-1,-1-1 0,0 0 1,-2 0-1,0 0 0,-2-1 1,-10 23-1,-21 35-6655</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11.916"/>
    </inkml:context>
    <inkml:brush xml:id="br0">
      <inkml:brushProperty name="width" value="0.05" units="cm"/>
      <inkml:brushProperty name="height" value="0.05" units="cm"/>
      <inkml:brushProperty name="color" value="#004F8B"/>
    </inkml:brush>
  </inkml:definitions>
  <inkml:trace contextRef="#ctx0" brushRef="#br0">123 1 24575,'-16'8'0,"2"-2"0,0 1 0,0 1 0,-19 15 0,30-22 0,1 1 0,-1 0 0,1 0 0,0 1 0,0-1 0,0 0 0,0 1 0,0-1 0,0 1 0,1 0 0,0-1 0,-1 1 0,1 0 0,0 0 0,0 0 0,0 0 0,1 0 0,-1 0 0,1 0 0,0 0 0,0 0 0,0 1 0,0-1 0,0 3 0,1-3 0,0 0 0,1 0 0,-1-1 0,0 1 0,1 0 0,0-1 0,-1 1 0,1-1 0,0 1 0,0-1 0,0 0 0,1 0 0,-1 0 0,1 0 0,-1 0 0,1 0 0,-1-1 0,1 1 0,0-1 0,0 0 0,4 2 0,8 1 0,0 0 0,0 0 0,16 0 0,-29-3 0,94 7 0,149-5 0,-199-3 0,-21 0 0,-1 0 0,0-1 0,-1 0 0,36-8 0,-57 9 0,-1-1 0,1 1 0,0 0 0,-1-1 0,1 0 0,-1 1 0,1-1 0,0 0 0,-1 0 0,0 0 0,1 0 0,-1 0 0,1 0 0,-1 0 0,0 0 0,0-1 0,0 1 0,0 0 0,0-1 0,1-2 0,-1 2 0,-1 1 0,0-1 0,0 0 0,1 1 0,-1-1 0,-1 0 0,1 0 0,0 1 0,0-1 0,-1 0 0,1 1 0,-1-1 0,1 0 0,-1 1 0,0-1 0,-1-2 0,-5-7 0,-1 1 0,0 0 0,0 1 0,-15-13 0,14 13 0,4 4 0,0 0 0,-1 0 0,0 0 0,0 1 0,0 0 0,0 0 0,-11-4 0,36 33 0,-17-23 0,21 20 0,-1 2 0,-1 0 0,25 37 0,-32-38 0,0 1 0,-1 1 0,-2 0 0,0 1 0,8 31 0,-16-43 0,0 1 0,0 0 0,-1 0 0,-1 1 0,-1-1 0,0 0 0,-1 0 0,-1 0 0,0 0 0,-1 0 0,-4 15 0,-3-4-136,0 0-1,-2-1 1,-1 0-1,-1-1 1,-1-1-1,-1 0 1,-1-1-1,-1-1 0,-35 34 1,1-13-6690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12.602"/>
    </inkml:context>
    <inkml:brush xml:id="br0">
      <inkml:brushProperty name="width" value="0.05" units="cm"/>
      <inkml:brushProperty name="height" value="0.05" units="cm"/>
      <inkml:brushProperty name="color" value="#004F8B"/>
    </inkml:brush>
  </inkml:definitions>
  <inkml:trace contextRef="#ctx0" brushRef="#br0">21 257 24575,'-11'0'0,"2"0"0,13 0 0,23 0 0,28 0 0,32 0 0,23 0 0,21 0 0,3-6 0,-4-1 0,-29 0 0,-38 1 0,-46-9 0,-26-2-8191</inkml:trace>
  <inkml:trace contextRef="#ctx0" brushRef="#br0" timeOffset="282.05">759 0 24575,'-5'0'0,"19"5"0,25 13 0,15 25 0,0 16 0,-10 10 0,-13-3 0,-21 16 0,-25 9 0,-25 1 0,-18-4 0,-14-2 0,-12-14 0,8-20-8191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09.409"/>
    </inkml:context>
    <inkml:brush xml:id="br0">
      <inkml:brushProperty name="width" value="0.05" units="cm"/>
      <inkml:brushProperty name="height" value="0.05" units="cm"/>
      <inkml:brushProperty name="color" value="#004F8B"/>
    </inkml:brush>
  </inkml:definitions>
  <inkml:trace contextRef="#ctx0" brushRef="#br0">44 295 24575,'5'0'0,"19"0"0,32 0 0,18 0 0,12 0 0,8 0 0,-1 0 0,0-16 0,-5-6 0,-6 1 0,-7 4 0,-5 5 0,-14 5-8191</inkml:trace>
  <inkml:trace contextRef="#ctx0" brushRef="#br0" timeOffset="314.58">813 39 24575,'0'-11'0,"6"-4"0,1 7 0,16 4 0,5 19 0,13 7 0,0 17 0,15 1 0,-3 10 0,-9 13 0,-30-4 0,-27 10 0,-23-8 0,-15 3 0,-11-9 0,-11-4 0,-4-10 0,11-12-8191</inkml:trace>
  <inkml:trace contextRef="#ctx0" brushRef="#br0" timeOffset="762.87">108 1802 24575,'-11'0'0,"-4"11"0,-9 3 0,-2 11 0,5 12 0,10-1 0,35-6 0,30-8 0,21-8 0,15-12 0,14-6 0,5-3 0,-4 0 0,-10 2 0,-21-10 0,-11-2 0,-23 2 0,-18 3-8191</inkml:trace>
  <inkml:trace contextRef="#ctx0" brushRef="#br0" timeOffset="1046.33">653 1706 24575,'22'5'0,"24"14"0,14 24 0,-2 16 0,-18 10 0,-36 2 0,-30-9 0,-11-5 0,-10-13 0,3-12-8191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16.412"/>
    </inkml:context>
    <inkml:brush xml:id="br0">
      <inkml:brushProperty name="width" value="0.05" units="cm"/>
      <inkml:brushProperty name="height" value="0.05" units="cm"/>
      <inkml:brushProperty name="color" value="#004F8B"/>
    </inkml:brush>
  </inkml:definitions>
  <inkml:trace contextRef="#ctx0" brushRef="#br0">196 590 24575,'-1'31'0,"-2"0"0,-8 41 0,1-7 0,-1 13 0,-103 604 0,95-613 0,8-43 0,11-25 0,0-1 0,0 0 0,-1 0 0,1 0 0,0 0 0,0 0 0,0 1 0,0-1 0,0 0 0,0 0 0,0 0 0,0 0 0,-1 0 0,1 0 0,0 0 0,0 0 0,0 1 0,0-1 0,0 0 0,-1 0 0,1 0 0,0 0 0,0 0 0,0 0 0,0 0 0,-1 0 0,1 0 0,0 0 0,0 0 0,0 0 0,0 0 0,-1 0 0,1 0 0,0 0 0,0 0 0,0 0 0,0 0 0,0-1 0,-1 1 0,1 0 0,-5-14 0,3-10 0,0 0 0,2 0 0,2-28 0,0 30 0,14-182-591,77-354 0,-12 257 337,-58 233 260,3 2 0,45-81-1,-61 128-5,2 0 0,26-33 0,-34 47 0,0 1 0,0-1 0,1 1 0,-1 0 0,1 1 0,0-1 0,0 1 0,1 0 0,-1 0 0,1 0 0,-1 1 0,1 0 0,0 0 0,6-1 0,-9 2 0,1 1 0,-1 0 0,0 0 0,1 0 0,-1 0 0,1 0 0,-1 1 0,0 0 0,1 0 0,-1 0 0,0 0 0,0 0 0,1 0 0,-1 1 0,0-1 0,-1 1 0,1 0 0,0 0 0,3 3 0,0 1 0,-1 0 0,0 0 0,0 1 0,0 0 0,-1-1 0,0 2 0,4 9 0,0 4 0,-1 2 0,0-1 0,-2 1 0,0-1 0,-2 1 0,-1 1 0,0-1 0,-2 0 0,-2 27 0,-3-3 0,-2 0 0,-3-1 0,-22 71 0,18-76 178,-1-1-1,-2-1 1,-35 58-1,42-81-113,-1 0 1,-1-1-1,0 0 1,0-1-1,-2 0 1,1-1-1,-2-1 1,0 0-1,0-1 1,-21 12-1,31-21-64,0 0 0,1 1 0,-1-2 0,0 1 0,0 0 0,0-1 0,0 0 0,0 0 0,-1-1 0,1 0 0,0 1 0,0-2 0,0 1 0,-8-2 0,9 1 0,0 0 0,1-1 0,-1 1 0,1-1 0,-1 0 0,1 0 0,0 0 0,0-1 0,0 1 0,0-1 0,0 0 0,0 1 0,1-1 0,-1 0 0,1-1 0,0 1 0,0 0 0,-3-8 0,1 4 0,1-1 0,0 0 0,0-1 0,1 1 0,0 0 0,0-1 0,1 1 0,0-1 0,0-12 0,1 21 0,1-1 0,-1 1 0,0-1 0,0 1 0,0-1 0,0 1 0,1-1 0,-1 1 0,0-1 0,0 1 0,1-1 0,-1 1 0,0-1 0,1 1 0,-1-1 0,1 1 0,-1 0 0,0-1 0,1 1 0,-1 0 0,1-1 0,-1 1 0,1 0 0,-1 0 0,1 0 0,-1-1 0,1 1 0,-1 0 0,1 0 0,0 0 0,-1 0 0,1 0 0,-1 0 0,1 0 0,-1 0 0,1 0 0,0 0 0,-1 0 0,1 0 0,-1 0 0,1 1 0,-1-1 0,1 0 0,-1 0 0,1 1 0,-1-1 0,1 0 0,-1 0 0,1 1 0,-1 0 0,28 22 0,-2 8 0,-2 1 0,30 49 0,-4-4 0,-12-24 0,77 83 0,-98-118 0,0-1 0,2-1 0,0-1 0,1 0 0,0-2 0,1 0 0,43 18 0,-56-27 0,1-1 0,-1 0 0,1-1 0,0 0 0,-1 0 0,1-1 0,0 0 0,0-1 0,0 1 0,0-2 0,0 1 0,0-2 0,0 1 0,-1-1 0,1 0 0,0-1 0,-1 0 0,0 0 0,0-1 0,0 0 0,0 0 0,0-1 0,-1 0 0,0 0 0,0-1 0,0 0 0,-1 0 0,0-1 0,8-10 0,1-4 0,0 0 0,-2-1 0,0-1 0,-2 0 0,0 0 0,-2-1 0,8-29 0,-8 18 0,-2-1 0,-1 0 0,-1 0 0,-1-49 0,-6 55 0,2 30 0,0 0 0,0 0 0,0 1 0,0-1 0,0 0 0,-1 0 0,1 0 0,0 0 0,0 0 0,0 0 0,0 0 0,0 0 0,0 0 0,0 0 0,-1 0 0,1 0 0,0 0 0,0 0 0,0 0 0,0 0 0,0 0 0,0 0 0,0 0 0,-1 0 0,1 0 0,0 0 0,0 0 0,0 0 0,0 0 0,0 0 0,0 0 0,0 0 0,-1 0 0,1 0 0,0 0 0,0 0 0,0 0 0,0 0 0,0 0 0,0-1 0,0 1 0,0 0 0,0 0 0,0 0 0,-1 0 0,1 0 0,0 0 0,0 0 0,0 0 0,0-1 0,0 1 0,0 0 0,0 0 0,0 0 0,0 0 0,0 0 0,0 0 0,0-1 0,0 1 0,0 0 0,0 0 0,0 0 0,0 0 0,0 0 0,0-1 0,-2 7 0,0 0 0,1 0 0,-1 0 0,1 0 0,-1 8 0,-2 23 0,1 1 0,4 73 0,0-98 0,1 0 0,0 0 0,1 0 0,0 0 0,1 0 0,1-1 0,0 0 0,0 1 0,1-2 0,1 1 0,0-1 0,9 11 0,-12-17 0,1 0 0,-1 0 0,1-1 0,0 0 0,0 0 0,0 0 0,1-1 0,-1 1 0,1-1 0,0-1 0,0 1 0,0-1 0,0 0 0,0 0 0,1-1 0,-1 0 0,0 0 0,1 0 0,-1-1 0,1 0 0,-1 0 0,1-1 0,-1 1 0,0-2 0,1 1 0,-1-1 0,11-4 0,-7 2 0,0-1 0,-1 0 0,1 0 0,-1-1 0,0-1 0,-1 0 0,1 0 0,-2 0 0,1-1 0,-1 0 0,0-1 0,0 1 0,-1-1 0,0-1 0,8-18 0,-7 7 0,0 1 0,-2-2 0,0 1 0,-2-1 0,0 1 0,-1-1 0,-1 0 0,-2 0 0,-4-41 0,3 55 0,0 0 0,0-1 0,0 1 0,-1 0 0,0 0 0,-1 1 0,0-1 0,0 1 0,-1-1 0,1 2 0,-2-1 0,1 0 0,-1 1 0,0 0 0,0 0 0,0 1 0,-1-1 0,0 1 0,-9-4 0,10 6 0,0 0 0,0 0 0,0 1 0,-1 0 0,1 0 0,-1 1 0,1 0 0,-1 0 0,1 0 0,-1 1 0,0 0 0,1 0 0,-1 1 0,0 0 0,1 0 0,-1 0 0,1 1 0,0 0 0,-1 0 0,1 1 0,0 0 0,0 0 0,0 0 0,-9 8 0,4-2 0,0 2 0,0-1 0,1 2 0,1-1 0,0 1 0,0 1 0,1 0 0,1 0 0,0 0 0,-5 17 0,3-6 0,2-1 0,0 1 0,1 0 0,2 0 0,-3 36 0,7-51 0,0 0 0,1 0 0,-1 0 0,2 0 0,-1 0 0,1 0 0,1 0 0,0-1 0,0 1 0,0-1 0,1 1 0,0-1 0,1 0 0,0-1 0,0 1 0,1-1 0,0 0 0,0-1 0,0 1 0,1-1 0,0 0 0,0-1 0,1 0 0,9 5 0,-4-3 0,1 0 0,-1-2 0,1 0 0,0 0 0,1-1 0,-1-1 0,1 0 0,0-1 0,0-1 0,0 0 0,0-1 0,-1-1 0,1 0 0,16-3 0,-10-1 0,1-1 0,-1-1 0,-1 0 0,0-2 0,0 0 0,0-1 0,-1-1 0,-1-1 0,0 0 0,0-2 0,28-28 0,-28 23 0,-1-1 0,-1-1 0,-1-1 0,-1 0 0,-1-1 0,-1 0 0,0-1 0,-2-1 0,10-37 0,-14 44 0,-1-1 0,-1 0 0,-1 1 0,2-34 0,-7 46 0,-1 10 0,-2 14 0,0 0 0,1 0 0,1 1 0,-1 21 0,2 83 0,2-109 0,1-1 0,0 0 0,1 1 0,1-1 0,4 13 0,-5-20 0,1 0 0,-1 0 0,1 0 0,1 0 0,-1-1 0,1 0 0,0 1 0,0-1 0,0-1 0,1 1 0,0-1 0,8 7 0,-7-7 0,1 0 0,-1 0 0,1 0 0,0-1 0,1 0 0,-1 0 0,0-1 0,1 0 0,-1 0 0,1-1 0,0 0 0,0 0 0,-1-1 0,1 0 0,0 0 0,8-2 0,-10 1 0,1-1 0,-1 0 0,0 0 0,0 0 0,0-1 0,0 0 0,0 0 0,0-1 0,-1 1 0,1-1 0,-1-1 0,0 1 0,-1-1 0,1 1 0,-1-1 0,0-1 0,0 1 0,0 0 0,3-9 0,1-4 0,-1-1 0,0 1 0,-2-1 0,0-1 0,-1 1 0,1-26 0,-7 58 0,1-1 0,1 1 0,0-1 0,0 1 0,1-1 0,4 18 0,-4-24 0,2 1 0,-1-1 0,1 1 0,0-1 0,0 0 0,0 0 0,1-1 0,0 1 0,0-1 0,1 1 0,-1-1 0,1-1 0,10 8 0,-7-5 0,0-2 0,0 1 0,1-1 0,0 0 0,0-1 0,1 0 0,-1 0 0,1-1 0,-1 0 0,1-1 0,0 0 0,0-1 0,0 0 0,0 0 0,1-1 0,-1-1 0,0 1 0,0-2 0,0 1 0,0-1 0,0-1 0,-1 0 0,1 0 0,-1-1 0,0 0 0,0-1 0,0 0 0,0 0 0,-1-1 0,0 0 0,0 0 0,0-1 0,-1 0 0,0-1 0,9-12 0,-6 4 0,-1 0 0,-1-1 0,-1 0 0,0 0 0,-1 0 0,-1-1 0,-1 0 0,0 0 0,-1-1 0,0-20 0,-2 17 0,-1-1 0,-1 1 0,0-1 0,-2 1 0,-1 0 0,-1 0 0,-14-40 0,0 24 0,18 37 0,1 0 0,-1 0 0,1 0 0,-1 0 0,0 0 0,1 0 0,-1 0 0,0 0 0,0 0 0,0 1 0,1-1 0,-1 0 0,0 1 0,0-1 0,0 0 0,0 1 0,0-1 0,0 1 0,-1 0 0,1-1 0,0 1 0,0 0 0,0 0 0,0-1 0,0 1 0,0 0 0,-1 0 0,0 1 0,2-1 0,-1 0 0,1 1 0,0-1 0,-1 0 0,1 1 0,0-1 0,-1 0 0,1 1 0,0-1 0,0 1 0,-1-1 0,1 1 0,0-1 0,0 1 0,0-1 0,0 1 0,-1-1 0,1 1 0,0-1 0,0 0 0,0 1 0,0-1 0,0 1 0,0-1 0,1 1 0,-1-1 0,0 1 0,0-1 0,0 1 0,0-1 0,0 1 0,1-1 0,-1 1 0,1 0 0,3 9-195,1 0 0,1-1 0,0 1 0,0-1 0,1 0 0,14 14 0,20 18-6631</inkml:trace>
  <inkml:trace contextRef="#ctx0" brushRef="#br0" timeOffset="342.32">3274 719 24575,'-8'-7'0,"1"1"0,-2 0 0,1 0 0,-1 1 0,0 0 0,0 0 0,-18-6 0,10 6 0,0 0 0,1 1 0,-30-3 0,37 6 0,0 1 0,0 0 0,0 1 0,0 0 0,0 1 0,0-1 0,1 1 0,-1 1 0,0 0 0,1 0 0,0 1 0,0 0 0,0 0 0,0 1 0,1 0 0,-1 0 0,1 1 0,1 0 0,-1 0 0,1 1 0,0 0 0,1 0 0,-1 0 0,-5 12 0,6-11 0,0 1 0,1-1 0,0 1 0,1 0 0,0 1 0,1-1 0,0 0 0,0 1 0,1-1 0,0 1 0,0 0 0,1-1 0,1 1 0,-1 0 0,2-1 0,-1 1 0,1-1 0,1 1 0,0-1 0,0 0 0,1 0 0,6 11 0,3-1 0,1-1 0,1 0 0,1-1 0,1-1 0,0 0 0,33 22 0,-26-19 0,0 0 0,37 41 0,-55-54 0,-1 1 0,0 0 0,0 0 0,-1 1 0,0 0 0,0-1 0,-1 1 0,4 13 0,-6-18 0,-1 0 0,1 1 0,-1-1 0,1 0 0,-1 1 0,0-1 0,0 0 0,-1 1 0,1-1 0,-1 0 0,1 1 0,-1-1 0,0 0 0,0 0 0,-1 0 0,1 0 0,-1 0 0,1 0 0,-1 0 0,0 0 0,0-1 0,0 1 0,-1-1 0,-3 5 0,-2-2 0,0 1 0,0-1 0,-1-1 0,0 1 0,0-1 0,0-1 0,0 0 0,0 0 0,-11 1 0,-15 2 0,-41 2 0,-31-5 342,95-4-586,-1 0 0,0 0 0,1-2 0,0 1 1,0-2-1,-15-5 0,-18-14-6582</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19.571"/>
    </inkml:context>
    <inkml:brush xml:id="br0">
      <inkml:brushProperty name="width" value="0.05" units="cm"/>
      <inkml:brushProperty name="height" value="0.05" units="cm"/>
      <inkml:brushProperty name="color" value="#004F8B"/>
    </inkml:brush>
  </inkml:definitions>
  <inkml:trace contextRef="#ctx0" brushRef="#br0">509 552 24575,'0'-13'0,"-1"0"0,0 1 0,0-1 0,-1 0 0,-1 1 0,0-1 0,-9-20 0,10 28 0,-1 0 0,1 1 0,-1-1 0,0 1 0,0 0 0,0 0 0,-1 0 0,1 0 0,-1 0 0,0 1 0,0 0 0,0 0 0,-1 0 0,1 0 0,-1 1 0,0-1 0,1 1 0,-1 0 0,0 1 0,0-1 0,-7 0 0,7 1 0,1 1 0,0 0 0,-1 0 0,1 0 0,0 0 0,-1 1 0,1 0 0,0 0 0,0 0 0,0 0 0,0 1 0,0-1 0,0 1 0,0 0 0,-6 5 0,-1 1 0,1 1 0,0-1 0,1 2 0,-12 14 0,-4 9-51,1 2 0,2 0 0,1 1-1,2 2 1,-28 74 0,20-28-103,-29 156 1,49-204 153,2 0 0,1 0 0,2 1 0,4 60 0,-1-83 0,2-1 0,0 1 0,0-1 0,1 0 0,1 0 0,9 19 0,-9-23 0,0-1 0,1 0 0,0 0 0,0 0 0,1-1 0,-1 0 0,2 0 0,-1 0 0,1-1 0,10 6 0,-3-4-3,1 0 0,1 0 1,-1-1-1,1-2 0,1 1 0,-1-2 1,1 0-1,-1-2 0,1 1 0,28-2 1,-27-1 56,1-1 0,-1-1 0,1-1 1,-1 0-1,0-2 0,0 0 0,-1-1 0,0-1 1,29-15-1,-28 10-45,0-1 0,0-1 0,-2-1 0,0 0 1,0-1-1,-2-1 0,0-1 0,-1 0 0,0-1 0,-2 0 0,0-1 1,-1 0-1,10-28 0,-7 9-13,-1-1 1,-2 0-1,-1-1 0,-3 0 1,-1 0-1,0-56 0,-6 107 4,-1-2 0,0 0 0,1 0 0,0 0 0,1 0 0,0 0 0,0 0 0,0 0 0,1 0 0,0-1 0,5 11 0,0-7 0,0 1 0,1-1 0,0 0 0,1 0 0,0-1 0,1 0 0,0-1 0,1 0 0,0-1 0,0 0 0,0-1 0,1 0 0,1-1 0,-1 0 0,1-1 0,0 0 0,0-1 0,0 0 0,0-1 0,1-1 0,0 0 0,-1-1 0,1 0 0,0-2 0,26-2 0,-34 2 0,0-1 0,1 1 0,-1-1 0,0-1 0,0 1 0,-1-1 0,1 0 0,0 0 0,-1-1 0,0 0 0,1 0 0,-2 0 0,6-6 0,-4 3 0,0 0 0,-1-1 0,0 0 0,0 0 0,-1 0 0,0 0 0,-1-1 0,4-12 0,-2 0 0,-1 0 0,-1-1 0,0 1 0,-2-1 0,-1 1 0,-1-1 0,-3-25 0,1 27 0,-1 1 0,-1 1 0,-1-1 0,0 1 0,-1 0 0,-1 0 0,-18-29 0,21 38 0,-1 1 0,-1 0 0,1 1 0,-1 0 0,0 0 0,-1 0 0,-12-8 0,15 12 0,-1-1 0,0 1 0,0 1 0,-1-1 0,1 1 0,0 0 0,-1 0 0,1 1 0,-1 0 0,0 0 0,1 0 0,-8 1 0,6 1 0,1 0 0,1 0 0,-1 1 0,0 0 0,0 0 0,0 0 0,1 1 0,0 0 0,-1 0 0,1 1 0,0 0 0,0 0 0,1 0 0,-1 1 0,1 0 0,0 0 0,1 0 0,-1 0 0,1 1 0,-5 7 0,-1 4 0,0 0 0,2 1 0,0 0 0,0 0 0,2 1 0,-5 21 0,5-14 0,0 0 0,2 0 0,1 1 0,1 35 0,2-52 0,1 0 0,0 0 0,1-1 0,0 1 0,0 0 0,1-1 0,0 0 0,1 1 0,0-1 0,0 0 0,1-1 0,0 1 0,1-1 0,0 0 0,7 7 0,-3-5 0,1 0 0,0-1 0,0 0 0,1-1 0,1-1 0,-1 1 0,1-2 0,0 0 0,18 6 0,-13-7 0,1-1 0,0 0 0,0-1 0,0-1 0,0-1 0,29-2 0,-21-1 0,-1-2 0,0 0 0,0-2 0,0-1 0,-1-1 0,0-1 0,-1-2 0,1 0 0,-2-1 0,30-21 0,-30 15 0,-1 0 0,-1-1 0,-1-1 0,-1-1 0,-1 0 0,-1-2 0,0 0 0,-2-1 0,-1 0 0,-1-1 0,0-1 0,-3 0 0,0-1 0,-1 0 0,8-49 0,-2-24 0,-4-1 0,-5-177 0,-6 263 0,-1-16 0,-5-37 0,5 62 0,1 0 0,-2 0 0,1 0 0,-1 0 0,0 0 0,0 1 0,-1-1 0,1 1 0,-1-1 0,0 1 0,-1 0 0,-4-6 0,7 10 0,0 0 0,0 0 0,0 0 0,0 1 0,0-1 0,0 0 0,0 1 0,0-1 0,0 1 0,0-1 0,0 1 0,0-1 0,-1 1 0,1 0 0,0 0 0,0-1 0,0 1 0,-1 0 0,1 0 0,0 0 0,0 0 0,0 0 0,0 1 0,-1-1 0,1 0 0,0 1 0,0-1 0,0 0 0,0 1 0,0-1 0,0 1 0,0 0 0,0-1 0,0 1 0,0 0 0,0 0 0,0-1 0,0 1 0,0 0 0,1 0 0,-1 0 0,0 0 0,0 2 0,-5 5 0,2 0 0,-1 0 0,1 1 0,-5 15 0,-4 17 0,3 1 0,-11 81 0,5 94 0,15-189 0,-4 68 0,5 0 0,3 0 0,18 103 0,-16-173 0,1 0 0,1-1 0,1 1 0,1-1 0,1-1 0,18 30 0,-22-43 0,1 0 0,1 0 0,0 0 0,1-1 0,0 0 0,0-1 0,1 0 0,0-1 0,1 0 0,0 0 0,0-1 0,1 0 0,23 9 0,-29-14 0,1 0 0,0 0 0,-1 0 0,1-1 0,0 0 0,0-1 0,0 1 0,0-1 0,0-1 0,0 1 0,0-1 0,-1 0 0,15-5 0,-13 3 0,-1 0 0,1-1 0,0-1 0,-1 1 0,0-1 0,0 0 0,0-1 0,-1 0 0,0 0 0,6-7 0,1-3 0,-2-1 0,0-1 0,0 0 0,-2 0 0,0-1 0,-2 0 0,0-1 0,8-33 0,-5-4 0,-3-1 0,1-115 0,-9 146 0,-1 22 0,-3 41 0,4-17 0,-3 50 0,6 76 0,-1-132 0,1 0 0,1-1 0,0 1 0,1-1 0,0 0 0,0 0 0,1-1 0,1 1 0,0-1 0,11 15 0,-13-20 0,1 0 0,0 0 0,1 0 0,-1-1 0,1 0 0,0 0 0,0 0 0,1-1 0,-1 0 0,1 0 0,0 0 0,0-1 0,0 0 0,1-1 0,-1 1 0,0-2 0,1 1 0,10 0 0,-12-1 0,0-1 0,0-1 0,0 1 0,0-1 0,0 0 0,0 0 0,0-1 0,0 0 0,-1 0 0,1 0 0,-1-1 0,7-3 0,-5 1 0,1 0 0,-1-1 0,0 0 0,-1 0 0,1-1 0,-1 0 0,7-10 0,-2-1 0,-1 0 0,0-1 0,-1 0 0,-1 0 0,-1-1 0,6-27 0,-5 18 0,-2 0 0,-1-1 0,-1 1 0,-2-1 0,-1 0 0,-4-45 0,-4 52 0,7 23 0,0-1 0,0 1 0,0 0 0,0 0 0,0 0 0,0 0 0,0 0 0,-1 0 0,1 0 0,0 0 0,0 0 0,0 0 0,0-1 0,0 1 0,0 0 0,-1 0 0,1 0 0,0 0 0,0 0 0,0 0 0,0 0 0,0 0 0,0 0 0,-1 0 0,1 0 0,0 0 0,0 0 0,0 0 0,0 0 0,0 0 0,0 0 0,-1 1 0,1-1 0,0 0 0,0 0 0,0 0 0,0 0 0,0 0 0,0 0 0,0 0 0,-1 0 0,1 0 0,0 1 0,-6 11 0,-1 21 0,2-1 0,1 1 0,1 0 0,1 1 0,6 56 0,-3-72 0,1-1 0,1 0 0,0-1 0,10 31 0,-12-43 0,0 0 0,1 0 0,-1-1 0,1 1 0,0 0 0,0-1 0,0 0 0,1 1 0,-1-1 0,1 0 0,0 0 0,0-1 0,0 1 0,0-1 0,0 1 0,0-1 0,1 0 0,-1 0 0,1 0 0,0-1 0,-1 1 0,1-1 0,0 0 0,0 0 0,0 0 0,7 0 0,-6-1 0,1-1 0,-1 1 0,1-1 0,-1-1 0,0 1 0,1-1 0,-1 0 0,0 0 0,0-1 0,0 1 0,0-1 0,-1 0 0,1 0 0,-1-1 0,0 1 0,0-1 0,7-8 0,2-4 0,-1 0 0,0-1 0,15-32 0,25-62 0,-30 61 0,32-55 0,-52 102 0,0-1 0,1 0 0,-1 1 0,1-1 0,-1 1 0,1 0 0,0 0 0,0 0 0,1 1 0,-1-1 0,0 1 0,1-1 0,0 1 0,5-2 0,-8 3 0,1 1 0,-1 0 0,1 0 0,-1 0 0,1 0 0,-1 0 0,1 0 0,-1 0 0,1 0 0,0 1 0,-1-1 0,1 0 0,-1 1 0,0-1 0,3 2 0,-1 0 0,0 0 0,0 0 0,0 1 0,-1-1 0,1 1 0,-1-1 0,0 1 0,4 6 0,5 7 0,-2 2 0,0-1 0,12 37 0,12 63 0,-5-16 0,12 19 0,-38-114 0,4 7 0,-5-29 0,-4-203 0,4 185 0,2 1 0,2-1 0,1 1 0,16-51 0,-19 76 0,0 0 0,1 0 0,-1 1 0,2-1 0,-1 1 0,1 0 0,0 0 0,9-9 0,-12 14 0,-1 1 0,1-1 0,0 1 0,0 0 0,-1-1 0,1 1 0,0 0 0,0 0 0,0 1 0,0-1 0,0 0 0,0 1 0,0-1 0,1 1 0,-1-1 0,0 1 0,0 0 0,0 0 0,0 0 0,0 0 0,1 0 0,-1 1 0,0-1 0,0 1 0,0-1 0,0 1 0,0 0 0,0 0 0,0 0 0,0 0 0,0 0 0,0 0 0,-1 1 0,1-1 0,0 0 0,-1 1 0,3 3 0,3 3 0,-1 0 0,0 0 0,0 0 0,-1 1 0,0 0 0,-1 0 0,0 1 0,0-1 0,4 20 0,1 11 0,3 43 0,-11-79 0,4 37 0,-1 0 0,-2 0 0,-6 80 0,-2-96 0,4-25 0,1-5 0,0-2 0,1 0 0,0 0 0,0 0 0,2-12 0,5-10 0,2 1 0,0 0 0,2 0 0,1 1 0,1 1 0,2 0 0,27-38 0,-28 45 0,1-1 0,1 2 0,20-18 0,-29 30 0,1-1 0,0 1 0,0 1 0,0-1 0,1 1 0,0 1 0,0 0 0,0 0 0,0 0 0,10-1 0,-15 4 0,-1 1 0,0 0 0,0 0 0,1 0 0,-1 0 0,0 0 0,0 1 0,0-1 0,1 1 0,-1 0 0,0 0 0,0 0 0,0 1 0,0-1 0,0 1 0,-1-1 0,1 1 0,0 0 0,-1 0 0,1 0 0,-1 1 0,0-1 0,0 0 0,0 1 0,2 3 0,4 5 0,-1 1 0,-1-1 0,0 1 0,6 21 0,0 3-227,-3 0-1,-1 1 1,-2 0-1,-1 0 1,0 45-1,-5-52-6598</inkml:trace>
  <inkml:trace contextRef="#ctx0" brushRef="#br0" timeOffset="383.95">4069 714 24575,'3'0'0,"0"0"0,0 1 0,-1-1 0,1 1 0,0 0 0,0 0 0,0 0 0,-1 0 0,1 0 0,-1 1 0,1-1 0,-1 1 0,1 0 0,-1-1 0,0 1 0,0 0 0,0 1 0,0-1 0,0 0 0,3 5 0,2 5 0,0 1 0,-1 0 0,6 16 0,-3-8 0,12 30 0,-3 1 0,20 92 0,-30-105 0,-2 1 0,-2 0 0,-2 0 0,-3 58 0,-5-59 0,1-29 0,1-10 0,-2-18 0,2-10 0,1-1 0,1 1 0,4-53 0,22-89 0,-18 142 0,1 0 0,2 1 0,20-47 0,-21 59 0,0 0 0,1 1 0,0-1 0,1 2 0,1 0 0,0 0 0,21-18 0,-29 27 0,2 1 0,-1 0 0,0 0 0,1 0 0,-1 0 0,1 1 0,0-1 0,0 1 0,0 1 0,0-1 0,0 1 0,0-1 0,0 2 0,1-1 0,-1 0 0,0 1 0,7 1 0,-7 0 0,0 0 0,-1 0 0,1 1 0,0 0 0,0 0 0,-1 0 0,1 1 0,-1-1 0,1 1 0,-1 0 0,0 0 0,0 1 0,-1-1 0,1 1 0,-1 0 0,0 0 0,5 6 0,1 6 0,0-1 0,-1 1 0,-1 1 0,0-1 0,-1 1 0,-1 0 0,0 1 0,1 18 0,0 5 0,-3-1 0,-2 64 0,-3-72-341,-1 0 0,-1-1-1,-13 49 1,-5-15-6485</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21.362"/>
    </inkml:context>
    <inkml:brush xml:id="br0">
      <inkml:brushProperty name="width" value="0.05" units="cm"/>
      <inkml:brushProperty name="height" value="0.05" units="cm"/>
      <inkml:brushProperty name="color" value="#004F8B"/>
    </inkml:brush>
  </inkml:definitions>
  <inkml:trace contextRef="#ctx0" brushRef="#br0">660 960 24575,'-3'0'0,"0"-1"0,0 1 0,0-1 0,0 0 0,0 0 0,0 0 0,0 0 0,1-1 0,-1 1 0,-2-3 0,-20-8 0,19 10 0,0 1 0,1-1 0,-1 1 0,0 0 0,0 1 0,0-1 0,1 1 0,-1 1 0,0-1 0,0 1 0,0 0 0,0 0 0,1 0 0,-1 1 0,0 0 0,1 0 0,0 1 0,-1-1 0,-8 7 0,-1 2 9,0-1-1,2 2 0,-1 0 1,1 1-1,-19 25 0,11-10-91,1 2-1,-20 40 0,2 8-231,4 2 0,-32 112 0,-23 179-244,31-17-1669,52-291 2124,3 2 0,2-1 0,12 96-1,-9-140 31,2 0 0,1 0-1,0 0 1,1 0-1,1-1 1,1 0 0,1 0-1,13 20 1,-14-27 68,1 1 1,1-2-1,0 1 1,1-2-1,0 1 1,0-2-1,1 1 1,1-1-1,-1-1 1,2-1-1,16 9 1,-8-7 10,0-1-1,1-1 1,0-1 0,0 0 0,0-2 0,1-1 0,-1-1 0,38-1-1,-32-3 8,-1-1-1,0-1 1,0-2 0,0 0-1,0-2 1,43-19-1,25-21-3241</inkml:trace>
  <inkml:trace contextRef="#ctx0" brushRef="#br0" timeOffset="206.07">1109 1826 24575,'0'-11'0,"-5"-4"0,-3 18 0,1 24 0,1 24 0,2 25 0,2 27 0,1 18 0,0 10 0,1-1 0,0-12 0,1-14 0,4-26 0,3-25-8191</inkml:trace>
  <inkml:trace contextRef="#ctx0" brushRef="#br0" timeOffset="531.89">1495 2051 24575,'-4'-18'0,"4"18"0,0 0 0,0 0 0,0-1 0,0 1 0,0 0 0,-1 0 0,1 0 0,0 0 0,0-1 0,0 1 0,-1 0 0,1 0 0,0 0 0,0 0 0,0 0 0,-1 0 0,1 0 0,0 0 0,0-1 0,0 1 0,-1 0 0,1 0 0,0 0 0,0 0 0,-1 0 0,1 0 0,0 0 0,0 0 0,-1 1 0,1-1 0,0 0 0,0 0 0,0 0 0,-1 0 0,1 0 0,0 0 0,-3 2 0,1 0 0,0 0 0,0 0 0,0 0 0,1 1 0,-1-1 0,0 0 0,1 1 0,-3 4 0,-5 15 0,1 0 0,1 0 0,0 0 0,-5 38 0,-4 95 0,16-154 0,-2 23 0,1 0 0,1 0 0,1 0 0,1 0 0,7 35 0,-7-51 0,0-1 0,1 1 0,-1 0 0,2-1 0,-1 0 0,1 1 0,0-1 0,0-1 0,1 1 0,0-1 0,0 0 0,1 0 0,-1 0 0,1-1 0,1 1 0,-1-2 0,1 1 0,0-1 0,0 0 0,8 4 0,-7-6 0,-1 1 0,1-1 0,-1-1 0,1 1 0,0-2 0,-1 1 0,1-1 0,0 0 0,0 0 0,-1-1 0,1 0 0,0 0 0,-1-1 0,1 0 0,-1-1 0,0 1 0,0-1 0,0-1 0,0 1 0,0-1 0,11-9 0,-4 2 0,-1 0 0,0-1 0,0-1 0,-2 0 0,0 0 0,0-1 0,-1-1 0,14-27 0,-14 22 0,-2-1 0,0 0 0,-1-1 0,-1 1 0,-2-1 0,0 0 0,-1-1 0,-1 1 0,-1 0 0,-4-45 0,2 52 0,-2-1 0,0 1 0,0-1 0,-2 1 0,0 0 0,0 0 0,-2 1 0,0 0 0,0 0 0,-1 0 0,-1 1 0,0 1 0,-1-1 0,0 1 0,-1 1 0,-17-14 0,21 19 0,0 1 0,-1 0 0,0 0 0,0 1 0,0 0 0,-1 0 0,0 1 0,1 0 0,-1 0 0,0 1 0,0 1 0,0-1 0,0 1 0,-1 1 0,-15 1 0,17 0 0,0 0 0,1 1 0,-1 0 0,0 1 0,1 0 0,0 0 0,0 0 0,0 1 0,0 0 0,0 0 0,1 1 0,-1 0 0,1 0 0,1 0 0,-1 1 0,1 0 0,0 0 0,-7 11 0,7-8 43,0-1 0,0 1-1,1 0 1,1 0 0,-1 0-1,1 0 1,-2 12 0,4-15-175,1 0 1,-1 1 0,1-1-1,0 0 1,0 1 0,1-1 0,0 0-1,0 0 1,0 0 0,1 0 0,0 0-1,3 8 1,18 23-6695</inkml:trace>
  <inkml:trace contextRef="#ctx0" brushRef="#br0" timeOffset="754.48">2231 2307 24575,'0'11'0,"0"15"0,0 13 0,0 11 0,0 14 0,0 6 0,0 3 0,0 0 0,0-2 0,0-24 0,0-31 0</inkml:trace>
  <inkml:trace contextRef="#ctx0" brushRef="#br0" timeOffset="1146.47">2393 1442 24575,'0'362'0,"-1"-335"0,2 0 0,2 0 0,8 44 0,-9-62 0,0-1 0,1 0 0,-1 0 0,2-1 0,-1 1 0,1-1 0,0 1 0,1-1 0,0 0 0,0-1 0,0 1 0,1-1 0,0 0 0,0 0 0,14 9 0,-16-12 0,1-1 0,0 1 0,0-1 0,0 0 0,0 0 0,0-1 0,0 1 0,1-1 0,-1-1 0,0 1 0,1 0 0,-1-1 0,1 0 0,-1-1 0,8 0 0,-5-1 0,0-1 0,0 0 0,0 0 0,0 0 0,0-1 0,-1 0 0,1 0 0,12-11 0,-2-1 0,0-1 0,-1-1 0,0-1 0,-2 0 0,22-37 0,-19 26 0,-2-2 0,-2 0 0,-1 0 0,-1-1 0,11-54 0,-9 15 0,7-111 0,-20 156 0,-2 52 0,0 3 0,-7 396 0,11-313 0,33 205 0,-15-234-1365,1-21-5461</inkml:trace>
  <inkml:trace contextRef="#ctx0" brushRef="#br0" timeOffset="1569.35">3451 1922 24575,'1'-114'0,"0"-5"0,-18-171 0,15 278 0,0 0 0,-1 1 0,0-1 0,-1 0 0,0 1 0,0 0 0,-2 0 0,-10-17 0,14 26 0,1-1 0,-1 0 0,-1 1 0,1 0 0,0-1 0,-1 1 0,1 0 0,-1 0 0,1 0 0,-1 0 0,0 1 0,0-1 0,0 1 0,0 0 0,0 0 0,0 0 0,0 0 0,-1 0 0,1 1 0,0-1 0,0 1 0,-1 0 0,1 0 0,0 0 0,0 1 0,-1-1 0,1 1 0,0-1 0,0 1 0,0 0 0,0 0 0,0 1 0,0-1 0,0 1 0,-5 3 0,-2 1 0,1 1 0,0 1 0,0-1 0,0 2 0,1-1 0,0 1 0,1 0 0,0 1 0,1 0 0,-9 15 0,7-8 0,0 1 0,1 0 0,0 0 0,2 1 0,-6 32 0,9-40 0,1-1 0,1 0 0,0 1 0,1-1 0,0 0 0,0 0 0,1 1 0,0-1 0,1 0 0,0-1 0,0 1 0,1 0 0,1-1 0,0 0 0,0 0 0,0 0 0,1-1 0,13 14 0,11 8 0,64 48 0,-58-51 0,52 52 0,-79-69 0,0 1 0,0-1 0,-1 1 0,-1 1 0,0-1 0,0 1 0,-1 1 0,-1-1 0,7 22 0,-10-26 0,0 1 0,-1-1 0,0 0 0,-1 0 0,0 0 0,0 1 0,0-1 0,-1 0 0,-1 0 0,1 0 0,-1 0 0,-1 0 0,-3 9 0,4-13 0,0 1 0,0-1 0,-1 0 0,1 0 0,-1 0 0,0 0 0,0-1 0,-1 1 0,1-1 0,-1 0 0,0 1 0,1-2 0,-1 1 0,-1 0 0,1-1 0,0 0 0,-1 0 0,1 0 0,-1-1 0,1 1 0,-1-1 0,0 0 0,-5 0 0,4 0 0,0-1 0,0 0 0,1-1 0,-1 0 0,0 0 0,1 0 0,-1 0 0,0-1 0,1 0 0,0 0 0,-1 0 0,1-1 0,0 0 0,0 0 0,1 0 0,-1-1 0,0 1 0,1-1 0,0 0 0,0-1 0,0 1 0,1 0 0,-1-1 0,1 0 0,-3-7 0,-2-2 0,2 0 0,0 0 0,1-1 0,0 0 0,1 0 0,1 0 0,0 0 0,0-24 0,2 31 0,1 1 0,0-1 0,0 0 0,1 0 0,0 1 0,0-1 0,1 0 0,0 1 0,0-1 0,1 1 0,0 0 0,0 0 0,1 0 0,0 0 0,0 1 0,0-1 0,1 1 0,0 0 0,0 0 0,1 1 0,0 0 0,0 0 0,0 0 0,0 1 0,1-1 0,7-2 0,2-1 57,-1 2 0,1 0 0,0 1 0,1 0 0,32-3 0,-13 4-911,61 2 1,-17 7-5973</inkml:trace>
  <inkml:trace contextRef="#ctx0" brushRef="#br0" timeOffset="1724.35">3963 1889 24575,'0'11'0,"0"15"0,-5 3 0,-3 23 0,1 9 0,2 4 0,1 3 0,-10 0 0,-1 11 0,0-9-8191</inkml:trace>
  <inkml:trace contextRef="#ctx0" brushRef="#br0" timeOffset="1957.31">4316 927 24575,'6'0'0,"17"0"0,22 0 0,19-16 0,16-6 0,4 2 0,-1-8 0,-19 2 0,-38 10 0,-34 8 0,-15 6-8191</inkml:trace>
  <inkml:trace contextRef="#ctx0" brushRef="#br0" timeOffset="2318.3">4380 927 24575,'-3'47'0,"-1"-1"0,-17 70 0,-1 12 0,19-107 0,0 4 0,0 0 0,2 40 0,1-62 0,0 0 0,0-1 0,1 1 0,-1-1 0,1 0 0,-1 1 0,1-1 0,0 1 0,0-1 0,0 0 0,0 0 0,1 1 0,-1-1 0,0 0 0,1 0 0,0 0 0,-1 0 0,1-1 0,0 1 0,0 0 0,0-1 0,0 1 0,0-1 0,0 0 0,1 0 0,-1 0 0,0 0 0,1 0 0,-1 0 0,0-1 0,5 2 0,5-1 0,1-1 0,-1 0 0,1-1 0,-1 0 0,17-4 0,-12 2 0,5 0 0,0 0 0,0 2 0,0 0 0,0 1 0,37 6 0,-50-4 0,0 0 0,0 0 0,0 1 0,0 0 0,-1 1 0,0 0 0,1 0 0,-1 1 0,-1 0 0,1 0 0,-1 1 0,0 0 0,0 0 0,-1 1 0,1 0 0,7 11 0,-10-12 0,0 0 0,0 1 0,-1-1 0,1 1 0,-1 0 0,-1 0 0,1 0 0,-1 0 0,0 0 0,-1 1 0,0-1 0,0 0 0,-1 1 0,0-1 0,0 1 0,0-1 0,-1 1 0,0-1 0,-1 0 0,0 1 0,0-1 0,0 0 0,-1 0 0,0 0 0,0-1 0,-1 1 0,0-1 0,-8 11 0,1-5 0,0 0 0,0-1 0,-1 0 0,-1-1 0,0 0 0,0-1 0,-1 0 0,0-1 0,0-1 0,-1 0 0,0-1 0,0-1 0,-1 0 0,-27 5 0,38-9-45,0-1-1,0 1 1,0-1-1,1 1 1,-1-1-1,0-1 1,0 1-1,0-1 1,0 0-1,1 0 1,-1 0-1,0-1 1,1 1-1,-1-1 1,1-1-1,-1 1 1,1 0-1,0-1 1,0 0-1,0 0 1,1 0-1,-1 0 1,1-1-1,-1 1 0,1-1 1,0 0-1,1 0 1,-1 0-1,-3-8 1,-12-35-6781</inkml:trace>
  <inkml:trace contextRef="#ctx0" brushRef="#br0" timeOffset="2726.6">5214 671 24575,'67'1'0,"-15"1"0,0-2 0,1-3 0,66-11 0,-112 12 0,-1 1 0,1-2 0,-1 1 0,1-1 0,-1 0 0,0 0 0,0-1 0,0 0 0,-1 0 0,1 0 0,-1-1 0,0 1 0,0-1 0,0 0 0,-1-1 0,6-9 0,-14 24 0,0 1 0,1-1 0,0 1 0,0 0 0,1 0 0,-1 10 0,2-9 0,-18 148 0,2 193 0,16-320 0,0 52 0,10 92 0,-4-136 155,-2-20-535,-1 0 0,0 1 0,-3 40 0,-8-28-6446</inkml:trace>
  <inkml:trace contextRef="#ctx0" brushRef="#br0" timeOffset="2867.98">5181 1217 24575,'17'-17'0,"15"-5"0,20-9 0,17 0 0,18-11 0,11 1 0,0-2 0,-6 5 0,-19 10-8191</inkml:trace>
  <inkml:trace contextRef="#ctx0" brushRef="#br0" timeOffset="3191.33">6272 544 24575,'-9'0'0,"1"0"0,-1 1 0,0 0 0,1 0 0,-1 1 0,-13 5 0,16-5 0,1 1 0,0-1 0,0 1 0,0 0 0,1 1 0,-1-1 0,1 1 0,0 0 0,-1 0 0,2 0 0,-5 6 0,-4 8 0,2 0 0,0 0 0,0 1 0,2 1 0,-11 39 0,7-14 0,-8 76 0,14-78 0,2 1 0,3 0 0,1 0 0,6 48 0,-3-77 0,0 0 0,1 1 0,0-2 0,1 1 0,1 0 0,10 19 0,-11-26 0,1 1 0,0-1 0,0 0 0,1 0 0,0-1 0,0 0 0,1 0 0,-1-1 0,1 0 0,18 10 0,-19-12 0,1 0 0,0-1 0,0 0 0,0-1 0,0 0 0,0 0 0,1 0 0,-1-1 0,0 0 0,1-1 0,-1 0 0,1 0 0,-1-1 0,13-3 0,-14 3 0,-1-1 0,1 0 0,-1-1 0,0 0 0,0 0 0,0 0 0,0 0 0,-1-1 0,1 0 0,-1 0 0,0-1 0,0 0 0,-1 1 0,1-2 0,-1 1 0,0 0 0,-1-1 0,7-11 0,-8 13 0,0-1 0,-1 0 0,1 1 0,-1-1 0,0 0 0,0 0 0,0 0 0,0 0 0,-1 0 0,0 0 0,0 0 0,-1 0 0,1 0 0,-1 0 0,-3-10 0,2 9 0,-1 0 0,0 1 0,0-1 0,0 1 0,0-1 0,-1 1 0,0 0 0,0 1 0,-1-1 0,1 1 0,-1 0 0,0 0 0,-6-4 0,1 2 27,1 1-1,-2-1 0,1 2 0,0 0 1,-1 0-1,0 1 0,0 0 0,0 0 1,0 2-1,-1-1 0,1 1 0,-17 1 1,12 2-217,1-1 0,0 2 1,0 0-1,0 1 0,0 0 1,0 1-1,1 1 1,-23 12-1,-25 22-6636</inkml:trace>
  <inkml:trace contextRef="#ctx0" brushRef="#br0" timeOffset="3521.3">6336 95 24575,'0'-2'0,"0"-1"0,1 1 0,-1 0 0,1 0 0,-1 0 0,1-1 0,0 1 0,0 0 0,0 0 0,0 0 0,0 1 0,1-1 0,-1 0 0,3-3 0,25-19 0,-22 19 0,0 1 0,0 0 0,0 0 0,0 1 0,1-1 0,0 2 0,-1-1 0,1 1 0,0 0 0,0 1 0,0 0 0,1 0 0,-1 1 0,9 0 0,-5 1 0,0 1 0,1 1 0,-1 0 0,-1 0 0,1 2 0,0-1 0,-1 1 0,0 1 0,12 7 0,12 11-30,-2 1 0,-1 1 1,-1 2-1,-1 1 0,-1 2 0,-2 1 0,-1 0 0,-2 2 0,29 54 0,-25-35-19,-2 1-1,-3 2 0,-2 1 0,-2 0 0,21 119 1,-34-132 49,-2 1 0,-2 0 0,-1 0 0,-3-1 0,-2 1 0,-14 66 0,10-75 0,-1-2 0,-2 1 0,-2-1 0,-1-1 0,-2 0 0,-1-1 0,-1-1 0,-34 44 0,38-58-181,-1 0 0,-1-1 0,0-1 0,-1-1 1,-1 0-1,-32 20 0,-19 0-6147</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29.190"/>
    </inkml:context>
    <inkml:brush xml:id="br0">
      <inkml:brushProperty name="width" value="0.05" units="cm"/>
      <inkml:brushProperty name="height" value="0.05" units="cm"/>
      <inkml:brushProperty name="color" value="#004F8B"/>
    </inkml:brush>
  </inkml:definitions>
  <inkml:trace contextRef="#ctx0" brushRef="#br0">426 249 24575,'0'-1'0,"0"-13"0,0 0 0,-1 0 0,-5-23 0,6 35 0,-1 0 0,1-1 0,-1 1 0,1 0 0,-1 0 0,0 0 0,0 0 0,0 0 0,0 0 0,0 0 0,0 0 0,-1 0 0,1 1 0,-1-1 0,1 0 0,-1 1 0,0-1 0,1 1 0,-1 0 0,0-1 0,0 1 0,0 0 0,0 0 0,0 0 0,0 1 0,0-1 0,0 0 0,-1 1 0,1-1 0,-4 1 0,3 0 0,0 1 0,1-1 0,-1 1 0,1 0 0,-1 0 0,1 0 0,0 0 0,-1 1 0,1-1 0,0 0 0,0 1 0,0 0 0,0-1 0,-3 4 0,-13 12 0,1 2 0,0 0 0,1 1 0,1 1 0,-15 28 0,1 4 0,-23 65 0,22-37-94,4 0-1,3 2 1,4 1-1,4 1 0,-7 140 1,20-186 94,2 0 0,4 41 0,-2-66 0,1 1 0,0-1 0,1 0 0,0 0 0,1 0 0,0-1 0,1 0 0,14 23 0,-9-22 26,1 0-1,-1-1 1,2 0 0,0 0 0,1-2 0,0 0-1,0 0 1,1-1 0,1-1 0,27 12 0,-31-15-9,1-1 1,-1-1 0,1 0-1,-1-1 1,1 0 0,0-1 0,0 0-1,0-1 1,0-1 0,1 0 0,-1-1-1,0 0 1,0-1 0,0-1 0,19-5-1,-16 1-472,0-1 0,22-14 0,26-22-6371</inkml:trace>
  <inkml:trace contextRef="#ctx0" brushRef="#br0" timeOffset="247.38">1291 184 24575,'0'5'0,"0"13"0,-10 20 0,-5 20 0,1 16 0,-13 23 0,-3 22 0,-17 7 0,-1-1 0,8-11 0,-1-25 0,7-6 0,15-17 0,26-19 0,13-19-8191</inkml:trace>
  <inkml:trace contextRef="#ctx0" brushRef="#br0" timeOffset="650.79">1806 216 24575,'0'-5'0,"0"0"0,0 1 0,0 0 0,0-1 0,-1 1 0,-1-9 0,2 13 0,-1-1 0,1 1 0,0-1 0,0 1 0,-1-1 0,1 1 0,0-1 0,0 1 0,-1-1 0,1 1 0,-1 0 0,1-1 0,0 1 0,-1-1 0,1 1 0,-1 0 0,1-1 0,-1 1 0,1 0 0,-1 0 0,0-1 0,0 1 0,0 0 0,-1 0 0,1 0 0,0 0 0,0 1 0,0-1 0,0 0 0,0 0 0,0 1 0,0-1 0,0 1 0,0-1 0,0 1 0,0-1 0,0 1 0,0 0 0,-18 14 0,1 0 0,1 1 0,1 0 0,-27 36 0,-53 88 0,85-122 0,-15 23 0,2 0 0,1 2 0,3 1 0,1 0 0,-13 51 0,29-84 0,1 1 0,-1 0 0,2-1 0,0 1 0,0 0 0,1 0 0,2 17 0,-1-23 0,0-1 0,1 1 0,-1 0 0,1-1 0,1 1 0,-1-1 0,1 0 0,0 1 0,0-1 0,0-1 0,1 1 0,-1 0 0,1-1 0,0 0 0,1 0 0,7 6 0,-6-6 0,0-1 0,0 1 0,0-1 0,1 0 0,-1-1 0,1 1 0,-1-1 0,1-1 0,0 1 0,0-1 0,0-1 0,0 1 0,0-1 0,0 0 0,0-1 0,0 1 0,0-1 0,0-1 0,0 1 0,0-1 0,-1-1 0,1 1 0,9-6 0,1-1 0,-1 0 0,-1-1 0,0-1 0,0 0 0,-1-1 0,-1-1 0,0 0 0,11-15 0,-15 18 0,-2-1 0,1 0 0,-2-1 0,1 1 0,-2-1 0,1 0 0,-2-1 0,1 1 0,-2-1 0,4-25 0,-6 32 0,0 1 0,-1 0 0,0-1 0,-1 1 0,1-1 0,-1 1 0,0 0 0,0-1 0,-1 1 0,1 0 0,-1 0 0,0 0 0,-1 0 0,1 0 0,-1 1 0,0-1 0,0 1 0,-1 0 0,1-1 0,-1 1 0,0 1 0,0-1 0,0 1 0,0-1 0,-1 1 0,1 1 0,-1-1 0,0 0 0,-7-2 0,2 2-114,0 0 1,0 1-1,-1 0 0,1 0 0,0 1 1,-1 0-1,1 1 0,-1 0 0,1 1 1,-1 0-1,-11 3 0,-38 13-6712</inkml:trace>
  <inkml:trace contextRef="#ctx0" brushRef="#br0" timeOffset="1238.83">2702 602 24575,'1'-3'0,"-1"0"0,1 0 0,0 1 0,-1-1 0,1 0 0,0 1 0,1-1 0,-1 1 0,0-1 0,1 1 0,2-4 0,7-12 0,-3 0 0,-2-1 0,0 0 0,-1 0 0,-1 0 0,-1-1 0,1-26 0,-5-119 0,1 144 0,-1 1 0,-1 0 0,-1 0 0,-1 0 0,-12-37 0,14 53 0,1 1 0,-1 0 0,1-1 0,-1 1 0,0 0 0,0 0 0,-1 0 0,1 1 0,0-1 0,-1 0 0,0 1 0,1 0 0,-1 0 0,0 0 0,0 0 0,-1 0 0,1 0 0,0 1 0,-1-1 0,1 1 0,0 0 0,-1 0 0,1 0 0,-1 1 0,0-1 0,1 1 0,-1 0 0,1 0 0,-1 0 0,0 1 0,1-1 0,-1 1 0,1 0 0,-6 1 0,-3 3 0,0-1 0,0 2 0,1-1 0,0 2 0,0-1 0,0 2 0,1-1 0,-16 16 0,15-12 0,0 0 0,0 1 0,2 1 0,-1 0 0,1 0 0,1 1 0,-9 20 0,14-27 0,0 1 0,0 0 0,1-1 0,1 1 0,-1 0 0,1 0 0,0 0 0,1 0 0,0 0 0,0 0 0,1 0 0,0 0 0,0 0 0,1 0 0,0 0 0,5 12 0,-3-10 0,1-1 0,1 0 0,0 0 0,0 0 0,1-1 0,0 0 0,0 0 0,9 7 0,74 52 0,-23-19 0,-47-31 0,-2 0 0,0 1 0,-1 1 0,0 0 0,-2 2 0,0 0 0,-2 0 0,0 1 0,15 39 0,-23-48 0,-1 0 0,0 0 0,-1 1 0,-1-1 0,0 1 0,-1 0 0,0 0 0,-2 18 0,0-21 0,-1-1 0,0 1 0,0-1 0,-1 0 0,-1 0 0,0 0 0,0 0 0,-1-1 0,0 0 0,-1 0 0,-12 17 0,10-18 0,0 0 0,0 0 0,-1-1 0,0 0 0,0 0 0,-1-1 0,1 0 0,-1-1 0,-1 0 0,1 0 0,-1-1 0,1-1 0,-1 0 0,0 0 0,-1-1 0,1 0 0,-18-1 0,20 0 0,-1-2 0,1 1 0,0-1 0,0-1 0,0 0 0,0 0 0,0 0 0,0-1 0,0-1 0,1 0 0,0 0 0,0 0 0,0-1 0,0 0 0,1-1 0,-1 0 0,1 0 0,1 0 0,-1-1 0,1 0 0,-9-13 0,9 9 0,-1 0 0,2-1 0,0 0 0,0 0 0,1 0 0,0-1 0,1 1 0,1-1 0,-3-25 0,5 20 0,1 1 0,0 0 0,1 0 0,1 0 0,0 0 0,12-31 0,-5 23 0,1 0 0,1 1 0,1 0 0,2 1 0,0 1 0,1 0 0,1 1 0,1 1 0,32-27 0,-35 34 43,0 2 0,1 0-1,1 1 1,-1 0 0,2 2-1,-1 0 1,31-9 0,-21 10-385,0 1 1,1 1 0,-1 1-1,45 1 1,-8 4-6485</inkml:trace>
  <inkml:trace contextRef="#ctx0" brushRef="#br0" timeOffset="1691.84">3408 120 24575,'0'-10'0,"0"27"0,-1 7 0,-1 0 0,-2 0 0,-7 32 0,-28 74 0,27-90 0,-6 16 0,6-23 0,1 1 0,2 0 0,-8 68 0,17-98 0,-1-1 0,1 1 0,0-1 0,0 1 0,1 0 0,-1-1 0,1 1 0,0-1 0,0 1 0,0-1 0,0 1 0,1-1 0,-1 0 0,1 0 0,0 1 0,4 4 0,-2-5 0,-1 0 0,1 0 0,-1-1 0,1 1 0,0-1 0,0 0 0,0 0 0,0-1 0,0 1 0,0-1 0,1 0 0,-1 0 0,5 1 0,5 0 0,-1-1 0,1-1 0,-1 0 0,1 0 0,-1-1 0,0-1 0,1 0 0,20-7 0,-15 3 0,-1-1 0,-1-1 0,1-1 0,-1 0 0,25-19 0,-21 12 0,-1-1 0,-1-1 0,0-1 0,-1 0 0,-1-2 0,-1 0 0,-1-1 0,0 0 0,10-25 0,-9 12 0,-12 22 0,-10 26 0,-30 75 0,-30 121 0,-10 99 0,76-305 0,-9 36 0,1 0 0,-3 53 0,11-89 0,0 1 0,0-1 0,0 1 0,0-1 0,1 0 0,-1 1 0,1-1 0,0 0 0,0 1 0,0-1 0,0 0 0,0 0 0,1 0 0,0 0 0,-1 0 0,1 0 0,0 0 0,3 3 0,-2-4 0,0-1 0,-1 1 0,1-1 0,0 0 0,0 1 0,0-1 0,0 0 0,0-1 0,0 1 0,0 0 0,0-1 0,0 0 0,0 0 0,0 0 0,0 0 0,0 0 0,0-1 0,0 1 0,0-1 0,5-1 0,2-1-273,0-1 0,0 0 0,-1 0 0,12-8 0,38-27-6553</inkml:trace>
  <inkml:trace contextRef="#ctx0" brushRef="#br0" timeOffset="2017.03">4146 825 24575,'1'-10'0,"0"0"0,1 1 0,0-1 0,5-16 0,0 5 0,0 1 0,-12 45 0,2-15 0,0 0 0,1 1 0,0-1 0,0 1 0,1-1 0,1 1 0,0-1 0,0 1 0,4 20 0,-2-22 0,1-1 0,0 0 0,0 1 0,1-1 0,0 0 0,0 0 0,1-1 0,0 1 0,0-1 0,1 0 0,0-1 0,10 10 0,-2-4 0,1-1 0,0 0 0,1-1 0,1-1 0,-1 0 0,1-1 0,1-1 0,28 8 0,-36-12 0,1 0 0,1-1 0,-1 0 0,0-1 0,0 0 0,1-1 0,-1 0 0,0-1 0,0 0 0,1-1 0,-1 0 0,0 0 0,0-1 0,-1-1 0,15-7 0,-17 7 0,-1-1 0,0 1 0,0-2 0,-1 1 0,0-1 0,0 0 0,0-1 0,-1 1 0,1-1 0,-2 0 0,1 0 0,-1-1 0,0 1 0,0-1 0,-1 0 0,0 0 0,-1 0 0,0-1 0,0 1 0,-1 0 0,0-1 0,0 1 0,-1-1 0,-1-16 0,0 15 0,0-1 0,-1 1 0,-1-1 0,0 1 0,0 0 0,-1 0 0,0 0 0,-1 0 0,0 1 0,0 0 0,-1 0 0,0 0 0,-1 1 0,0 0 0,0 0 0,-1 0 0,0 1 0,0 0 0,-15-8 0,7 6 0,-1 1 0,-1 1 0,0 0 0,1 2 0,-2 0 0,1 1 0,-1 1 0,-29-2 0,26 4 0,0 1 0,0 1 0,0 1 0,0 1 0,0 1 0,0 1 0,-20 7 0,29-7 0,0 0 0,-19 12 0,28-14 0,0-1 0,0 1 0,0 0 0,0 1 0,0-1 0,1 0 0,-1 1 0,1 0 0,0 0 0,-3 5 0,5-7-85,1-1 0,-1 1-1,0 0 1,1-1 0,-1 1-1,1 0 1,0 0 0,-1 0-1,1-1 1,0 1 0,0 0-1,0 0 1,0 0 0,1-1-1,0 4 1,12 20-6741</inkml:trace>
  <inkml:trace contextRef="#ctx0" brushRef="#br0" timeOffset="2328.75">5011 153 24575,'1'-6'0,"-1"0"0,0 0 0,1 0 0,0 0 0,1 0 0,-1 0 0,1 0 0,0 1 0,1-1 0,-1 1 0,1 0 0,0-1 0,1 1 0,-1 1 0,1-1 0,0 0 0,0 1 0,0 0 0,1 0 0,-1 0 0,1 0 0,0 1 0,0 0 0,11-5 0,-6 3 0,1 1 0,0 1 0,0-1 0,1 2 0,-1 0 0,1 0 0,-1 1 0,1 0 0,-1 1 0,1 0 0,0 1 0,14 3 0,-7 0 0,-1 1 0,0 1 0,0 0 0,-1 2 0,0 0 0,0 1 0,16 11 0,-9-3 0,-2 1 0,1 0 0,-2 2 0,20 23 0,-5 3 0,-2 0 0,-2 2 0,-2 2 0,25 54 0,-31-53-129,-3 1 0,-2 1 0,19 80 0,-30-90 43,-1 0 0,-3 1 1,-1-1-1,-2 1 0,-5 45 0,-1-44 86,-2-1 0,-2 0 0,-2-1 0,-1 0 0,-3-1 0,-1 0 0,-3-1 0,-1-1 0,-1-1 0,-3-1 0,-1-1 0,-1-1 0,-2-1 0,-2-2 0,-1-1 0,-2-1 0,0-2 0,-52 34 0,64-49 26,-1-1 0,-1-1 0,-42 16 0,53-24-156,0 0 1,1-1-1,-1-1 0,-1 0 0,1-1 0,0 0 1,0-1-1,0 0 0,-21-4 0,-23-12-5836</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56.529"/>
    </inkml:context>
    <inkml:brush xml:id="br0">
      <inkml:brushProperty name="width" value="0.05" units="cm"/>
      <inkml:brushProperty name="height" value="0.05" units="cm"/>
      <inkml:brushProperty name="color" value="#004F8B"/>
    </inkml:brush>
  </inkml:definitions>
  <inkml:trace contextRef="#ctx0" brushRef="#br0">1 235 24575,'0'2'0,"0"-1"0,0 1 0,0-1 0,0 1 0,1 0 0,-1-1 0,1 1 0,-1-1 0,1 1 0,-1-1 0,1 1 0,0-1 0,0 0 0,0 1 0,0-1 0,0 0 0,0 1 0,0-1 0,0 0 0,1 0 0,-1 0 0,0 0 0,3 1 0,2 1 0,0-1 0,0 0 0,0 0 0,0 0 0,10 1 0,68 6 0,1-3 0,96-5 0,-83-1 0,1873-3-4050,-1894 2 4050,-56-2-45,-21 3 48,0 0 0,0 0-1,0 0 1,0 0 0,0 0-1,1 0 1,-1 0 0,0-1-1,0 1 1,0 0 0,0 0 0,0 0-1,0 0 1,0 0 0,0 0-1,0 0 1,1-1 0,-1 1-1,0 0 1,0 0 0,0 0-1,0 0 1,0 0 0,0 0 0,0-1-1,0 1 1,0 0 0,0 0-1,0 0 1,0 0 0,0 0-1,0-1 1,0 1 0,0 0-1,0 0 1,0 0 0,0 0 0,-1 0-1,1 0 1,0-1 0,0 1-1,0 0 1,0 0 0,0 0-1,0 0 1,0 0 0,0 0-1,0 0 1,-1 0 0,1-1 0,0 1-1,0 0 1,0 0 0,-30-14 658,18 9-313,-16-9 61,2 0 0,0-2 0,-36-29 1,-63-64 893,121 105-1303,-1 0 0,1-1 0,1 1 0,-1-1 0,1 1 0,-4-8 0,6 11 0,1 0 0,-1 0 0,1 0 0,0 1 0,0-1 0,0 0 0,-1 0 0,1 0 0,0 0 0,0 0 0,0 0 0,0 1 0,0-1 0,1 0 0,-1 0 0,0 0 0,0 0 0,1-1 0,0 1 0,0 0 0,0 0 0,-1 0 0,1 0 0,0 1 0,0-1 0,0 0 0,0 0 0,0 1 0,1-1 0,-1 1 0,0-1 0,0 1 0,0-1 0,0 1 0,1 0 0,1-1 0,3 1 0,1 0 0,-1 0 0,0 0 0,0 0 0,1 1 0,-1 0 0,0 0 0,0 1 0,0 0 0,0 0 0,0 0 0,-1 1 0,1 0 0,-1 0 0,8 5 0,1 1 0,-1 1 0,0 1 0,-1 0 0,21 23 0,-21-19 0,-1 0 0,-1 0 0,0 1 0,-1 1 0,11 28 0,-17-36 0,0 0 0,0 1 0,-1-1 0,0 1 0,0-1 0,-2 1 0,1 0 0,-1-1 0,0 1 0,-1 0 0,0-1 0,-5 19 0,-2-9-227,-1-1-1,-1 0 1,-1-1-1,0 1 1,-15 15-1,-12 13-6598</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4:51.728"/>
    </inkml:context>
    <inkml:brush xml:id="br0">
      <inkml:brushProperty name="width" value="0.05" units="cm"/>
      <inkml:brushProperty name="height" value="0.05" units="cm"/>
      <inkml:brushProperty name="color" value="#004F8B"/>
    </inkml:brush>
  </inkml:definitions>
  <inkml:trace contextRef="#ctx0" brushRef="#br0">2658 4213 24575,'-19'636'0,"14"-554"0,2-28 0,-14 81 0,-5-10 0,6 0 0,-1 207 0,19-9 0,-4-292 0,-2 0 0,0-1 0,-3 0 0,0 0 0,-14 35 0,8-23 0,-14 70 0,18-34 0,-7 38 0,-5 7 0,-9 221 0,29 129 0,4-221 0,-4 195 0,4-392 0,2-1 0,16 68 0,1 19 0,11 91 0,9 100 0,-41-309 0,9 78 0,-8-91 0,0 0 0,1 0 0,0 0 0,0 0 0,1-1 0,1 0 0,5 11 0,-9-19 12,0 1 1,-1-1-1,1 0 0,0 1 0,0-1 0,0 0 1,0 0-1,0 0 0,0 0 0,0 0 0,1 0 1,-1 0-1,0 0 0,1-1 0,-1 1 0,0 0 0,1-1 1,-1 1-1,1-1 0,-1 1 0,1-1 0,-1 0 1,1 0-1,-1 0 0,1 0 0,-1 0 0,2 0 1,1-1-203,0 0 0,0-1 1,0 0-1,0 0 0,-1 0 1,1 0-1,-1 0 1,5-5-1,39-36-6636</inkml:trace>
  <inkml:trace contextRef="#ctx0" brushRef="#br0" timeOffset="1528.99">8111 4020 24575,'1'160'0,"-4"204"0,-22-130 0,2-40 0,-7 124 0,-25-3 0,-31 121 0,65-304 0,-1 3 0,-7 188 0,31 37 0,0-106 0,-6-191 0,-2 0 0,-16 70 0,-9 83 0,29-25 0,4-119 0,-15 138 0,-11-56 0,-6 231 0,32-229 0,-4 115 0,-3-233 0,-15 65 0,8-47 0,-27 79 0,26-99 0,2 0 0,2 1 0,-5 44 0,10-19 0,3-35 0,-1 0 0,-10 45 0,12-72 1,-10 28 339,10-28-368,0 1 1,0-1-1,0 0 0,0 1 0,0-1 0,0 0 0,0 1 0,0-1 0,-1 0 0,1 1 0,0-1 0,0 0 0,0 1 0,-1-1 0,1 0 0,0 0 0,0 1 0,-1-1 0,1 0 0,0 0 0,-1 1 0,1-1 0,0 0 0,-1 0 0,1 0 0,0 0 0,-1 0 0,1 1 0,0-1 0,-1 0 0,1 0 0,0 0 0,-1 0 0,1 0 0,0 0 0,-1 0 0,1 0 0,-1 0 0,1 0 0,0 0 0,-1-1 0,1 1 0,0 0 1,-1 0-1,1 0 0,0 0 0,-1 0 0,1-1 0,0 1 0,-1 0 0,1 0 0,0-1 0,0 1 0,-1 0 0,1 0 0,0-1 0,0 1 0,0 0 0,-1-1 0,1 1 0,-11-25-6798</inkml:trace>
  <inkml:trace contextRef="#ctx0" brushRef="#br0" timeOffset="5266.34">11189 9761 24575,'-5'-6'0,"1"0"0,-1 0 0,1 0 0,1 0 0,-1-1 0,1 1 0,0-1 0,-2-11 0,3 14 0,-4-11 0,7 27 0,15 48 0,42 102 0,-6-21 0,-42-109 0,0 1 0,20 44 0,-29-74 0,1 0 0,0 0 0,0 0 0,0 1 0,0-2 0,0 1 0,4 3 0,-5-5 0,0-1 0,0 1 0,0 0 0,0-1 0,0 1 0,0 0 0,0-1 0,0 1 0,0-1 0,0 0 0,0 1 0,0-1 0,1 0 0,-1 0 0,0 0 0,2 0 0,0 0 0,-1-1 0,0 0 0,0 0 0,1-1 0,-1 1 0,0 0 0,0-1 0,0 1 0,0-1 0,-1 0 0,1 1 0,0-1 0,-1 0 0,1 0 0,-1 0 0,0 0 0,1-1 0,-1 1 0,0 0 0,0 0 0,0-3 0,14-34 0,13-54 0,-18 57 0,20-85 0,25-76 0,-50 183 0,1 1 0,9-17 0,-14 28 0,0 1 0,0-1 0,0 1 0,0 0 0,0 0 0,0-1 0,0 1 0,0 0 0,0 0 0,1 0 0,-1 0 0,2-1 0,-2 2 0,0 0 0,-1 0 0,1 0 0,0 0 0,-1-1 0,1 1 0,0 0 0,-1 0 0,1 0 0,0 0 0,-1 0 0,1 1 0,0-1 0,0 0 0,-1 0 0,1 0 0,-1 1 0,1-1 0,0 0 0,0 1 0,2 2 0,1 0 0,-1 0 0,0 1 0,0-1 0,-1 1 0,1-1 0,2 6 0,-2-4 0,22 40-1365,-2 4-5461</inkml:trace>
  <inkml:trace contextRef="#ctx0" brushRef="#br0" timeOffset="5624.68">11991 9922 24575,'-2'0'0,"0"1"0,1-1 0,-1 0 0,1 1 0,-1-1 0,1 1 0,-1-1 0,1 1 0,-1 0 0,1 0 0,-1 0 0,1 0 0,0 0 0,-1 0 0,1 0 0,-1 1 0,1-1 0,1-1 0,-1 1 0,1 0 0,-1-1 0,1 1 0,0-1 0,-1 1 0,1 0 0,0-1 0,0 1 0,-1 0 0,1-1 0,0 1 0,0 0 0,0-1 0,0 1 0,0 0 0,0-1 0,0 1 0,0 0 0,0 0 0,0-1 0,0 1 0,0 0 0,1-1 0,-1 1 0,0 0 0,0-1 0,1 1 0,-1 0 0,0-1 0,1 1 0,-1-1 0,1 1 0,-1-1 0,1 1 0,-1-1 0,1 1 0,0 0 0,2 1 0,1 0 0,-1-1 0,0 1 0,1-1 0,-1 1 0,1-1 0,-1 0 0,1-1 0,-1 1 0,1-1 0,0 1 0,-1-1 0,1 0 0,0 0 0,-1-1 0,1 1 0,0-1 0,-1 0 0,1 1 0,-1-2 0,1 1 0,-1 0 0,1-1 0,-1 0 0,0 1 0,0-1 0,0 0 0,0-1 0,0 1 0,3-4 0,-2 0 0,0 1 0,-1-1 0,0 1 0,0-1 0,-1 0 0,1 0 0,-1 0 0,0 0 0,-1-1 0,0 1 0,0 0 0,0-1 0,-1 1 0,1-1 0,-2 1 0,1-1 0,-1 1 0,-2-12 0,1 13 0,1 0 0,-1 0 0,0 0 0,-1 0 0,1 0 0,-1 0 0,0 1 0,0 0 0,0-1 0,-1 1 0,1 0 0,-1 1 0,0-1 0,0 1 0,-1-1 0,1 1 0,-1 0 0,1 1 0,-1-1 0,0 1 0,0 0 0,0 0 0,-7-1 0,6 2 0,-1-1 0,0 2 0,0-1 0,0 1 0,1 0 0,-1 0 0,0 1 0,0 0 0,0 0 0,1 1 0,-1 0 0,-7 3 0,5-1 0,-1 0 0,1 1 0,0 1 0,1-1 0,-1 1 0,1 1 0,-12 12 0,12-10 0,-1 1 0,1 0 0,1 0 0,-1 1 0,2-1 0,0 2 0,0-1 0,1 1 0,0 0 0,1 0 0,1 0 0,-1 1 0,-1 18 0,5-24 0,0 0 0,0 1 0,0-1 0,1 0 0,0 0 0,1 0 0,0 0 0,0 0 0,0-1 0,1 1 0,0 0 0,0-1 0,7 11 0,-4-10 0,0 1 0,0-1 0,1 0 0,0-1 0,1 0 0,-1 0 0,1 0 0,1-1 0,10 5 0,-1-1 0,1-2 0,-1-1 0,1 0 0,1-1 0,-1-1 0,1-1 0,0-1 0,-1-1 0,28-1 0,-35-1-124,1-1 0,-1-1 0,1 0 0,-1 0 0,0-1 0,0-1-1,0 0 1,-1-1 0,0 0 0,14-10 0,47-35-6702</inkml:trace>
  <inkml:trace contextRef="#ctx0" brushRef="#br0" timeOffset="5891.78">12472 9664 24575,'13'0'0,"-1"1"0,0 0 0,0 1 0,0 0 0,0 1 0,-1 0 0,1 1 0,-1 0 0,0 1 0,0 0 0,12 8 0,-11-5 0,0 1 0,-1 0 0,0 1 0,-1 1 0,0-1 0,0 2 0,-1-1 0,14 24 0,-17-24 0,0 0 0,-1 0 0,0 0 0,-1 1 0,4 15 0,-7-22 0,0 1 0,0-1 0,0 1 0,-1-1 0,0 1 0,0-1 0,0 1 0,-1-1 0,0 0 0,0 1 0,0-1 0,-1 0 0,1 1 0,-4 4 0,4-8 0,1-1 0,-1 1 0,-1 0 0,1-1 0,0 1 0,0-1 0,0 1 0,-1-1 0,1 0 0,-1 1 0,-2 1 0,3-3 0,0 0 0,0 1 0,1-1 0,-1 0 0,0 1 0,0-1 0,0 0 0,0 0 0,0 0 0,0 0 0,0 0 0,1 0 0,-1 0 0,0 0 0,0 0 0,0-1 0,0 1 0,-1-1 0,0 0 0,-1 0 0,1-1 0,0 1 0,0-1 0,1 0 0,-1 0 0,0 0 0,0 0 0,1 0 0,-1 0 0,1 0 0,0 0 0,0-1 0,0 1 0,0 0 0,-1-4 0,-1-4 0,0-1 0,0 1 0,1-1 0,1 0 0,0 0 0,1 0 0,-1 1 0,2-1 0,0 0 0,0 0 0,1 0 0,0 1 0,1-1 0,0 1 0,1 0 0,0 0 0,1 0 0,0 0 0,10-15 0,1 5 0,0 0 0,1 1 0,1 0 0,1 2 0,0 0 0,1 1 0,28-16 0,22-13-1365,-14 9-5461</inkml:trace>
  <inkml:trace contextRef="#ctx0" brushRef="#br0" timeOffset="6345.18">13402 9217 24575,'-1'-6'0,"0"0"0,0 1 0,0-1 0,0 1 0,-4-10 0,2 9 0,-3-5 0,1 19 0,1 29 0,-2 550 0,8-364 0,-2-217 0,1 17 0,-1 0 0,-2 0 0,0 0 0,-6 26 0,-3-26 0,11-23 0,0 0 0,0 1 0,-1-1 0,1 0 0,0 1 0,0-1 0,-1 0 0,1 0 0,0 1 0,-1-1 0,1 0 0,0 0 0,-1 0 0,1 1 0,-1-1 0,1 0 0,0 0 0,-1 0 0,1 0 0,-1 0 0,1 0 0,0 0 0,-1 0 0,1 0 0,-1 0 0,1 0 0,-1 0 0,1 0 0,-2-1 0,0-1 0,1 1 0,0-1 0,-1 1 0,1-1 0,0 0 0,0 0 0,0 1 0,0-1 0,0 0 0,0 0 0,0 0 0,1 0 0,-1 0 0,1 0 0,-1-4 0,-5-25 0,1 0 0,1 0 0,2-35 0,2 47 0,1 1 0,0-1 0,2 1 0,0 0 0,1 0 0,12-32 0,-14 45 0,1-1 0,0 0 0,0 1 0,0 0 0,0 0 0,1 0 0,0 0 0,0 0 0,0 1 0,1 0 0,0 0 0,-1 0 0,1 0 0,1 1 0,-1 0 0,0 0 0,1 0 0,0 1 0,-1-1 0,1 1 0,0 1 0,0-1 0,0 1 0,0 0 0,1 1 0,-1-1 0,0 1 0,0 0 0,12 2 0,-6 0 0,-1 1 0,1 0 0,-1 0 0,0 1 0,0 1 0,0 0 0,-1 0 0,1 1 0,-1 0 0,-1 1 0,1 0 0,-1 1 0,0 0 0,13 16 0,-12-10-76,-1 0 1,0 1-1,-1 0 0,-1 1 0,-1 0 0,0 0 0,-1 0 0,0 0 1,-2 1-1,0 0 0,-1 0 0,0 0 0,-1 0 0,-2 0 1,1 0-1,-2 0 0,-5 26 0,-2-15-6750</inkml:trace>
  <inkml:trace contextRef="#ctx0" brushRef="#br0" timeOffset="6466.26">13787 9408 24575,'0'0'0,"6"5"0</inkml:trace>
  <inkml:trace contextRef="#ctx0" brushRef="#br0" timeOffset="7175.38">14269 9761 24575,'-1'-4'0,"-1"1"0,1 0 0,-1 0 0,1 0 0,-1 0 0,0 0 0,0 0 0,0 0 0,-1 0 0,1 1 0,-1-1 0,1 1 0,-1 0 0,0 0 0,0 0 0,0 0 0,0 1 0,0-1 0,0 1 0,0-1 0,-1 1 0,1 0 0,0 0 0,-1 1 0,1-1 0,-1 1 0,1 0 0,-1 0 0,-3 0 0,-2 0 0,0 2 0,0-1 0,0 1 0,0 0 0,1 0 0,-1 1 0,1 1 0,-1-1 0,1 1 0,-9 7 0,7-4 0,0 1 0,1 0 0,0 0 0,0 1 0,1 1 0,0-1 0,1 1 0,0 0 0,1 1 0,-6 12 0,4-5 0,0 0 0,2 0 0,0 1 0,1 0 0,-4 32 0,9-42 0,-1 0 0,1 0 0,1 0 0,0 1 0,0-1 0,1 0 0,0-1 0,0 1 0,1 0 0,0 0 0,1-1 0,0 0 0,0 0 0,1 0 0,0 0 0,0-1 0,1 0 0,0 0 0,0 0 0,1-1 0,10 9 0,4 1 0,0-2 0,1 0 0,0-1 0,1-1 0,1-2 0,33 12 0,-23-11 0,0-1 0,1-2 0,0-2 0,1 0 0,-1-3 0,1-1 0,39-3 0,-55 0 0,-1-2 0,0 0 0,1-2 0,-2 0 0,1-1 0,21-10 0,-27 10 0,0-1 0,0-1 0,-1 0 0,0-1 0,-1 0 0,0-1 0,0 0 0,-1 0 0,10-13 0,-13 13 0,-1 1 0,1-1 0,-2 0 0,1-1 0,-1 0 0,-1 0 0,0 0 0,-1 0 0,0 0 0,0-1 0,-1 0 0,0-13 0,-2 19 0,0 0 0,0 0 0,-1 0 0,0 0 0,0 1 0,0-1 0,-1 0 0,1 1 0,-1-1 0,-1 1 0,1-1 0,-1 1 0,0 0 0,0 0 0,-1 0 0,1 1 0,-1-1 0,0 1 0,0 0 0,-1 0 0,1 0 0,-1 1 0,0 0 0,0-1 0,0 2 0,-6-4 0,4 3 0,0 0 0,-1 0 0,1 1 0,-1 0 0,1 0 0,-1 0 0,0 1 0,1 1 0,-1-1 0,0 1 0,0 0 0,0 1 0,1 0 0,-1 0 0,0 1 0,1 0 0,-1 0 0,1 1 0,0 0 0,0 0 0,0 1 0,0-1 0,0 2 0,1-1 0,0 1 0,0 0 0,0 0 0,0 0 0,1 1 0,0 0 0,0 0 0,1 1 0,-1-1 0,1 1 0,1 0 0,-1 0 0,1 0 0,1 0 0,-4 13 0,5-15 0,0 0 0,1 0 0,-1 0 0,1-1 0,0 1 0,0 0 0,1 0 0,-1 0 0,1 0 0,0-1 0,1 1 0,-1 0 0,1-1 0,0 1 0,0-1 0,0 1 0,1-1 0,-1 0 0,1 0 0,0 0 0,0 0 0,0-1 0,1 1 0,0-1 0,-1 0 0,1 0 0,0 0 0,0-1 0,1 1 0,-1-1 0,0 0 0,1 0 0,-1-1 0,1 1 0,0-1 0,5 1 0,-2-1 0,0 0 0,1-1 0,-1 0 0,0 0 0,1-1 0,-1 0 0,0 0 0,0-1 0,0 0 0,0 0 0,0-1 0,0 0 0,-1-1 0,1 0 0,-1 0 0,0 0 0,8-7 0,-5 4 0,-6 4 0,-1 0 0,1 0 0,0 1 0,0-1 0,0 1 0,8-2 0,-11 3 0,1 1 0,-1 0 0,1 0 0,-1 0 0,1 0 0,-1 0 0,1 0 0,-1 0 0,1 0 0,-1 1 0,1-1 0,-1 1 0,1-1 0,-1 1 0,0-1 0,1 1 0,-1 0 0,0 0 0,1 0 0,-1 0 0,0 0 0,0 0 0,0 0 0,0 0 0,1 2 0,9 8 0,1 0 0,0 0 0,0-2 0,1 1 0,0-2 0,1 1 0,0-2 0,0 0 0,0-1 0,26 8 0,-11-6 0,1-1 0,0-2 0,0 0 0,49-1 0,-70-3 0,0-2 0,0 1 0,0-1 0,0 0 0,0-1 0,0 0 0,-1 0 0,1-1 0,-1 0 0,0-1 0,0 0 0,0 0 0,0-1 0,0 0 0,-1 0 0,0 0 0,0-1 0,-1 0 0,0-1 0,0 1 0,0-1 0,0-1 0,-1 1 0,-1-1 0,1 1 0,-1-1 0,6-17 0,-3 0 0,0 0 0,-2 0 0,4-46 0,-6-79 0,-3 96 0,-11-424 0,9 451 0,-7-34 0,0 38 0,9 23 0,0-1 0,0 1 0,-1-1 0,1 1 0,0-1 0,-1 1 0,1-1 0,0 1 0,-1-1 0,1 1 0,-1 0 0,1-1 0,-1 1 0,1 0 0,-1-1 0,1 1 0,-1 0 0,1 0 0,-1-1 0,0 1 0,-1 1 0,1-1 0,-1 1 0,1 0 0,0 0 0,-1 0 0,1-1 0,0 2 0,0-1 0,-1 0 0,1 0 0,0 0 0,0 0 0,0 1 0,0-1 0,1 0 0,-1 1 0,0-1 0,0 1 0,1-1 0,-1 4 0,-10 18 0,2 1 0,0 1 0,-5 28 0,-10 81 0,7-33 0,-42 182-336,-9 41-784,25-1-666,37-202-3163</inkml:trace>
  <inkml:trace contextRef="#ctx0" brushRef="#br0" timeOffset="7830.6">12665 11653 24575,'-1'0'0,"-1"0"0,1 0 0,-1 0 0,1 0 0,-1 0 0,1 1 0,-1-1 0,1 0 0,-1 1 0,1-1 0,0 1 0,-1-1 0,1 1 0,0 0 0,-1 0 0,1-1 0,0 1 0,0 0 0,0 0 0,0 0 0,0 0 0,0 0 0,0 1 0,0-1 0,0 0 0,0 0 0,1 1 0,-1-1 0,0 0 0,1 1 0,-1-1 0,1 1 0,0-1 0,-1 1 0,1-1 0,0 0 0,0 1 0,0-1 0,0 1 0,0-1 0,0 1 0,1-1 0,0 3 0,0 2 0,0-1 0,0 1 0,1-1 0,0 0 0,0 1 0,0-1 0,1 0 0,0 0 0,0-1 0,7 9 0,-2-5 0,2 0 0,-1-1 0,1 0 0,0-1 0,0 0 0,1 0 0,0-1 0,0 0 0,0-1 0,0-1 0,24 5 0,-21-6 0,1 0 0,-1 0 0,1-2 0,-1 1 0,1-2 0,-1 0 0,1-1 0,-1-1 0,22-5 0,-26 4 0,0 0 0,1-1 0,-2 0 0,1-1 0,0 0 0,-1 0 0,0-1 0,-1 0 0,1-1 0,7-9 0,-6 5 0,-2 1 0,0-2 0,0 1 0,-1-1 0,0 0 0,8-27 0,-4-1 0,-1 0 0,-3-1 0,-1 0 0,-1-57 0,-2-89 0,-5 154 0,-1 0 0,-2 1 0,-12-50 0,12 68 0,0-1 0,-10-19 0,14 32 0,-1-1 0,0 1 0,1 0 0,-1 0 0,-1 0 0,1 0 0,0 1 0,-1-1 0,1 1 0,-1-1 0,0 1 0,0 0 0,0 0 0,0 0 0,0 0 0,-5-1 0,6 2 0,0 1 0,-1-1 0,1 1 0,0 0 0,0 0 0,-1 0 0,1 0 0,0 1 0,-1-1 0,1 1 0,0-1 0,0 1 0,0 0 0,-1-1 0,1 1 0,0 1 0,0-1 0,0 0 0,0 0 0,1 1 0,-1-1 0,-3 3 0,0 3 0,-1-1 0,1 1 0,0-1 0,0 2 0,-5 10 0,-2 8 0,1 0 0,2 1 0,0 1 0,2-1 0,1 1 0,1 1 0,1-1 0,2 1 0,1-1 0,1 1 0,2 0 0,0-1 0,2 0 0,8 29 0,-7-40 0,1-1 0,1 0 0,1 0 0,0 0 0,1-1 0,1 0 0,0-1 0,1 0 0,0-1 0,1 0 0,1-1 0,0 0 0,0-1 0,17 10 0,-18-13 0,-1 0 0,2-1 0,-1-1 0,1 0 0,0-1 0,0 0 0,0-1 0,1 0 0,0-2 0,-1 1 0,1-1 0,0-1 0,0-1 0,0 0 0,0-1 0,0 0 0,26-6 0,-31 4 0,1 0 0,-1-1 0,0 0 0,0-1 0,-1 0 0,1 0 0,-1-1 0,0 0 0,-1 0 0,8-9 0,-5 5 0,-1-1 0,0-1 0,-1 0 0,-1 0 0,0 0 0,7-18 0,-2-1 0,-2-1 0,-1 0 0,-2-1 0,-1 0 0,2-34 0,-6 25 0,-3 37 0,-1 25 0,-3 137 342,5-132-684,2 0 1,1 0 0,1 0-1,8 30 1,2-17-6485</inkml:trace>
  <inkml:trace contextRef="#ctx0" brushRef="#br0" timeOffset="7969.32">13787 10851 24575,'16'6'0,"23"12"0,3 4-8191</inkml:trace>
  <inkml:trace contextRef="#ctx0" brushRef="#br0" timeOffset="8343.04">14140 11364 24575,'2'0'0,"1"0"0,0 0 0,-1 0 0,1 1 0,0-1 0,-1 1 0,1-1 0,-1 1 0,1 0 0,-1 0 0,1 0 0,-1 0 0,1 1 0,-1-1 0,0 1 0,0-1 0,0 1 0,0 0 0,3 3 0,-3-2 0,0 0 0,0 0 0,-1 0 0,1 0 0,-1 1 0,0-1 0,0 1 0,0-1 0,0 1 0,-1-1 0,1 1 0,-1 6 0,0-2 0,-1 1 0,0-1 0,0 0 0,-1 0 0,1 0 0,-2 0 0,1-1 0,-1 1 0,-1 0 0,1-1 0,-9 12 0,3-12 0,5-13 0,4-22 0,6 2 0,0 0 0,1 0 0,2 1 0,0 0 0,2 1 0,1 0 0,29-44 0,-34 58 0,0 0 0,0 1 0,1 0 0,1 0 0,0 1 0,0 0 0,0 1 0,1 0 0,0 0 0,11-5 0,-16 10 0,-1 0 0,1 0 0,-1 1 0,1-1 0,0 1 0,-1 0 0,1 0 0,0 1 0,0-1 0,0 1 0,0 0 0,0 1 0,-1-1 0,1 1 0,0 0 0,0 0 0,-1 0 0,1 1 0,0 0 0,-1-1 0,0 2 0,1-1 0,-1 0 0,0 1 0,0 0 0,0 0 0,3 4 0,0 0 31,-1 0 0,0 0 0,-1 1 0,0-1 0,0 1 0,-1 0 0,0 1 0,0-1 1,-1 1-1,4 14 0,-3-9-275,-2 0 0,0 0 0,0 1 0,-1-1 1,-1 1-1,-2 14 0,-4 14-6582</inkml:trace>
  <inkml:trace contextRef="#ctx0" brushRef="#br0" timeOffset="8696.24">14782 11237 24575,'0'1'0,"0"-1"0,0 1 0,0 0 0,1-1 0,-1 1 0,0 0 0,1-1 0,-1 1 0,1-1 0,-1 1 0,1 0 0,-1-1 0,1 1 0,-1-1 0,1 1 0,-1-1 0,1 0 0,-1 1 0,1-1 0,0 0 0,-1 1 0,1-1 0,0 0 0,-1 0 0,1 1 0,1-1 0,24 5 0,-21-4 0,8 1 0,0-1 0,1 0 0,-1-1 0,1 0 0,-1-1 0,1-1 0,-1 0 0,24-7 0,-30 6 0,0 0 0,0 0 0,0 0 0,-1-1 0,1 0 0,-1 0 0,0-1 0,0 0 0,-1 0 0,1 0 0,-1 0 0,0-1 0,0 0 0,-1 0 0,0-1 0,0 1 0,5-12 0,-7 11 0,1-1 0,-1 1 0,0-1 0,-1 1 0,0-1 0,0 0 0,-1 0 0,0 0 0,0 1 0,-1-1 0,0 0 0,0 0 0,0 1 0,-1-1 0,-1 1 0,1-1 0,-5-8 0,4 11 0,1 1 0,0 0 0,-1 0 0,0 0 0,0 0 0,0 0 0,0 1 0,-1-1 0,1 1 0,-1 0 0,0 0 0,0 0 0,0 1 0,0-1 0,-1 1 0,1 0 0,0 0 0,-1 0 0,0 1 0,1 0 0,-1 0 0,0 0 0,0 0 0,0 1 0,1 0 0,-1 0 0,0 0 0,-9 2 0,4 0 0,1 1 0,1 0 0,-1 1 0,0 0 0,1 0 0,0 1 0,0 0 0,0 0 0,0 1 0,1 0 0,0 0 0,1 1 0,-1 0 0,1 0 0,0 1 0,-5 9 0,3-6 0,1 1 0,1 0 0,0 1 0,0-1 0,2 1 0,-1 0 0,2 0 0,-1 1 0,2-1 0,-2 26 0,4-34 0,0 1 0,0 0 0,1 0 0,0 0 0,0 0 0,0-1 0,1 1 0,0-1 0,0 1 0,0-1 0,1 0 0,0 1 0,0-1 0,4 5 0,-2-4 0,0-1 0,1 0 0,0 0 0,-1 0 0,2-1 0,-1 0 0,0 0 0,1-1 0,12 6 0,7-1 0,1-1 0,0-2 0,0 0 0,51 1 0,255-4 0,-317-2-170,-1-1-1,0-1 0,0 0 1,0-1-1,0-1 0,0 0 1,17-8-1,6-11-6655</inkml:trace>
  <inkml:trace contextRef="#ctx0" brushRef="#br0" timeOffset="9850.58">1503 5720 24575,'3'0'0,"0"1"0,-1-1 0,1 0 0,0 1 0,0-1 0,-1 1 0,1 0 0,-1 0 0,1 0 0,-1 0 0,4 2 0,11 5 0,19 5 0,1-2 0,0-1 0,69 8 0,126-1 0,-1-9-354,64-4-1064,76 0 342,76 11-1808,68 8 2163,653 47-53,566 52-3437,-1255-87 2858,-83-8 1014,-91-11 339,-286-15-8,285 9 381,-225-11 19,134-21 0,66-18 5910,-206 33-3462,131 6-1,-230 2-4204,-5-1-5461</inkml:trace>
  <inkml:trace contextRef="#ctx0" brushRef="#br0" timeOffset="10690.17">1087 7355 24575,'-2'0'0,"1"0"0,-1 0 0,1 0 0,0 0 0,-1 1 0,1-1 0,-1 0 0,1 1 0,0-1 0,-1 1 0,1 0 0,0-1 0,-1 1 0,1 0 0,0 0 0,0 0 0,0 0 0,0 0 0,0 0 0,0 0 0,0 0 0,0 0 0,0 0 0,0 0 0,0 1 0,1-1 0,-1 0 0,1 1 0,-1-1 0,1 0 0,-1 1 0,1-1 0,0 1 0,0-1 0,0 1 0,0-1 0,0 3 0,0-2 0,0 1 0,0 0 0,0 0 0,1 0 0,0 0 0,-1-1 0,1 1 0,0 0 0,0-1 0,0 1 0,1 0 0,-1-1 0,1 0 0,-1 1 0,1-1 0,0 0 0,0 0 0,0 0 0,3 2 0,5 2 0,0-1 0,1-1 0,0 0 0,-1-1 0,1 0 0,1 0 0,-1-1 0,21 1 0,337 10-39,-268-14-251,179 1-1026,63-1 465,4547-3-5171,-3505 4 5306,-448-31 1389,-296 5 65,-223 18-581,-274 7-682</inkml:trace>
  <inkml:trace contextRef="#ctx0" brushRef="#br0" timeOffset="11993.67">8880 6137 24575,'0'-5'0,"0"-14"0,27-18 0,42-21 0,47-27 0,54-21 0,46-25-2222,36-23 2222,24-18-1852,14-13 1852,-15 4 0,-37 21 0,-66 39 0,-61 39-4117</inkml:trace>
  <inkml:trace contextRef="#ctx0" brushRef="#br0" timeOffset="13397.97">11445 3091 24575,'0'-33'0,"0"52"0,0 46 0,4 69 0,7 0 0,5-1 0,5-1 0,66 217 0,-65-277 0,-17-50 0,-8-12 0,1-11 0,1 1 0,-1-1 0,0 1 0,0-1 0,0 0 0,0 0 0,1 1 0,-1-1 0,0 0 0,1-1 0,-1 1 0,1 0 0,-1 0 0,1-1 0,-2-1 0,-26-25 0,2-1 0,0-1 0,-24-38 0,5 7 0,10 18 0,-37-51 0,71 91 0,-1-1 0,1 0 0,0 0 0,0 0 0,0 0 0,-2-7 0,4 10 0,0 0 0,0 0 0,0 0 0,0 0 0,0 0 0,0 0 0,0 0 0,0 0 0,1 0 0,-1 0 0,0 0 0,0 0 0,1 0 0,-1 0 0,1 0 0,-1 0 0,1 0 0,-1 0 0,1 1 0,0-1 0,-1 0 0,1 0 0,0 1 0,0-1 0,-1 0 0,1 1 0,0-1 0,0 1 0,0-1 0,0 1 0,0-1 0,1 0 0,11-2 0,0-1 0,-1 2 0,1 0 0,0 0 0,25 1 0,-3 0 0,-3 0 0,0-2 0,0-1 0,0-2 0,46-14 0,-68 16 0,0 0 0,0 0 0,0-1 0,-1 0 0,0-1 0,0 0 0,-1-1 0,1 1 0,-1-2 0,-1 1 0,1-1 0,-1 0 0,-1-1 0,0 1 0,0-1 0,0-1 0,6-16 0,-5 7 0,-1 0 0,0-1 0,-2 1 0,0-1 0,1-35 0,-6-104 0,0 126 0,0-15 0,0 8 0,-8-65 0,5 146 0,2 20 0,-1 34 0,10 102 0,-5-179 0,2 0 0,0-1 0,0 1 0,2-1 0,0 0 0,1 0 0,1-1 0,1 0 0,20 29 0,-23-36 0,1-1 0,0-1 0,1 1 0,0-1 0,0 0 0,0-1 0,1 0 0,10 6 0,-12-9 0,0 0 0,0 0 0,0-1 0,0 0 0,0 0 0,1-1 0,-1 0 0,0 0 0,1-1 0,-1 1 0,1-2 0,10 0 0,-11-1 0,0 0 0,0 0 0,0 0 0,0-1 0,0 0 0,-1 0 0,1-1 0,-1 1 0,0-2 0,0 1 0,0-1 0,-1 1 0,1-2 0,-1 1 0,0 0 0,-1-1 0,1 0 0,-1 0 0,-1-1 0,1 1 0,3-10 0,0-1 0,0-1 0,-1 0 0,-1-1 0,-1 1 0,-1-1 0,2-38 0,-4 60 0,-1 0 0,1 1 0,0-1 0,-1 0 0,2 1 0,-1-1 0,0 0 0,1 0 0,-1 0 0,4 4 0,24 31 0,-16-24 0,0-1 0,2 0 0,-1-1 0,1-1 0,1 0 0,0-1 0,1-1 0,0 0 0,24 8 0,-35-15 0,0 0 0,1 0 0,-1-1 0,1 1 0,-1-1 0,1-1 0,0 1 0,0-1 0,9-1 0,-13 0 0,1 0 0,-1 0 0,0 0 0,1 0 0,-1-1 0,0 1 0,0-1 0,0 0 0,0 1 0,0-2 0,-1 1 0,1 0 0,0 0 0,-1-1 0,0 0 0,1 1 0,-1-1 0,0 0 0,2-5 0,0-1 0,0-1 0,0 0 0,-1 0 0,0-1 0,-1 1 0,0 0 0,-1-1 0,0 0 0,0 1 0,-1-1 0,-1 1 0,0-1 0,0 1 0,-1-1 0,0 1 0,-1-1 0,0 1 0,-8-17 0,6 16 0,0 0 0,-1 0 0,0 1 0,-1-1 0,0 1 0,-1 1 0,0-1 0,0 1 0,-1 1 0,0-1 0,0 2 0,-1-1 0,0 1 0,-1 1 0,-17-9 0,22 13 0,0 0 0,0 1 0,0-1 0,0 2 0,0-1 0,-1 0 0,1 1 0,0 1 0,0-1 0,0 1 0,0 0 0,0 0 0,0 0 0,0 1 0,0 0 0,0 0 0,0 1 0,1 0 0,0 0 0,-1 0 0,1 0 0,0 1 0,0 0 0,-5 5 0,-2 3 0,0 1 0,0 0 0,2 1 0,-1 0 0,2 1 0,0 0 0,-9 21 0,11-20 0,0 1 0,1 1 0,2-1 0,-1 1 0,2 0 0,-2 22 0,5-31 0,0 0 0,0 0 0,1 0 0,0 0 0,1 0 0,3 11 0,-4-15 0,1-1 0,0 1 0,0-1 0,1 1 0,-1-1 0,1 0 0,0 0 0,0 0 0,0-1 0,0 1 0,1-1 0,4 4 0,-5-5 0,-1 0 0,1 0 0,0-1 0,0 1 0,0-1 0,0 0 0,0 0 0,0 0 0,0 0 0,0 0 0,1-1 0,-1 1 0,0-1 0,0 0 0,1 0 0,-1 0 0,0-1 0,0 1 0,0-1 0,1 0 0,-1 1 0,0-1 0,0-1 0,0 1 0,0 0 0,-1-1 0,1 0 0,0 1 0,0-1 0,-1 0 0,4-3 0,3-4 0,1-1 0,-2 1 0,1-2 0,-1 1 0,-1-1 0,10-18 0,12-31 0,33-98 0,-5 10 0,-50 132 0,0 1 0,1 0 0,1 1 0,1 0 0,0 0 0,1 1 0,0 0 0,16-14 0,-23 24 0,0-1 0,0 1 0,1 0 0,-1 0 0,1 0 0,-1 0 0,1 1 0,0 0 0,0 0 0,0 0 0,0 0 0,1 1 0,-1 0 0,0 0 0,0 1 0,1-1 0,-1 1 0,0 0 0,1 1 0,-1-1 0,0 1 0,1 0 0,-1 0 0,0 1 0,0-1 0,0 1 0,0 0 0,0 1 0,-1-1 0,9 6 0,3 4 0,-1 0 0,0 1 0,-1 1 0,0 0 0,-1 1 0,-1 0 0,20 32 0,-19-25 0,-1 0 0,-1 1 0,-1 0 0,-1 0 0,9 43 0,-10-22 0,-8-40 0,0-1 0,0 0 0,0 0 0,0 0 0,0 0 0,-1 1 0,1-1 0,-1 0 0,0 0 0,-1 4 0,-2-5 0,0-8 0,0-5 0,0 0 0,1 0 0,1 0 0,-3-23 0,2-51 0,2 62 0,1-3 0,1 1 0,0 0 0,2 0 0,1 0 0,10-33 0,-9 41 0,2 0 0,0 0 0,1 0 0,0 1 0,1 0 0,1 1 0,1 0 0,15-16 0,0 5 0,1 2 0,44-32 0,-46 39 0,0-2 0,-2-1 0,41-45 0,-41 36 0,-23 29 0,0 0 0,0 0 0,0-1 0,0 1 0,0 0 0,0 0 0,0 0 0,0 0 0,0 0 0,0 0 0,0 0 0,0-1 0,1 1 0,-1 0 0,0 0 0,0 0 0,0 0 0,0 0 0,0 0 0,0 0 0,0 0 0,0 0 0,1 0 0,-1 0 0,0 0 0,0 0 0,0 0 0,0 0 0,0 0 0,0-1 0,1 1 0,-1 0 0,0 0 0,0 1 0,0-1 0,0 0 0,0 0 0,0 0 0,1 0 0,-1 0 0,0 0 0,0 0 0,0 0 0,0 0 0,0 0 0,0 0 0,0 0 0,1 0 0,-1 0 0,1 10 0,-2 22 0,0-18 0,2 11 69,1 0-1,1 0 0,1 0 0,12 38 1,-3-21-923,34 70 1,-18-52-5973</inkml:trace>
  <inkml:trace contextRef="#ctx0" brushRef="#br0" timeOffset="13538.57">13209 2224 24575,'-11'0'0,"2"0"0,14 6 0,16 1 0,16 11 0,2 2-8191</inkml:trace>
  <inkml:trace contextRef="#ctx0" brushRef="#br0" timeOffset="14593.64">13594 2642 24575,'84'-13'0,"-29"8"0,-22 2 0,0-1 0,-1-1 0,32-10 0,-55 13 0,-1-1 0,1-1 0,-1 1 0,0-1 0,0-1 0,0 1 0,-1-1 0,0-1 0,0 0 0,0 0 0,0 0 0,-1 0 0,0-1 0,-1 0 0,9-13 0,-4-5 0,-3 9 0,-8 35 0,-33 160 0,14-90 0,-23 98 0,32-147 0,-2 0 0,-28 58 0,33-82 0,-1-1 0,-21 28 0,27-38 0,-1-1 0,0 1 0,0-1 0,-1-1 0,1 1 0,-1 0 0,1-1 0,-1 0 0,0 0 0,-1 0 0,1-1 0,-7 2 0,10-3 0,1 0 0,-1-1 0,0 1 0,0-1 0,0 0 0,0 1 0,0-1 0,1 0 0,-1 0 0,0 0 0,0-1 0,0 1 0,0 0 0,0-1 0,0 1 0,1-1 0,-1 0 0,0 1 0,0-1 0,1 0 0,-1 0 0,1 0 0,-1 0 0,1-1 0,-1 1 0,1 0 0,-1 0 0,1-1 0,0 1 0,0-1 0,0 0 0,0 1 0,0-1 0,0 1 0,-1-5 0,1 1 0,-1 0 0,1 0 0,0-1 0,1 1 0,-1 0 0,1-1 0,0 1 0,1 0 0,-1-1 0,1 1 0,3-9 0,-2 6 0,1 1 0,0 0 0,0 0 0,1 0 0,0 0 0,0 0 0,0 1 0,1 0 0,0 0 0,11-10 0,-7 8 0,1 0 0,1 1 0,-1 0 0,1 1 0,0 0 0,14-4 0,5 0 0,1 1 0,-1 1 0,1 2 0,55-3 0,207 2 0,-130 6 0,-129 1 0,-1-2 0,0-1 0,-1-1 0,1-2 0,34-11 0,-56 13 0,0 0 0,-1-1 0,1 0 0,-1 0 0,0-1 0,0 0 0,-1-1 0,0 0 0,0-1 0,-1 0 0,0 0 0,0-1 0,-1 0 0,0 0 0,0 0 0,-1-1 0,9-19 0,-10 15 0,0 0 0,-1 0 0,-1-1 0,0 1 0,-1 0 0,-1-1 0,0 0 0,-1 1 0,0-1 0,-1 0 0,-4-18 0,3 24 0,0-1 0,-1 1 0,1-1 0,-2 1 0,1 0 0,-1 0 0,-1 1 0,0-1 0,0 1 0,0 0 0,-1 0 0,-1 1 0,1 0 0,-1 0 0,0 0 0,0 1 0,-12-8 0,16 12 0,1 1 0,0-1 0,-1 1 0,1 0 0,-1 0 0,0 0 0,1 0 0,-1 0 0,0 0 0,0 1 0,1-1 0,-1 1 0,0 0 0,0 0 0,0 0 0,0 0 0,0 0 0,1 1 0,-1-1 0,0 1 0,0 0 0,1 0 0,-1 0 0,0 0 0,1 0 0,-1 1 0,1-1 0,0 1 0,-1-1 0,1 1 0,0 0 0,0 0 0,0 0 0,-2 3 0,-2 4 0,1-1 0,0 1 0,0 0 0,1 0 0,0 0 0,1 0 0,0 1 0,-3 15 0,2-2 0,0 0 0,1-1 0,1 1 0,2 0 0,0 0 0,1 0 0,2 0 0,5 26 0,-6-42 0,0 1 0,1-1 0,0 0 0,0 0 0,1 0 0,0-1 0,0 1 0,8 8 0,-11-13 0,1 0 0,-1-1 0,1 1 0,-1-1 0,1 0 0,0 0 0,-1 1 0,1-1 0,0 0 0,0 0 0,0-1 0,-1 1 0,1 0 0,0-1 0,0 1 0,0-1 0,0 1 0,0-1 0,1 0 0,-1 0 0,0 0 0,0 0 0,0 0 0,0-1 0,0 1 0,0 0 0,0-1 0,0 0 0,0 1 0,0-1 0,-1 0 0,1 0 0,0 0 0,0 0 0,2-3 0,0 1 0,0-1 0,0 0 0,0 0 0,0-1 0,-1 1 0,0-1 0,0 0 0,0 0 0,4-9 0,-1-3 0,9-34 0,13-103 0,-21 102 0,2 1 0,30-90 0,-36 133 0,0 0 0,1-1 0,0 2 0,0-1 0,1 0 0,0 1 0,10-13 0,-13 18 0,0 1 0,0 0 0,-1-1 0,1 1 0,0 0 0,0 0 0,0 0 0,0 0 0,1 0 0,-1 0 0,0 1 0,0-1 0,1 1 0,-1-1 0,0 1 0,0 0 0,1 0 0,-1 0 0,0 0 0,1 0 0,-1 1 0,0-1 0,0 1 0,1-1 0,-1 1 0,0 0 0,0 0 0,0 0 0,0 0 0,0 0 0,0 1 0,0-1 0,-1 0 0,3 2 0,8 7 0,-1 1 0,0 0 0,0 0 0,-2 1 0,1 0 0,8 15 0,2 7 0,20 45 0,-23-35 0,-1 1 0,13 67 0,-25-96 0,0-3 0,-2-15 0,-1-23 0,-1 23 0,2-45 0,2 0 0,16-81 0,43-89 0,-55 192 0,1 0 0,1 1 0,2 0 0,0 1 0,31-43 0,-41 63 0,1 0 0,-1 0 0,1 0 0,-1 1 0,1-1 0,0 1 0,0-1 0,1 1 0,-1 0 0,0 0 0,1 0 0,-1 1 0,1-1 0,-1 1 0,1 0 0,0 0 0,0 0 0,-1 0 0,1 1 0,5-1 0,-5 2 0,-1 0 0,1 0 0,0 1 0,-1-1 0,1 1 0,-1 0 0,0-1 0,0 1 0,1 1 0,-1-1 0,-1 0 0,1 1 0,0 0 0,0-1 0,-1 1 0,0 0 0,0 0 0,0 1 0,0-1 0,2 4 0,20 43 0,-3 0 0,21 72 0,-31-88 0,30 86 0,-39-112-1365,-10-21-5461</inkml:trace>
  <inkml:trace contextRef="#ctx0" brushRef="#br0" timeOffset="15436.97">15680 1359 24575,'2'28'0,"2"0"0,0 0 0,2 0 0,2 0 0,13 34 0,-2-3 0,79 308 0,5 13 0,-89-333 0,-14-41 0,-5-10 0,-3-11 0,0 0 0,0-1 0,-8-29 0,3 11 0,-68-172 0,77 198 0,1 0 0,0 0 0,0-1 0,1 0 0,0 1 0,1-1 0,-1-16 0,2 23 0,0 0 0,0-1 0,1 1 0,-1 0 0,1 0 0,0 0 0,0 0 0,-1 0 0,1 0 0,1 0 0,-1 0 0,0 0 0,0 0 0,2-1 0,0 0 0,0 1 0,0 0 0,-1 0 0,1 0 0,1 0 0,-1 1 0,0-1 0,0 1 0,0 0 0,1 0 0,3-1 0,17-2 0,-1 2 0,43 0 0,-14 0 0,-16 1 0,-1-3 0,0-1 0,0-1 0,42-14 0,-64 16 0,0-1 0,0 0 0,0-1 0,-1 0 0,0-1 0,0-1 0,-1 0 0,0 0 0,0-1 0,-1 0 0,0-1 0,-1-1 0,15-20 0,-19 25 0,-2-1 0,1-1 0,-1 1 0,0 0 0,0-1 0,-1 0 0,0 1 0,-1-1 0,1 0 0,-1-11 0,-1 14 0,0 1 0,0-1 0,-1 1 0,1-1 0,-1 1 0,0-1 0,-1 1 0,1-1 0,-1 1 0,0 0 0,0 0 0,0 0 0,0 0 0,-1 0 0,1 1 0,-1-1 0,0 1 0,0-1 0,-5-3 0,5 5 0,0 0 0,1 0 0,-1 1 0,0-1 0,0 1 0,0-1 0,0 1 0,0 0 0,0 0 0,0 0 0,0 1 0,0-1 0,0 1 0,-1-1 0,1 1 0,0 0 0,0 1 0,-6 0 0,4 0 0,0 1 0,0 0 0,0 0 0,0 0 0,0 0 0,0 1 0,1 0 0,-1 0 0,1 0 0,-6 7 0,2-2 0,0 0 0,1 1 0,0 0 0,0 1 0,1 0 0,0 0 0,1 0 0,0 0 0,-7 21 0,11-27 0,0 1 0,0-1 0,0 0 0,1 1 0,0-1 0,-1 1 0,1-1 0,1 0 0,-1 1 0,1-1 0,0 1 0,0-1 0,0 0 0,0 0 0,1 0 0,-1 0 0,1 0 0,0 0 0,1 0 0,-1 0 0,1-1 0,-1 1 0,1-1 0,0 0 0,0 1 0,1-1 0,-1-1 0,1 1 0,-1-1 0,1 1 0,0-1 0,0 0 0,0 0 0,0-1 0,0 1 0,0-1 0,0 0 0,1 0 0,-1 0 0,1-1 0,7 1 0,-7-1 0,-1-1 0,1 0 0,0 1 0,0-2 0,0 1 0,-1 0 0,1-1 0,-1 0 0,1 0 0,-1 0 0,0-1 0,0 0 0,0 1 0,7-8 0,2-3 0,-2 0 0,21-28 0,-25 29 0,2 0 0,-1 1 0,2 1 0,-1-1 0,16-11 0,-18 17 0,1 0 0,0 1 0,1 0 0,-1 0 0,1 1 0,0 0 0,12-3 0,7 1 0,30-1 0,-33 4 0,44-9 0,-61 9 0,0 0 0,0-1 0,0 0 0,0 0 0,-1-1 0,0 0 0,1-1 0,-1 1 0,8-9 0,-6 4 0,-1 0 0,0-1 0,-1 0 0,0-1 0,0 1 0,-1-1 0,-1-1 0,0 1 0,0-1 0,-1 0 0,0 0 0,-1 0 0,-1 0 0,2-17 0,-2-3 0,0-1 0,-2 1 0,-2-1 0,-7-45 0,-6 5 0,-3 1 0,-3 1 0,-34-78 0,48 132 0,-25-55 0,29 66 0,-1 1 0,1-1 0,-1 1 0,0 0 0,0 0 0,-1 0 0,1 0 0,-11-7 0,14 11 0,0 0 0,0 0 0,-1 1 0,1-1 0,0 0 0,0 1 0,0-1 0,-1 1 0,1-1 0,0 1 0,-1 0 0,1 0 0,0-1 0,-1 1 0,1 0 0,0 0 0,-1 0 0,1 0 0,0 1 0,-1-1 0,1 0 0,0 1 0,0-1 0,-1 0 0,1 1 0,0-1 0,0 1 0,0 0 0,-1 0 0,1-1 0,-1 2 0,-1 1 0,1 0 0,-1 1 0,0-1 0,1 1 0,0 0 0,0 0 0,0-1 0,1 1 0,-2 5 0,-4 16 0,2 0 0,2 0 0,0 1 0,1-1 0,1 1 0,4 28 0,2 13 0,3 0 0,3-1 0,2 0 0,4-1 0,30 78 0,-28-92 16,111 287-2045,-97-263-4149</inkml:trace>
  <inkml:trace contextRef="#ctx0" brushRef="#br0" timeOffset="16670.21">17827 171 24575,'-25'-46'0,"25"45"0,-1 0 0,1 0 0,-1 0 0,1 0 0,-1 0 0,0 0 0,1 0 0,-1 0 0,0 0 0,0 0 0,0 1 0,1-1 0,-1 0 0,0 0 0,-2 0 0,2 1 0,0 1 0,1-1 0,-1 1 0,0-1 0,1 1 0,-1-1 0,0 1 0,1-1 0,-1 1 0,1 0 0,-1 0 0,1-1 0,-1 1 0,1 0 0,-1 0 0,1-1 0,0 1 0,-1 0 0,1 0 0,0 0 0,0 0 0,0-1 0,0 1 0,0 0 0,-1 0 0,2 1 0,-5 24 0,2-1 0,1 1 0,1-1 0,4 34 0,-3-35 0,87 881-812,-87-897 812,5 39 0,-2 0 0,-3 67 0,-1-111 0,0 0 0,0 0 0,-1-1 0,1 1 0,-1 0 0,0 0 0,0 0 0,0 0 0,0-1 0,0 1 0,-3 4 0,3-7 0,1 1 0,-1-1 0,1 1 0,-1-1 0,0 1 0,1-1 0,-1 1 0,0-1 0,0 0 0,1 1 0,-1-1 0,0 0 0,0 0 0,1 1 0,-1-1 0,0 0 0,0 0 0,1 0 0,-1 0 0,0 0 0,0 0 0,0 0 0,1 0 0,-1 0 0,0-1 0,-1 1 0,-3-3 0,0 0 0,0 0 0,0-1 0,0 1 0,1-1 0,-1 0 0,1 0 0,0-1 0,-5-7 0,-25-36 226,2-2-1,-38-83 1,66 126-199,1 0 0,0 0 0,0 0 0,-2-9 0,7 1-27,-2 15 0,0 0 0,0-1 0,1 1 0,-1 0 0,0 0 0,1-1 0,-1 1 0,0 0 0,1 0 0,-1 0 0,0 0 0,1 0 0,-1-1 0,0 1 0,1 0 0,-1 0 0,0 0 0,1 0 0,-1 0 0,0 0 0,1 0 0,-1 0 0,1 0 0,-1 1 0,1-1 0,25 13 0,6 8 0,1-1 0,65 28 0,-83-42 0,0-1 0,1-1 0,-1 0 0,1-1 0,0-1 0,0 0 0,0-1 0,0-1 0,28-3 0,-31 2 0,-1-1 0,0-1 0,1 0 0,-1-1 0,0 0 0,-1-1 0,1 0 0,-1-1 0,0 0 0,-1-1 0,1 0 0,-1-1 0,0 0 0,-1 0 0,0-1 0,0 0 0,-1-1 0,-1 0 0,1 0 0,-1-1 0,-1 1 0,0-2 0,7-18 0,-5 2 0,-1-1 0,-2 0 0,0 0 0,-2 0 0,-2-1 0,0 1 0,-6-48 0,3 75 0,0 8 0,-1 14 0,2-7 29,1 1-1,1-1 1,0 0-1,1 1 0,0-1 1,1 0-1,0 0 1,1 0-1,1-1 1,0 0-1,8 14 1,-3-8-273,1-1 0,1 0 0,0-1 0,1-1 1,0 0-1,28 24 0,4-6-6582</inkml:trace>
  <inkml:trace contextRef="#ctx0" brushRef="#br0" timeOffset="16809.98">18149 11 24575,'0'-10'0,"0"12"0,5 6 0,2 18 0,16 4 0,4-2-8191</inkml:trace>
  <inkml:trace contextRef="#ctx0" brushRef="#br0" timeOffset="17248.84">18565 686 24575,'0'-3'0,"0"1"0,0 0 0,1-1 0,-1 1 0,0 0 0,1-1 0,-1 1 0,1 0 0,0-1 0,0 1 0,0 0 0,0 0 0,0 0 0,1 0 0,-1 0 0,0 0 0,1 0 0,0 0 0,-1 1 0,1-1 0,0 0 0,0 1 0,0 0 0,0-1 0,0 1 0,0 0 0,0 0 0,3-1 0,-2 1 0,0 1 0,0-1 0,0 1 0,0-1 0,1 1 0,-1 0 0,0 0 0,0 1 0,0-1 0,0 0 0,1 1 0,-1 0 0,0 0 0,0 0 0,0 0 0,0 0 0,-1 1 0,1-1 0,0 1 0,-1 0 0,4 2 0,2 4 0,0 0 0,0 1 0,-1 0 0,0 0 0,0 0 0,-1 1 0,0 0 0,-1 0 0,4 11 0,5 16 0,10 48 0,-20-69 0,4 8 0,-8-25 0,0 1 0,0 0 0,0 0 0,0 0 0,0 0 0,0 0 0,0 0 0,0 0 0,0 0 0,0-1 0,0 1 0,0 0 0,0 0 0,0 0 0,0 0 0,0 0 0,0 0 0,0 0 0,0 0 0,0 0 0,1-1 0,-1 1 0,0 0 0,0 0 0,0 0 0,0 0 0,0 0 0,0 0 0,0 0 0,0 0 0,0 0 0,0 0 0,0 0 0,1 0 0,-1 0 0,0 0 0,0 0 0,0 0 0,0 0 0,0 0 0,0-1 0,0 1 0,0 0 0,1 0 0,-1 0 0,0 1 0,0-1 0,0 0 0,0 0 0,0 0 0,0 0 0,0 0 0,0 0 0,1 0 0,-1 0 0,0 0 0,0 0 0,0 0 0,0 0 0,0 0 0,0 0 0,0 0 0,2-46 0,-2 45 0,-2-79 0,1-64 0,2 117 0,2 1 0,0-1 0,11-34 0,-13 56 0,0 1 0,1-1 0,0 1 0,0 0 0,0 0 0,0 0 0,4-4 0,-5 6 0,0 1 0,0 0 0,0-1 0,1 1 0,-1 0 0,1 0 0,-1 0 0,1 0 0,-1 0 0,1 0 0,0 0 0,-1 1 0,1-1 0,2 0 0,-1 1 0,0 0 0,0 0 0,0 1 0,0-1 0,0 1 0,0-1 0,0 1 0,-1 0 0,1 0 0,0 1 0,-1-1 0,1 0 0,0 1 0,-1 0 0,0 0 0,1-1 0,-1 1 0,0 0 0,0 1 0,0-1 0,0 0 0,2 4 0,13 20 55,0 0 0,-2 1 0,-1 0 0,-1 1-1,10 34 1,33 67-303,-49-116 42,1 1-1,0-1 0,1-1 1,1 1-1,0-2 1,21 20-1,6-5-6619</inkml:trace>
  <inkml:trace contextRef="#ctx0" brushRef="#br0" timeOffset="17590.72">19334 430 24575,'1'0'0,"-1"1"0,1 0 0,-1 0 0,1 0 0,-1 0 0,1-1 0,0 1 0,-1 0 0,1-1 0,0 1 0,0 0 0,-1-1 0,1 1 0,0-1 0,0 1 0,0-1 0,0 0 0,0 1 0,0-1 0,0 0 0,-1 1 0,1-1 0,0 0 0,0 0 0,2 0 0,25 2 0,-21-2 0,-1-1 0,1-1 0,-1 1 0,1-1 0,-1 0 0,0-1 0,0 1 0,0-1 0,0 0 0,0-1 0,0 0 0,-1 0 0,5-4 0,-3 1 0,0 1 0,-1-1 0,0 0 0,-1 0 0,0-1 0,0 0 0,0 0 0,-1 0 0,4-11 0,-5 13 0,-1 0 0,0-1 0,-1 1 0,0-1 0,0 0 0,0 1 0,-1-1 0,0 0 0,0 1 0,0-1 0,-1 0 0,-3-9 0,3 11 0,-1 0 0,0 0 0,0 1 0,-1-1 0,1 1 0,-1 0 0,0 0 0,0 0 0,0 0 0,-1 0 0,1 1 0,-1-1 0,0 1 0,0 0 0,0 0 0,0 1 0,-1-1 0,-4-1 0,4 1 0,0 1 0,1 0 0,-1 1 0,0-1 0,0 1 0,0 0 0,0 0 0,-1 0 0,1 1 0,0 0 0,0 0 0,0 0 0,0 1 0,0 0 0,-1-1 0,-5 3 0,6 0 0,-1 0 0,0-1 0,1 2 0,-1-1 0,1 1 0,0 0 0,0 0 0,0 0 0,1 1 0,0-1 0,-7 9 0,1 3 0,0 1 0,1 0 0,1 0 0,1 0 0,0 1 0,2 0 0,-8 36 0,10-34 0,0-1 0,1 1 0,1 0 0,1 0 0,4 39 0,-2-51 0,-1 1 0,1-1 0,1 0 0,0 1 0,0-1 0,1 0 0,0 0 0,0-1 0,0 1 0,1-1 0,1 0 0,-1 0 0,1-1 0,0 0 0,0 0 0,8 6 0,0-3 27,1 0-1,-1-1 0,1-1 0,1 0 1,0-1-1,-1-1 0,2 0 0,-1-2 1,0 1-1,1-2 0,0 0 0,21-1 1,-17-1-198,-1-1 0,0-1 1,0-1-1,0-1 0,0-1 1,0 0-1,-1-2 0,0 0 1,30-16-1,9-14-6655</inkml:trace>
  <inkml:trace contextRef="#ctx0" brushRef="#br0" timeOffset="21106.7">831 5239 24575,'0'11'0,"0"14"0,0 15 0,0 10 0,0 8 0,0 6 0,0 2 0,0 6 0,0 2 0,5-12 0,2-16-8191</inkml:trace>
  <inkml:trace contextRef="#ctx0" brushRef="#br0" timeOffset="21802.9">285 7068 24575,'2'1'0,"0"0"0,0 1 0,0-1 0,0 1 0,0-1 0,0 1 0,-1 0 0,1 0 0,-1 0 0,1 0 0,-1 0 0,0 0 0,2 4 0,10 33 0,-12-35 0,1 7 0,0 0 0,0 1 0,-1-1 0,-1 1 0,1-1 0,-2 1 0,0-1 0,0 1 0,-1-1 0,-1 0 0,-4 15 0,4-18 0,0 0 0,-1 0 0,1-1 0,-2 1 0,1-1 0,-1 0 0,0 0 0,-1 0 0,0-1 0,0 1 0,0-1 0,-1-1 0,1 0 0,-1 1 0,-15 6 0,17-9 0,0-1 0,0 0 0,0 0 0,0-1 0,0 1 0,0-1 0,0-1 0,-1 1 0,1-1 0,0 1 0,-1-1 0,1-1 0,0 1 0,-1-1 0,1 0 0,-5-2 0,4 1 0,0 0 0,1-1 0,-1 0 0,1 0 0,0 0 0,0-1 0,0 0 0,0 0 0,1 0 0,0-1 0,-1 1 0,2-1 0,-1 0 0,-3-5 0,0-3 0,0 1 0,0-1 0,2-1 0,0 1 0,0-1 0,1 0 0,1 0 0,-3-25 0,5 33 0,0 1 0,1-1 0,0 0 0,0 0 0,1 0 0,0 1 0,0-1 0,0 0 0,0 1 0,1-1 0,0 1 0,0-1 0,1 1 0,0 0 0,-1 0 0,2 0 0,-1 0 0,0 0 0,1 1 0,0 0 0,0-1 0,0 1 0,1 1 0,5-5 0,-4 5 0,-1 0 0,0 1 0,1-1 0,0 1 0,0 0 0,-1 0 0,1 1 0,0 0 0,0 0 0,0 0 0,1 1 0,10 0 0,-9 2 0,1-1 0,-1 1 0,0 0 0,0 1 0,0 0 0,0 0 0,0 1 0,10 6 0,-3 0 0,0 1 0,-1 0 0,0 1 0,-1 1 0,-1 0 0,0 1 0,0 1 0,10 16 0,-7-6 0,-1 1 0,-1 0 0,-1 1 0,-1 0 0,-1 1 0,-2 0 0,-1 1 0,-1 0 0,-1 0 0,1 43 0,-6-51 0,0 0 0,-2 0 0,0-1 0,-2 1 0,0-1 0,-1 0 0,-1 0 0,-1 0 0,-1-1 0,0 0 0,-1 0 0,-2-1 0,0 0 0,0-1 0,-23 25 0,27-34 0,0-1 0,0 0 0,-1-1 0,0 0 0,-1 0 0,1 0 0,-1-1 0,-17 7 0,23-11 0,0 0 0,0 0 0,0 0 0,-1 0 0,1-1 0,0 1 0,0-1 0,-1 0 0,1 0 0,0 0 0,-1 0 0,1-1 0,0 1 0,0-1 0,-1 0 0,1 0 0,0 0 0,0 0 0,0-1 0,0 1 0,0-1 0,0 0 0,1 0 0,-1 0 0,1 0 0,-1 0 0,1 0 0,0-1 0,0 1 0,-3-4 0,0-3 0,0 1 0,0-2 0,1 1 0,0 0 0,1-1 0,0 0 0,0 0 0,-2-17 0,2-2 0,1-53 0,2 66 0,2-1 0,0 0 0,1 0 0,0 0 0,2 1 0,0 0 0,13-29 0,-15 37 0,1 1 0,0 0 0,0 0 0,1 0 0,0 1 0,0 0 0,0 0 0,1 0 0,0 0 0,0 1 0,1 0 0,-1 0 0,1 1 0,0-1 0,0 2 0,0-1 0,1 1 0,10-3 0,-13 5 0,0 0 0,1 1 0,-1-1 0,1 1 0,-1 0 0,0 1 0,1 0 0,-1-1 0,0 2 0,1-1 0,-1 0 0,0 1 0,0 0 0,0 1 0,-1-1 0,1 1 0,0 0 0,7 6 0,0 1 0,0 1 0,-1 1 0,0 0 0,-1 0 0,11 17 0,0 5 0,-2 0 0,23 55 0,21 80 0,-38-98 0,-15-42 171,23 41 0,-28-61-385,0 0 1,1 0 0,0 0-1,1-1 1,0 0 0,0-1-1,16 13 1,6-2-6613</inkml:trace>
  <inkml:trace contextRef="#ctx0" brushRef="#br0" timeOffset="22922.05">2820 3571 24575,'0'-4'0,"0"-1"0,0 11 0,0 5 0,0 18 0,0 77 0,-22 188 0,22-292 0,-11 46 0,10-45 0,0 0 0,0 1 0,0-1 0,-1 0 0,1 0 0,-1 0 0,0 0 0,0 0 0,0-1 0,0 1 0,-3 2 0,5-5 0,-1 1 0,1-1 0,0 0 0,-1 1 0,1-1 0,-1 0 0,1 0 0,-1 1 0,1-1 0,-1 0 0,1 0 0,-1 0 0,1 0 0,-1 1 0,1-1 0,-1 0 0,1 0 0,-1 0 0,1 0 0,-1 0 0,1 0 0,-1 0 0,1 0 0,-1-1 0,1 1 0,-1 0 0,1 0 0,0 0 0,-1 0 0,1-1 0,-1 1 0,1 0 0,-1-1 0,1 1 0,0 0 0,-1-1 0,1 1 0,-1 0 0,1-1 0,0 0 0,-10-20 0,5 2 0,1-1 0,0 0 0,2-1 0,0 1 0,2-21 0,11-106 0,2 46 0,41-154 0,-50 237 0,2 0 0,0 0 0,1 1 0,0 0 0,2 1 0,0 0 0,16-22 0,-23 35 0,0 1 0,0 0 0,0 0 0,0 0 0,0 0 0,0 0 0,0 0 0,1 0 0,-1 1 0,0-1 0,1 1 0,0 0 0,-1 0 0,1 0 0,0 0 0,0 0 0,-1 0 0,1 1 0,4-1 0,-4 2 0,0-1 0,0 1 0,0 0 0,0 0 0,-1 0 0,1 0 0,0 0 0,-1 1 0,1-1 0,-1 1 0,0-1 0,1 1 0,-1 0 0,0 0 0,4 5 0,4 6 0,-1 1 0,0 1 0,0 0 0,-2 0 0,8 20 0,-1 3 0,-1 1 0,9 51 0,6 82 0,-22-124 0,23 77 307,-11-55-1979,-21-87-5154</inkml:trace>
  <inkml:trace contextRef="#ctx0" brushRef="#br0" timeOffset="23090.07">2787 3571 24575,'-11'0'0,"-3"6"0,0 12 0,14 4 0,33-3 0,23-9 0,13-7 0,5-4 0,1-2 0,-7 0 0,2-10 0,-12-4-8191</inkml:trace>
  <inkml:trace contextRef="#ctx0" brushRef="#br0" timeOffset="24326.56">8367 3026 24575,'-6'249'0,"3"-207"0,-14 138 0,13-160 0,0 1 0,-1-1 0,-1 0 0,-1-1 0,-1 1 0,-14 25 0,20-41 0,0 0 0,-1 0 0,1-1 0,-1 1 0,0-1 0,0 0 0,0 0 0,-6 4 0,8-6 0,0-1 0,1 1 0,-1-1 0,0 0 0,0 1 0,0-1 0,0 0 0,0 0 0,1 0 0,-1 1 0,0-1 0,0 0 0,0 0 0,0 0 0,0-1 0,0 1 0,0 0 0,-1 0 0,1-1 0,-1 0 0,1 0 0,0 0 0,-1 0 0,1 0 0,0 0 0,-1 0 0,1 0 0,0 0 0,0-1 0,0 1 0,0 0 0,-1-3 0,-9-16 0,1-2 0,1 1 0,1-2 0,0 1 0,2-1 0,1 0 0,-5-47 0,5-6 0,5-85 0,1 130 0,1 1 0,2-1 0,1 0 0,1 1 0,1 0 0,21-50 0,-22 66 0,1 1 0,0 0 0,1 1 0,1-1 0,0 1 0,19-19 0,-20 23 0,1 1 0,0 0 0,0 1 0,0 0 0,1 0 0,0 1 0,0 0 0,0 1 0,1 0 0,11-2 0,-13 4 0,-1 1 0,1-1 0,0 2 0,0-1 0,-1 1 0,1 1 0,0 0 0,0 0 0,-1 0 0,1 1 0,-1 1 0,1-1 0,-1 1 0,0 1 0,0-1 0,0 1 0,-1 1 0,1 0 0,-1 0 0,0 0 0,-1 1 0,1 0 0,-1 0 0,0 0 0,5 9 0,-3-6 0,-2 1 0,1 0 0,-1 0 0,-1 1 0,0 0 0,-1 0 0,0 0 0,0 1 0,-1-1 0,-1 1 0,0 0 0,0-1 0,-1 1 0,-1 0 0,0 0 0,-1 0 0,0 0 0,-3 13 0,2-18 0,0 0 0,-1 0 0,0 0 0,0-1 0,-1 1 0,0-1 0,0 0 0,0 0 0,-1 0 0,0 0 0,-6 5 0,8-8 0,0 0 0,0-1 0,0 0 0,0 1 0,-1-1 0,1 0 0,0 0 0,-1-1 0,0 1 0,1-1 0,-1 0 0,0 0 0,0 0 0,1 0 0,-1-1 0,0 1 0,0-1 0,0 0 0,0 0 0,0-1 0,0 1 0,-4-2 0,6 1 0,1 1 0,-1-1 0,0 0 0,1 0 0,-1 0 0,1 0 0,0 0 0,-1-1 0,1 1 0,0 0 0,0-1 0,0 1 0,0-1 0,-2-2 0,3 4 0,0-1 0,0 1 0,-1-1 0,1 0 0,0 1 0,0-1 0,0 1 0,0-1 0,0 1 0,0-1 0,0 0 0,0 1 0,0-1 0,0 1 0,0-1 0,0 1 0,0-1 0,0 1 0,1-1 0,-1 1 0,0-1 0,0 0 0,1 1 0,-1 0 0,0-1 0,1 1 0,-1-1 0,0 1 0,1-1 0,-1 1 0,1 0 0,-1-1 0,0 1 0,1 0 0,-1-1 0,1 1 0,-1 0 0,1 0 0,0-1 0,-1 1 0,1 0 0,-1 0 0,1 0 0,-1 0 0,1 0 0,-1 0 0,1 0 0,0 0 0,-1 0 0,2 0 0,3 0 0,0 0 0,0 1 0,0 0 0,0 0 0,0 0 0,0 0 0,0 1 0,0 0 0,-1 0 0,1 0 0,-1 0 0,1 1 0,-1 0 0,0 0 0,0 0 0,0 0 0,4 5 0,7 7 0,-1 0 0,-1 1 0,12 19 0,-15-21 0,-1 0 0,-1 1 0,0 0 0,-1 0 0,-1 1 0,0 0 0,-2 1 0,1-1 0,2 22 0,-7-31 0,1 0 0,-1 0 0,0 1 0,0-1 0,-1 0 0,0 0 0,0 0 0,-1 0 0,0-1 0,0 1 0,-1 0 0,1-1 0,-2 1 0,1-1 0,-1 0 0,1 0 0,-2 0 0,1 0 0,-1-1 0,1 0 0,-2 0 0,1 0 0,0-1 0,-1 1 0,-6 2 0,-1 1 0,0-2 0,-1 0 0,1 0 0,-1-2 0,0 1 0,-20 2 0,5-2 0,0-2 0,-37-1 0,51-2 0,1 0 0,0-1 0,0-1 0,0-1 0,-14-3 0,21 4 0,1-1 0,0 1 0,0-1 0,0 0 0,0-1 0,1 1 0,-1-1 0,1 0 0,0-1 0,0 1 0,0-1 0,-7-9 0,7 6-273,0 0 0,1 0 0,-1 0 0,-2-10 0,-8-32-6553</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5:21.147"/>
    </inkml:context>
    <inkml:brush xml:id="br0">
      <inkml:brushProperty name="width" value="0.05" units="cm"/>
      <inkml:brushProperty name="height" value="0.05" units="cm"/>
      <inkml:brushProperty name="color" value="#E71224"/>
    </inkml:brush>
  </inkml:definitions>
  <inkml:trace contextRef="#ctx0" brushRef="#br0">491 2653 24575,'-1'-13'0,"2"0"0,0 1 0,4-24 0,-3 32 0,-1 0 0,0-1 0,1 1 0,0 0 0,0 0 0,0 0 0,1 0 0,-1 0 0,1 0 0,0 0 0,0 1 0,0 0 0,7-6 0,-1 3 0,1 0 0,-1 0 0,1 1 0,1 0 0,-1 1 0,1 0 0,-1 1 0,1 0 0,18-2 0,-23 4 0,1 0 0,0 1 0,0-1 0,0 2 0,0-1 0,0 1 0,-1 0 0,1 0 0,0 1 0,0 0 0,-1 0 0,1 0 0,-1 1 0,0 0 0,0 0 0,10 8 0,-9-5 0,-1 0 0,0 0 0,0 1 0,-1-1 0,1 2 0,-2-1 0,1 0 0,-1 1 0,0 0 0,0 0 0,-1 0 0,0 0 0,-1 0 0,0 1 0,1 9 0,-1-6 0,-2 1 0,1 0 0,-2-1 0,0 1 0,0 0 0,-1-1 0,-1 0 0,0 1 0,-9 22 0,6-22 0,0 1 0,-1-1 0,0-1 0,-1 0 0,-1 0 0,0 0 0,0-1 0,-18 16 0,19-20 0,1-1 0,-2 0 0,1 0 0,-1-1 0,0 0 0,0-1 0,0 1 0,-1-2 0,1 1 0,-1-1 0,0-1 0,-16 2 0,19-3 0,0-1 0,0 0 0,0 0 0,0-1 0,1 0 0,-1 0 0,0-1 0,0 0 0,0 0 0,1 0 0,-1-1 0,-10-6 0,9 3 0,0 1 0,0-2 0,1 1 0,0-1 0,0 0 0,0 0 0,1-1 0,-7-11 0,2-1 0,0-1 0,1 0 0,1-1 0,1 0 0,1-1 0,-7-41 0,10 42 0,1 0 0,1 0 0,1 0 0,3-38 0,-1 54 0,-1 0 0,1 1 0,0-1 0,1 0 0,-1 1 0,1-1 0,0 1 0,1-1 0,-1 1 0,1 0 0,0 0 0,0 0 0,1 0 0,-1 1 0,1 0 0,0-1 0,0 1 0,1 0 0,-1 1 0,1-1 0,0 1 0,0 0 0,5-2 0,-3 2 0,0 1 0,0 0 0,0 0 0,0 1 0,0 0 0,0 0 0,0 1 0,0-1 0,0 2 0,0-1 0,12 3 0,-8 0 0,0 0 0,0 1 0,0 0 0,0 0 0,-1 1 0,17 11 0,-10-4 0,-1 1 0,0 0 0,-1 1 0,0 1 0,-1 0 0,-1 1 0,20 31 0,-24-32 0,-1 1 0,0 0 0,-2 0 0,0 0 0,0 1 0,-2-1 0,0 1 0,3 33 0,-6-43 0,-1 0 0,-1 0 0,1 0 0,-1 0 0,0 0 0,-1 0 0,0 0 0,0 0 0,0 0 0,-6 10 0,5-13 0,0 1 0,0 0 0,-1-1 0,0 0 0,0 0 0,0 0 0,0 0 0,0-1 0,-1 1 0,1-1 0,-1 0 0,0-1 0,0 1 0,0-1 0,-6 2 0,2-1 0,0-1 0,1-1 0,-1 1 0,0-1 0,0-1 0,0 1 0,0-2 0,0 1 0,0-1 0,0-1 0,1 1 0,-1-1 0,0-1 0,1 0 0,-1 0 0,1-1 0,0 0 0,0 0 0,1-1 0,-1 0 0,1 0 0,0 0 0,0-1 0,1-1 0,0 1 0,0-1 0,0 0 0,-7-13 0,6 6 0,1 0 0,0-1 0,1 1 0,1-1 0,-5-30 0,5 10 0,0-54 0,4 76 0,1 0 0,0-1 0,1 1 0,1 0 0,0 0 0,1 0 0,0 1 0,10-21 0,-13 29 0,1 0 0,0 1 0,0-1 0,1 1 0,-1-1 0,1 1 0,0 0 0,0 0 0,0 0 0,0 0 0,0 1 0,1-1 0,-1 1 0,1 0 0,-1 0 0,1 0 0,0 0 0,0 0 0,0 1 0,0 0 0,0 0 0,0 0 0,0 1 0,0-1 0,1 1 0,-1 0 0,0 0 0,0 0 0,0 1 0,8 1 0,-3 1 0,1 0 0,-1 1 0,0 0 0,-1 1 0,1 0 0,-1 0 0,0 1 0,0 0 0,0 0 0,-1 1 0,0 0 0,10 13 0,-4-3 0,0 1 0,-2 0 0,0 0 0,14 36 0,-19-41 0,-2 1 0,1-1 0,-2 1 0,0 0 0,0-1 0,-2 1 0,1 0 0,-2 27 0,-1-34 0,0-1 0,0 1 0,-1 0 0,1-1 0,-2 0 0,1 1 0,-1-1 0,0 0 0,0 0 0,0 0 0,-1 0 0,0-1 0,0 0 0,0 1 0,-1-1 0,0-1 0,0 1 0,0-1 0,0 0 0,-9 5 0,5-4 0,0 0 0,0-1 0,0 0 0,-1 0 0,0-1 0,1-1 0,-1 1 0,-1-1 0,1-1 0,0 0 0,-13-1 0,16 0 0,0-1 0,0 0 0,-1 0 0,1-1 0,0 0 0,0 0 0,1 0 0,-1-1 0,0 0 0,1-1 0,0 1 0,-1-1 0,2-1 0,-1 1 0,0-1 0,-7-8 0,4 2 0,0-1 0,1 1 0,1-1 0,0-1 0,0 0 0,-8-25 0,7 15 0,2-1 0,0 0 0,-2-27 0,7 41 0,0 0 0,1 0 0,0 0 0,1 0 0,0 0 0,0 0 0,5-16 0,-5 22 0,1 0 0,-1 0 0,1 0 0,0 0 0,0 1 0,0-1 0,0 1 0,1-1 0,0 1 0,-1 0 0,1 0 0,0 0 0,1 0 0,-1 0 0,0 1 0,1-1 0,0 1 0,-1 0 0,1 0 0,5-1 0,-3 1 0,0 1 0,0 0 0,-1 1 0,1-1 0,0 1 0,0 0 0,0 1 0,0-1 0,0 1 0,-1 1 0,1-1 0,0 1 0,-1 0 0,1 0 0,9 5 0,-1 1 0,0 0 0,-1 1 0,0 0 0,21 21 0,-21-17 0,0 1 0,-2 1 0,1 0 0,-2 0 0,0 1 0,-1 0 0,11 27 0,-16-34 0,-1 1 0,1 0 0,-2 0 0,1 0 0,-1 0 0,-1 0 0,0 0 0,0 1 0,-1-1 0,0 0 0,-1 1 0,0-1 0,-1 0 0,-5 19 0,5-26 0,1 1 0,-1-1 0,0 0 0,1 0 0,-1 1 0,-1-1 0,1 0 0,0-1 0,-1 1 0,-5 4 0,8-6 0,-1-1 0,0 1 0,0 0 0,-1-1 0,1 1 0,0-1 0,0 0 0,0 1 0,0-1 0,0 0 0,0 1 0,-1-1 0,1 0 0,0 0 0,0 0 0,0 0 0,-1 0 0,1 0 0,0-1 0,0 1 0,0 0 0,0-1 0,0 1 0,-1 0 0,1-1 0,0 1 0,0-1 0,0 0 0,0 1 0,0-1 0,0 0 0,1 0 0,-1 1 0,-1-3 0,-2-2 0,0 0 0,1 0 0,-1 0 0,1-1 0,1 1 0,-1-1 0,1 0 0,0 0 0,0 0 0,-1-8 0,-1-8 0,-1-35 0,5 46 0,0-1 0,1 1 0,0-1 0,1 1 0,0 0 0,1-1 0,0 1 0,0 0 0,1 1 0,1-1 0,10-18 0,-12 25 0,0-1 0,0 1 0,1-1 0,0 1 0,-1 0 0,1 0 0,0 1 0,1-1 0,-1 1 0,1 0 0,0 0 0,-1 0 0,1 1 0,0 0 0,0 0 0,1 0 0,-1 1 0,0-1 0,1 1 0,-1 0 0,1 1 0,-1-1 0,1 1 0,-1 0 0,1 1 0,9 1 0,-9 0 0,1-1 0,0 2 0,-1-1 0,1 1 0,-1 0 0,0 1 0,0-1 0,0 1 0,0 0 0,-1 1 0,1-1 0,-1 1 0,0 0 0,-1 0 0,1 1 0,-1 0 0,0-1 0,-1 1 0,1 0 0,-1 1 0,0-1 0,-1 1 0,1-1 0,-1 1 0,1 7 0,-1-6 0,-1-1 0,0 1 0,0-1 0,-1 1 0,0 0 0,0-1 0,-1 1 0,1-1 0,-2 1 0,1-1 0,-1 1 0,0-1 0,-1 0 0,0 0 0,0 0 0,0 0 0,-1 0 0,0-1 0,0 0 0,-1 0 0,0 0 0,-10 10 0,8-10 0,0-1 0,-1 0 0,1 0 0,-1-1 0,0 0 0,0-1 0,-1 0 0,1 0 0,-1 0 0,1-1 0,-1-1 0,-10 2 0,15-3 0,1 0 0,-1 0 0,0 0 0,0-1 0,0 1 0,0-1 0,0 0 0,0 0 0,1 0 0,-1-1 0,0 1 0,1-1 0,-1 0 0,1 0 0,0 0 0,-1-1 0,1 1 0,0-1 0,1 1 0,-1-1 0,0 0 0,1 0 0,-1 0 0,1-1 0,0 1 0,0 0 0,0-1 0,1 0 0,-1 1 0,0-6 0,-2-5-170,2 0-1,0 1 0,0-1 1,2 0-1,0 0 0,0 0 1,4-24-1,9-36-6655</inkml:trace>
  <inkml:trace contextRef="#ctx0" brushRef="#br0" timeOffset="1806.75">460 2524 24575,'0'-20'0,"1"0"0,0 0 0,2 0 0,1 0 0,9-32 0,-9 42 0,0-1 0,1 1 0,0 0 0,1 0 0,0 1 0,0-1 0,1 1 0,0 1 0,1-1 0,0 1 0,13-10 0,-9 9 0,1 1 0,0 0 0,0 1 0,0 1 0,1 0 0,0 0 0,0 2 0,1 0 0,-1 0 0,1 2 0,0 0 0,-1 0 0,1 1 0,0 1 0,0 1 0,0 0 0,29 6 0,-28-3 0,1 0 0,-1 2 0,0 0 0,-1 1 0,1 0 0,-1 1 0,-1 1 0,0 0 0,0 1 0,-1 1 0,0 0 0,0 1 0,-1 0 0,-1 1 0,16 23 0,-17-21 0,-1 0 0,-1 1 0,-1 0 0,0 1 0,-1 0 0,-1 0 0,6 27 0,-10-34 0,1 1 0,-1 0 0,-1-1 0,0 1 0,-1 0 0,0 0 0,0-1 0,-1 1 0,-1-1 0,1 0 0,-2 1 0,0-1 0,-8 17 0,3-14 0,0 0 0,-1-1 0,0 0 0,-1 0 0,0-1 0,-1-1 0,0 0 0,-24 15 0,2-5 0,0-2 0,-49 19 0,36-20 0,0-1 0,0-2 0,-2-3 0,1-2 0,-1-1 0,-1-3 0,-53-2 0,86-3 0,0-1 0,1-1 0,-1-1 0,-16-4 0,27 5 0,0 0 0,0 0 0,1-1 0,-1 0 0,1 0 0,-1 0 0,1 0 0,0-1 0,0 0 0,1 0 0,-1 0 0,1-1 0,-7-8 0,4 1 0,1 0 0,0-1 0,0 0 0,1 0 0,1 0 0,0-1 0,1 1 0,1-1 0,0 0 0,1 0 0,0-19 0,2 3 0,1 1 0,1-1 0,2 1 0,10-39 0,-8 44 0,2 0 0,0 1 0,1 1 0,1 0 0,2 0 0,0 1 0,1 0 0,1 1 0,19-20 0,-25 32 0,-1 0 0,1 1 0,0 0 0,1 0 0,-1 1 0,2 0 0,-1 1 0,0 0 0,18-6 0,-20 9 0,1 1 0,0-1 0,-1 1 0,1 0 0,0 1 0,0 0 0,0 1 0,-1 0 0,1 0 0,0 1 0,-1 0 0,1 0 0,14 7 0,-10-3 0,0 1 0,-1 0 0,0 1 0,-1 0 0,0 1 0,0 0 0,-1 1 0,0 0 0,0 1 0,-1 0 0,7 12 0,-6-8 0,-1 0 0,-1 0 0,0 0 0,-2 1 0,0 0 0,0 1 0,-1-1 0,3 28 0,-7-38 0,0 1 0,-1-1 0,0 0 0,0 1 0,-1-1 0,0 0 0,0 1 0,-1-1 0,1 0 0,-1 0 0,0 0 0,-1 0 0,0-1 0,1 1 0,-2 0 0,1-1 0,-1 0 0,0 0 0,0 0 0,0 0 0,-1-1 0,1 0 0,-1 0 0,0 0 0,-1 0 0,-4 2 0,-8 4 0,1-2 0,-1 0 0,-1-2 0,1 1 0,-1-2 0,0-1 0,-22 3 0,10-2 0,1-2 0,-1-1 0,1-1 0,-62-6 0,84 4 0,-1-1 0,1 0 0,-1 0 0,1 0 0,0-1 0,0 0 0,0-1 0,0 0 0,1 0 0,-1-1 0,1 0 0,0 0 0,1-1 0,-1 1 0,1-1 0,0-1 0,1 1 0,-1-1 0,1 0 0,1-1 0,-1 1 0,-4-12 0,6 11 0,-1-1 0,2-1 0,0 1 0,0 0 0,0 0 0,1-1 0,0 1 0,1-1 0,0 1 0,1-1 0,0 1 0,0 0 0,1-1 0,0 1 0,1 0 0,0 0 0,0 0 0,8-13 0,-5 12 0,1-1 0,-1 2 0,2-1 0,-1 1 0,2 0 0,-1 1 0,1-1 0,0 2 0,1-1 0,-1 1 0,2 1 0,-1 0 0,1 0 0,14-5 0,-11 6 0,0 1 0,0 0 0,1 0 0,-1 2 0,1 0 0,0 0 0,-1 2 0,1 0 0,0 0 0,-1 1 0,1 1 0,0 1 0,-1 0 0,0 0 0,0 2 0,0 0 0,0 0 0,-1 1 0,0 1 0,0 0 0,0 1 0,-1 1 0,0 0 0,14 14 0,-13-10 0,0 0 0,0 1 0,-2 1 0,0 0 0,-1 0 0,0 1 0,-1 1 0,13 32 0,-20-42 0,1 0 0,-1 0 0,-1 0 0,1 1 0,-1-1 0,-1 0 0,1 1 0,-1-1 0,-1 1 0,1-1 0,-1 0 0,-1 1 0,1-1 0,-1 0 0,0 0 0,-1 0 0,1 0 0,-2-1 0,1 1 0,-1-1 0,0 1 0,0-1 0,0 0 0,-11 10 0,9-10 0,-1 0 0,0 0 0,-1-1 0,1 0 0,-1 0 0,0-1 0,0 0 0,0 0 0,0-1 0,-1 0 0,0 0 0,1-1 0,-1 0 0,0-1 0,-13 1 0,16-2 0,-1 0 0,0-1 0,1 1 0,-1-2 0,1 1 0,-1-1 0,1 0 0,-1 0 0,1-1 0,0 0 0,0 0 0,0 0 0,1-1 0,-1 1 0,1-2 0,0 1 0,0 0 0,0-1 0,0 0 0,1 0 0,-4-7 0,3 4 0,0 0 0,1-1 0,1 0 0,-1 1 0,1-1 0,1-1 0,0 1 0,0 0 0,1 0 0,0-1 0,0 1 0,1-1 0,1-10 0,0 14 0,0 0 0,0 0 0,0 1 0,1-1 0,0 0 0,0 0 0,1 1 0,-1-1 0,6-7 0,-5 9 0,-1 1 0,1 0 0,-1 0 0,1 1 0,0-1 0,0 1 0,1-1 0,-1 1 0,0 0 0,1 0 0,-1 0 0,1 1 0,0-1 0,0 1 0,5-2 0,-4 3 17,1-1 0,-1 1 0,0 0 1,0 0-1,0 0 0,0 1 0,0 0 0,0 0 0,0 0 0,0 1 0,0-1 0,0 1 0,0 0 0,-1 1 0,1-1 0,-1 1 0,1 0 0,-1 0 1,5 5-1,4 4-359,-1 0 1,0 1 0,-2 0-1,14 21 1,13 24-6485</inkml:trace>
  <inkml:trace contextRef="#ctx0" brushRef="#br0" timeOffset="2801.85">11 2620 24575,'-6'0'0,"1"0"0,13 0 0,3 0 0,157 0 0,18 0-394,85 0-1184,104 0 246,116 0-2416,114 0 2811,107 0 248,-530 0-125,2075-11-4126,-1477-3 4230,-68-2-283,-89-10 820,-106-2 474,-104 0 18,-90-6 658,-80 0-733,-173 24-78,0-3-1,71-24 1,-126 32 216,-8 4-123,1-2-1,-1 1 0,1-1 0,-1 0 1,0 0-1,0-1 0,0 0 1,-1 0-1,1-1 0,5-5 1,-11 10-196,-1-1 0,0 1 0,0 0 0,0-1 1,1 1-1,-1 0 0,0-1 0,0 1 0,0 0 0,0-1 1,1 1-1,-1 0 0,0-1 0,0 1 0,0 0 0,0-1 1,0 1-1,0 0 0,0-1 0,0 1 0,0 0 0,0-1 1,0 1-1,0 0 0,-1-1 0,1 1 0,0-1 0,0 1 1,0 0-1,0 0 0,-1-1 0,1 1 0,0 0 0,0-1 1,0 1-1,-1 0 0,1 0 0,0-1 0,-1 1 0,1 0 1,0 0-1,0 0 0,-1-1 0,1 1 0,0 0 0,-1 0 1,-6-3 383,-1 1 0,1 0 1,0 0-1,-1 1 1,1 0-1,-12 0 0,-8-1 1051,-2-3-1212,1-1 0,0 0 0,0-3 1,0 0-1,1-2 0,0 0 0,1-2 1,0-1-1,2-1 0,-25-19 0,44 30-286,0 0 0,0-1 0,1 1 0,-5-6 0,8 9 0,1 0 0,-1 1 0,1-1 0,-1 1 0,1-1 0,0 0 0,-1 1 0,1-1 0,0 0 0,0 1 0,0-1 0,-1 0 0,1 0 0,0 1 0,0-1 0,0 0 0,0 1 0,0-1 0,0-1 0,1 1 0,-1 1 0,1-1 0,-1 1 0,1-1 0,0 1 0,-1-1 0,1 1 0,0-1 0,-1 1 0,1-1 0,0 1 0,-1 0 0,1-1 0,0 1 0,-1 0 0,1 0 0,0-1 0,0 1 0,0 0 0,-1 0 0,1 0 0,0 0 0,1 0 0,8 0 0,0 0 0,0 1 0,0 0 0,0 0 0,0 1 0,12 4 0,5 3 0,30 14 0,-34-12 0,0 1 0,0 1 0,-1 1 0,35 31 0,-46-36 0,-1 1 0,0 0 0,-1 1 0,0 0 0,-1 0 0,0 1 0,0 0 0,-2 1 0,1 0 0,5 19 0,-9-25 22,-2 0-1,1 0 0,-1 0 1,0 1-1,-1-1 0,0 0 1,0 1-1,0-1 0,-1 0 1,0 1-1,-1-1 0,1 0 1,-1 0-1,-1 0 0,-5 13 1,0-6-307,-1 0 1,0 0-1,-1-1 1,0-1-1,-24 22 1,-5 1-6542</inkml:trace>
  <inkml:trace contextRef="#ctx0" brushRef="#br0" timeOffset="4556.41">10881 1851 24575,'0'-14'0,"0"-10"0,0 0 0,-2 0 0,-5-26 0,6 44 0,-1-1 0,0 1 0,0 0 0,0-1 0,-1 1 0,0 0 0,0 1 0,-1-1 0,1 0 0,-1 1 0,-1 0 0,1 0 0,-1 0 0,0 0 0,-8-6 0,9 9 0,0 0 0,1 0 0,-1 0 0,0 0 0,0 0 0,0 1 0,0 0 0,-1 0 0,1 0 0,0 0 0,0 1 0,-1-1 0,1 1 0,0 0 0,-5 1 0,2 0 0,0 1 0,0 0 0,0 0 0,0 0 0,0 1 0,0 0 0,1 0 0,-9 6 0,0 2 0,0 1 0,1 1 0,0 0 0,1 0 0,1 1 0,-15 21 0,7-4 0,0 0 0,3 2 0,0 0 0,2 1 0,-16 57 0,24-69 0,2 0 0,1 1 0,0-1 0,2 1 0,1 0 0,0 0 0,2-1 0,0 1 0,2 0 0,7 30 0,-7-41 0,1-1 0,1 1 0,0-1 0,1 0 0,0 0 0,0-1 0,1 1 0,0-2 0,1 1 0,0-1 0,17 15 0,-12-14 0,1 0 0,-1-1 0,2-1 0,-1 0 0,1-1 0,0 0 0,1-1 0,18 4 0,-11-5 0,0 0 0,0-2 0,0 0 0,0-2 0,0-1 0,0 0 0,1-2 0,-1-1 0,0 0 0,-1-2 0,1-1 0,36-14 0,-39 11 0,0-1 0,-1-1 0,-1-1 0,1 0 0,-2-1 0,0-2 0,0 1 0,-2-2 0,0 0 0,0-1 0,-2 0 0,0-1 0,-1-1 0,-1 0 0,0-1 0,-2 1 0,0-2 0,-2 0 0,0 0 0,-1 0 0,-1 0 0,2-25 0,-5 35 0,-1 1 0,1 0 0,-2-1 0,1 1 0,-2-17 0,-4 63 0,6-29 0,0 0 0,1 0 0,0 0 0,0 0 0,1 0 0,0 0 0,0 0 0,0-1 0,1 0 0,0 1 0,0-2 0,1 1 0,-1 0 0,1-1 0,1 0 0,-1 0 0,1 0 0,-1-1 0,1 0 0,1 0 0,-1 0 0,10 3 0,-9-3 0,0-1 0,0 0 0,1 0 0,-1-1 0,1 0 0,0 0 0,-1-1 0,1 0 0,0-1 0,0 1 0,0-1 0,0-1 0,0 0 0,-1 0 0,1 0 0,0-1 0,-1 0 0,1-1 0,-1 1 0,14-8 0,-15 5 0,1 0 0,-1 0 0,0 0 0,-1 0 0,1-1 0,-1 0 0,0-1 0,0 1 0,-1-1 0,0 1 0,0-1 0,-1-1 0,5-11 0,-6 12 0,-1 1 0,1-1 0,-1 1 0,0-1 0,-1 0 0,1 1 0,-1-1 0,0 0 0,-1 1 0,0-1 0,0 1 0,-1-1 0,1 1 0,-1-1 0,-1 1 0,-3-9 0,2 8 0,0 1 0,-1-1 0,1 1 0,-2 0 0,1 0 0,0 0 0,-1 0 0,0 1 0,-1 0 0,1 1 0,-1-1 0,0 1 0,-10-4 0,12 6 0,1 0 0,-1 0 0,0 1 0,0 0 0,0 0 0,0 0 0,-1 1 0,1 0 0,0 0 0,0 0 0,0 0 0,0 1 0,0 0 0,0 0 0,0 0 0,0 1 0,0-1 0,0 1 0,0 1 0,1-1 0,-1 0 0,-3 4 0,2-1 0,1-1 0,-1 1 0,1 0 0,1 1 0,-1-1 0,1 1 0,0 0 0,0 0 0,0 0 0,1 0 0,0 1 0,0-1 0,1 1 0,0 0 0,0-1 0,1 1 0,0 0 0,0 0 0,0 1 0,1 10 0,0-10 0,1 0 0,0-1 0,0 1 0,1 0 0,0-1 0,0 1 0,1-1 0,0 1 0,0-1 0,1 0 0,0-1 0,0 1 0,1 0 0,-1-1 0,1 0 0,1 0 0,-1-1 0,11 8 0,-3-4 0,1-1 0,1 0 0,-1-1 0,1-1 0,0 0 0,1-1 0,0-1 0,-1 0 0,1-1 0,0-1 0,0 0 0,20-1 0,-14-1 0,1-2 0,-1 0 0,0-1 0,0-1 0,0-1 0,0-1 0,-1-1 0,27-13 0,-34 13 0,0-1 0,-1 0 0,1-2 0,-2 1 0,1-2 0,-1 1 0,-1-2 0,15-18 0,-13 13 0,-1-1 0,-1-1 0,0 0 0,-2 0 0,12-34 0,-8 6 0,-2 1 0,-2-1 0,-2-1 0,-2 0 0,-2-50 0,-2 35 0,-8-68 0,5 113 0,-1 0 0,0-1 0,-2 2 0,0-1 0,0 1 0,-2-1 0,0 1 0,-13-20 0,18 34 0,1 0 0,-1 1 0,0-1 0,0 1 0,0-1 0,0 1 0,0 0 0,-1 0 0,1 0 0,-1 0 0,1 0 0,-1 1 0,0-1 0,0 1 0,-3-2 0,4 3 0,1 0 0,-1 0 0,0 0 0,0 0 0,1 1 0,-1-1 0,0 0 0,1 1 0,-1-1 0,0 1 0,1-1 0,-1 1 0,1 0 0,-1 0 0,1 0 0,-1 0 0,1 0 0,-1 0 0,1 0 0,0 0 0,0 1 0,0-1 0,0 0 0,0 1 0,0-1 0,0 1 0,-1 2 0,-4 7 0,0 0 0,1 0 0,1 1 0,0 0 0,-5 24 0,-6 71 0,15-105 0,-18 282 0,19-242 0,1 1 0,2-1 0,2 0 0,20 69 0,-21-95 0,1-2 0,0 1 0,1-1 0,1 0 0,0 0 0,0-1 0,2 0 0,0 0 0,0-1 0,1 0 0,20 16 0,-16-17 0,1 0 0,1-1 0,0 0 0,0-1 0,0-1 0,1-1 0,1-1 0,34 8 0,-29-9 0,0-2 0,0 0 0,0-2 0,1-1 0,-1-1 0,0-1 0,0-1 0,0-1 0,0-1 0,-1-1 0,0-1 0,0-1 0,0-1 0,-1-1 0,32-20 0,-33 15-6,-1 0 0,-1-1-1,0-1 1,-2-1-1,0 0 1,0-1 0,18-30-1,-17 19-18,-1-1 0,-2 0-1,-1-2 1,17-55-1,-15 29-56,14-114-1,-13-57-82,-17 226 158,3-55-25,-2-1 1,-11-95-1,8 147 32,1-1 0,-2 1 0,1 0 0,-1-1 0,0 1 0,-8-14 0,10 20 0,0 1 0,0-1 0,-1 1 0,1-1 0,0 1 0,-1-1 0,1 1 0,-1 0 0,1-1 0,-4 0 0,4 1 0,1 1 0,-1 0 0,0 0 0,0-1 0,1 1 0,-1 0 0,0 0 0,0 0 0,1 0 0,-1 0 0,0 0 0,0 0 0,0 0 0,1 0 0,-1 0 0,0 1 0,0-1 0,1 0 0,-2 1 0,-1 1 0,1 0 0,0 0 0,-1 0 0,1 0 0,0 0 0,0 1 0,1-1 0,-1 1 0,0 0 0,1-1 0,-1 1 0,-1 4 0,-6 22 0,1 0 0,1 0 0,1 0 0,-3 51 0,0 22 153,5 158-1,7-213-101,2 0 0,2-1 0,1 1 0,3-2-1,30 79 1,-38-115-51,1 1 0,0-1 0,1 0 0,0 0 0,1-1 0,0 0 0,0 0 0,0 0 0,12 10 0,-17-17 12,0 0 1,-1-1-1,1 1 0,0-1 0,0 1 0,0-1 1,0 1-1,0-1 0,-1 1 0,1-1 0,0 0 1,0 1-1,0-1 0,0 0 0,0 0 0,0 0 0,0 0 1,0 0-1,0 0 0,0 0 0,0 0 0,0 0 1,0-1-1,0 1 0,0 0 0,0-1 0,1 0 1,0 0-169,-1-1 1,1 1 0,-1-1 0,1 1 0,-1-1 0,0 0 0,1 0-1,-1 0 1,0 0 0,1-3 0,10-32-6671</inkml:trace>
  <inkml:trace contextRef="#ctx0" brushRef="#br0" timeOffset="6361.37">11939 600 24575,'1'-9'0,"-1"1"0,2-1 0,-1 1 0,2 0 0,-1 0 0,1 0 0,0 0 0,0 0 0,1 0 0,0 1 0,1-1 0,-1 1 0,10-10 0,6-6 0,1 2 0,40-33 0,1 7-94,2 1 0,2 4 0,1 3 0,3 2 0,0 4 0,3 3 0,0 3 0,2 3 0,88-16 0,-132 34 94,0 2 0,0 1 1,1 1-1,0 2 0,-1 1 0,42 6 0,-57-4 0,0 1 0,-1 0 0,1 1 0,-1 1 0,-1 0 0,1 1 0,-1 0 0,0 1 0,0 1 0,-1 1 0,-1-1 0,1 2 0,-2 0 0,13 14-1,-13-11 1,-1 0 0,0 0 0,-1 0 0,-1 1 0,0 1 0,-1-1 0,-1 1 0,0 1 0,-2-1 0,1 1 0,-2-1 0,0 1 0,-1 0 0,-1 0 0,-1 1 0,-2 22 0,-2-18 0,-13 39 0,12-44 0,0 1 0,-6 36 0,11-51 4,0 0 0,0 0 0,0 0-1,0 0 1,1-1 0,-1 1-1,1 0 1,-1 0 0,1 0-1,0 0 1,0 0 0,1-1-1,-1 1 1,0 0 0,1-1-1,0 0 1,-1 1 0,1-1-1,0 0 1,0 0 0,0 1-1,1-2 1,-1 1 0,0 0-1,1 0 1,-1-1 0,1 1-1,0-1 1,-1 0 0,4 1-1,8 2 123,-1 0-1,1-2 0,0 1 0,28 0 0,-38-3-81,27 2 29,121 12 49,-133-10-128,0 0 1,-1 2-1,0 0 1,1 1-1,-2 0 1,20 13-1,-15-7-4,-2 1 0,0 1-1,0 1 1,-2 0 0,0 2-1,-1 0 1,-1 1 0,22 33 0,-19-22-29,-2 1 0,-2 0 1,-1 1-1,-1 0 0,14 56 1,-15-32-38,-3 0 1,-2 0 0,-3 1-1,-2 0 1,-2 0-1,-3 0 1,-15 80 0,8-86 58,-2 0 0,-2-1 0,-3-1 0,-1 0 0,-3-1 1,-2-1-1,-1-1 0,-3-1 0,-2-2 0,-51 60 0,69-90 17,-1 0 0,0-2 0,-1 1 0,0-1 0,-1-1 0,0-1 0,-1 0 0,-22 11 0,39-21 0,0 1-1,1 0 1,-1 0 0,1-1-1,-1 1 1,0 1-1,1-1 1,-1 0 0,1 1-1,-1-1 1,0 1-1,0 0 1,1-1 0,-1 1-1,3 2 1,0 0 32,1 0 0,-1 0 0,0 0 0,0 1 0,9 7 0,-7-2 18,0-1 0,-1 1 0,0 0 1,0 0-1,-1 0 0,0 1 0,0 0 1,-1 0-1,-1 0 0,0 1 0,2 12 1,-1-1 14,-1 1-1,-1-1 1,-1 1 0,-4 31 0,1-27-65,-2 0 0,0 0 0,-2 0 0,-1-1 0,-2 0 0,0 0 0,-2-1 0,0 0 0,-2-1 0,-1 0 0,0-1 0,-2-1 0,-1 0 0,0-1 0,-2-1 0,0 0 0,-1-2 0,-41 29 0,21-23-41,-2-1 0,0-3 0,0-1 0,-2-2 0,-1-2 0,0-2 0,-76 12 0,29-13-68,-1-4-1,-173-7 1,208-4 109,-1-2 0,1-4 0,1-1 0,0-4 0,-59-21 0,86 23 0,1 0 0,1-3 0,0 0 0,-36-27 0,46 28 0,1 0 0,1-2 0,0 1 0,1-2 0,1 0 0,0-1 0,-11-19 0,12 9 0,23 51 0,-7-13 41,0-1 0,0 1 0,-1 0 0,-1 0 0,0 0 0,0 0 0,-2 18 0,1-21-16,-2-1 1,1 1-1,-1 0 0,0 0 0,0-1 1,-1 1-1,1-1 0,-2 0 0,1 0 1,-1 0-1,0 0 0,-8 9 0,-1-2-25,0-1 0,-2-1 0,1 0 0,-1-1 0,-1 0 0,0-1 0,0-1 0,-1 0 0,0-2 0,-21 7 0,-11 0 0,-1-2 0,-74 7 0,83-15 0,1-1 0,-1-1 0,1-3 0,-1-1 0,-78-18 0,94 15 0,1-2 0,0 0 0,1-2 0,0 0 0,0-1 0,1-2 0,1 0 0,0-2 0,1 0 0,-32-31 0,41 35 0,5 4 0,0 1 0,0 0 0,-1 0 0,-11-7 0,15 11 0,0 1 0,0-1 0,0 1 0,0 0 0,0 0 0,0 0 0,0 1 0,-1-1 0,1 1 0,0 0 0,-1 0 0,1 0 0,0 0 0,0 0 0,-6 2 0,-16 5 0,0 0 0,-46 23 0,-3 1 0,31-16 0,0-2 0,0-2 0,-1-1 0,0-3 0,-1-2 0,-45 1 0,70-7 0,0 0 0,0 0 0,-1-2 0,1-1 0,1 0 0,-1-2 0,1 0 0,0-1 0,0-1 0,1 0 0,0-2 0,0 0 0,1-1 0,0-1 0,-22-21 0,23 16 0,0 0 0,2-1 0,0-1 0,1 0 0,1-1 0,0 0 0,2-1 0,1 0 0,0 0 0,2-1 0,0 0 0,1-1 0,2 0 0,0 1 0,2-2 0,0 1 0,1 0 0,2 0 0,0 0 0,6-27 0,-6 38 0,0 0 0,0 0 0,-1 0 0,-1 0 0,0 0 0,0 0 0,-4-14 0,-5-8 0,-15-36 0,-7-24 0,15 17 0,-15-152 0,23-80 0,9 282 0,-1-1 0,2 0 0,8-52 0,-8 74 0,0 0 0,1 0 0,0 0 0,0 0 0,0 0 0,1 0 0,0 0 0,0 1 0,0 0 0,1-1 0,0 1 0,0 0 0,0 1 0,0-1 0,1 1 0,0 0 0,0 0 0,6-4 0,0 3 0,1 0 0,0 1 0,0 0 0,0 1 0,0 0 0,1 1 0,-1 1 0,16-1 0,-6 2 0,1 0 0,-1 2 0,35 7 0,-22 2 0,-29-4 0,-13-3 0,-20-4 0,13-4 0,0-1 0,0 0 0,1-1 0,-1 0 0,1-1 0,0-1 0,1 0 0,0 0 0,0-1 0,1-1 0,0 0 0,1 0 0,0-1 0,1-1 0,-14-21 0,8 10 0,1-2 0,1 1 0,1-2 0,1 0 0,1 0 0,2-1 0,-8-44 0,12 46 0,1 0 0,1-1 0,1 1 0,1 0 0,1-1 0,6-30 0,-4 40 0,1 0 0,1 1 0,0 0 0,1-1 0,1 2 0,0-1 0,1 1 0,1 0 0,0 1 0,21-25 0,-11 20 0,0 1 0,1 0 0,1 2 0,0 0 0,1 1 0,0 1 0,1 1 0,1 1 0,49-15 0,-41 17 0,1 2 0,0 0 0,0 3 0,1 0 0,-1 3 0,1 0 0,41 6 0,-59-3 0,-1 0 0,1 2 0,0 0 0,-1 1 0,0 0 0,22 12 0,-34-16 0,-1 1 0,-1-1 0,1 0 0,0 0 0,0 0 0,0 0 0,0 0 0,0 0 0,1-1 0,-1 1 0,0-1 0,0 1 0,4-1 0,-5-1 0,0 0 0,1 0 0,-1-1 0,-1 1 0,1 0 0,0-1 0,0 1 0,0 0 0,-1-1 0,1 1 0,0-1 0,-1 0 0,0 1 0,1-1 0,-1 1 0,0-1 0,0 0 0,0-1 0,4-12 0,0 1 0,1 0 0,1 0 0,0 0 0,1 1 0,0 0 0,1 0 0,1 0 0,0 1 0,1 1 0,0 0 0,0 0 0,22-16 0,-17 14 0,1 2 0,1-1 0,0 2 0,1 1 0,0 0 0,0 1 0,1 1 0,0 0 0,0 2 0,20-4 0,-26 8 0,0 0 0,0 1 0,0 1 0,0 0 0,-1 0 0,1 2 0,0-1 0,-1 2 0,0 0 0,1 0 0,-2 1 0,1 0 0,0 1 0,-1 0 0,19 16 0,-11-8 0,0 2 0,-2 0 0,0 1 0,-1 1 0,0 1 0,-2 0 0,18 30 0,-7-7 0,-25-41 0,1-1 0,-1 1 0,0-1 0,0 1 0,1-1 0,-1 1 0,0-1 0,0 1 0,1-1 0,-1 0 0,1 1 0,-1-1 0,0 1 0,1-1 0,-1 0 0,1 0 0,-1 1 0,1-1 0,-1 0 0,1 0 0,-1 1 0,1-1 0,-1 0 0,1 0 0,-1 0 0,1 0 0,-1 0 0,1 0 0,-1 0 0,1 0 0,-1 0 0,1 0 0,-1 0 0,1 0 0,-1 0 0,1-1 0,-1 1 0,1 0 0,0-1 0,5-4 0,1 0 0,-1-1 0,-1 0 0,1 0 0,-1 0 0,5-10 0,13-13 0,2 2 0,0 1 0,2 1 0,56-40 0,-67 54 0,0 0 0,1 2 0,0 0 0,1 1 0,0 1 0,0 0 0,0 2 0,1 0 0,22-3 0,-31 7 0,1 1 0,0 0 0,0 0 0,0 1 0,-1 1 0,1 0 0,0 0 0,-1 1 0,0 0 0,15 7 0,-12-3 0,0 0 0,-1 1 0,0 0 0,0 1 0,-1 0 0,0 1 0,10 12 0,-3 0 0,-1 1 0,0 1 0,-2 1 0,-1 0 0,-1 1 0,-1 0 0,12 40 0,-18-46-195,0 1 0,-2 0 0,0-1 0,-1 2 0,-1-1 0,-2 24 0,-7 17-6631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5:43.974"/>
    </inkml:context>
    <inkml:brush xml:id="br0">
      <inkml:brushProperty name="width" value="0.05" units="cm"/>
      <inkml:brushProperty name="height" value="0.05" units="cm"/>
      <inkml:brushProperty name="color" value="#E71224"/>
    </inkml:brush>
  </inkml:definitions>
  <inkml:trace contextRef="#ctx0" brushRef="#br0">243 2846 24575,'-4'5'0,"0"0"0,0 1 0,0-1 0,1 1 0,0-1 0,0 1 0,0 0 0,1 0 0,0 0 0,-2 8 0,-1 10 0,-2 32 0,4-34 0,-1 7 0,2 0 0,1 1 0,3 35 0,-2-62 0,0-1 0,0 1 0,0-1 0,1 1 0,0-1 0,-1 1 0,1-1 0,0 1 0,0-1 0,0 0 0,0 1 0,1-1 0,-1 0 0,1 0 0,-1 0 0,1 0 0,0 0 0,3 2 0,-4-4 0,-1 1 0,1-1 0,0 0 0,0 1 0,0-1 0,0 0 0,0 0 0,0 0 0,0 0 0,0 0 0,0 0 0,0 0 0,-1 0 0,1 0 0,0 0 0,0-1 0,0 1 0,2-1 0,-1 0 0,1-1 0,-1 0 0,0 1 0,1-1 0,-1 0 0,0 0 0,0 0 0,2-3 0,12-17 0,-1-1 0,-1 0 0,14-32 0,-23 46 0,154-365-470,-30-7-299,-51 144 565,-53 164 204,63-128 0,-85 194 0,1 1 0,0 0 0,0 0 0,0 0 0,1 0 0,10-9 0,-15 14 0,1 1 0,0-1 0,-1 1 0,1-1 0,0 1 0,-1-1 0,1 1 0,0 0 0,-1 0 0,1-1 0,0 1 0,0 0 0,-1 0 0,1 0 0,0 0 0,0 0 0,0 0 0,-1 0 0,1 0 0,0 0 0,0 0 0,-1 0 0,1 0 0,0 1 0,0-1 0,-1 0 0,1 1 0,0-1 0,0 0 0,-1 1 0,1-1 0,-1 1 0,1-1 0,0 1 0,-1-1 0,1 1 0,-1-1 0,1 2 0,4 4 0,-1 0 0,-1 0 0,1 0 0,-1 0 0,0 1 0,-1 0 0,4 12 0,10 58 0,-16-75 0,29 255 0,-15-111 0,37 458 1203,-51-545-963,0-58-223,0 0 0,0 0 0,0 0 1,0 0-1,0 0 0,0 0 0,-1 0 0,1 0 0,0 0 0,-1 1 0,1-2 0,-1 1 0,1 0 0,-1 0 0,1 0 0,-1 0 0,0 0 0,1 0 1,-2 1-1,1-2-81,0 0 1,1 0 0,-1 0 0,0-1 0,1 1-1,-1 0 1,0 0 0,1 0 0,-1 0 0,1-1-1,-1 1 1,0 0 0,1-1 0,-1 1-1,1 0 1,-1-1 0,1 1 0,-1-1 0,1 1-1,-1-1 1,1 1 0,0-1 0,-1 1 0,1-1-1,0 1 1,-1-2 0,-14-24-6763</inkml:trace>
  <inkml:trace contextRef="#ctx0" brushRef="#br0" timeOffset="182.81">530 2494 24575,'-11'0'0,"-3"5"0,6 3 0,26-7 0,21-3 0,15-17 0,9-6 0,10 2 0,9 4 0,-9 6-8191</inkml:trace>
  <inkml:trace contextRef="#ctx0" brushRef="#br0" timeOffset="776.33">1461 2334 24575,'0'0'0,"-1"-1"0,1 1 0,0 0 0,-1 0 0,1 0 0,-1 0 0,1 0 0,-1 0 0,1 0 0,-1 1 0,1-1 0,0 0 0,-1 0 0,1 0 0,-1 0 0,1 0 0,0 1 0,-1-1 0,1 0 0,0 0 0,-1 1 0,1-1 0,0 0 0,-1 1 0,1-1 0,0 0 0,-1 1 0,1-1 0,0 0 0,0 1 0,0-1 0,-1 1 0,1-1 0,0 0 0,0 1 0,0 0 0,0 0 0,0-1 0,1 1 0,-1 0 0,0-1 0,1 1 0,-1-1 0,0 1 0,1 0 0,-1-1 0,1 1 0,-1-1 0,1 1 0,-1-1 0,1 0 0,-1 1 0,1-1 0,-1 1 0,1-1 0,0 0 0,-1 0 0,1 1 0,0-1 0,-1 0 0,2 0 0,2 2 0,0-1 0,0 0 0,0-1 0,0 1 0,0-1 0,0 0 0,0 0 0,0 0 0,0 0 0,0-1 0,0 1 0,-1-1 0,1 0 0,0 0 0,0-1 0,0 1 0,-1-1 0,1 0 0,-1 0 0,1 0 0,-1 0 0,0-1 0,0 1 0,0-1 0,0 0 0,0 0 0,4-5 0,1-4 0,0-1 0,-1 0 0,0 0 0,-1-1 0,0 1 0,4-20 0,0-2 0,-1 0 0,-2 0 0,-2-1 0,-1 1 0,-2-1 0,-4-58 0,2 91 0,-1-1 0,1 0 0,-1 1 0,0-1 0,0 1 0,-2-6 0,3 9 0,-1-1 0,1 1 0,0-1 0,0 1 0,-1-1 0,1 1 0,0 0 0,0-1 0,-1 1 0,1-1 0,0 1 0,-1 0 0,1 0 0,-1-1 0,1 1 0,0 0 0,-1-1 0,1 1 0,-1 0 0,1 0 0,-1 0 0,1 0 0,-1 0 0,1-1 0,-1 1 0,1 0 0,-1 0 0,0 0 0,-1 2 0,-1-1 0,1 1 0,0-1 0,0 1 0,1 0 0,-1 0 0,0 0 0,0 0 0,1 0 0,-1 0 0,1 0 0,0 1 0,0-1 0,0 0 0,0 1 0,-1 4 0,-8 20 0,2 0 0,1 1 0,1 0 0,-1 29 0,-4 120 0,10-138 0,-3 301 0,4-325 0,0 15 0,-6 56 0,5-77 0,-1-1 0,0 1 0,0-1 0,-1 1 0,0-1 0,-1 0 0,0 0 0,0 0 0,-1-1 0,1 1 0,-7 6 0,9-12 0,0 1 0,0-1 0,-1 0 0,1 0 0,0 0 0,-1 0 0,1-1 0,-1 1 0,1-1 0,-1 1 0,0-1 0,0 0 0,1 0 0,-1 0 0,0 0 0,0-1 0,0 1 0,0-1 0,0 0 0,0 0 0,0 0 0,-6-1 0,3 0 0,1-1 0,-1 0 0,0 0 0,1-1 0,-1 0 0,1 0 0,0 0 0,0-1 0,0 1 0,-5-6 0,-54-49 0,64 58 0,0 0 0,0 0 0,1 0 0,-1 0 0,0 0 0,0 0 0,0 0 0,0-1 0,0 1 0,1 0 0,-1 0 0,0 0 0,0 0 0,0 0 0,0 0 0,0 0 0,0 0 0,1 0 0,-1-1 0,0 1 0,0 0 0,0 0 0,0 0 0,0 0 0,0 0 0,0 0 0,0-1 0,0 1 0,0 0 0,0 0 0,0 0 0,0 0 0,0-1 0,0 1 0,0 0 0,0 0 0,0 0 0,0 0 0,0 0 0,0-1 0,0 1 0,0 0 0,0 0 0,0 0 0,0 0 0,0 0 0,0-1 0,0 1 0,0 0 0,-1 0 0,1 0 0,0 0 0,0 0 0,0 0 0,0 0 0,0 0 0,0-1 0,0 1 0,-1 0 0,1 0 0,0 0 0,0 0 0,0 0 0,0 0 0,0 0 0,-1 0 0,1 0 0,15 1 0,-12-1 0,16 3 12,152 14 314,-135-15-893,-1-2-1,64-8 0,-67 2-6258</inkml:trace>
  <inkml:trace contextRef="#ctx0" brushRef="#br0" timeOffset="1197.83">147 3328 24575,'-146'0'0,"286"0"0,496-27-974,-249 5 516,277 6 458,-625 15 0,-86 2-1126,-11-1-4507</inkml:trace>
  <inkml:trace contextRef="#ctx0" brushRef="#br0" timeOffset="1571.73">370 3361 24575,'-11'0'0,"19"0"0,24 0 0,33 0 0,28 0 0,31 0 0,27 0 0,21 0 0,19 0 0,-2 0-745,-15 0 745,-27 0 0,-45 0 0,-38-6 0,-32-1-7446</inkml:trace>
  <inkml:trace contextRef="#ctx0" brushRef="#br0" timeOffset="4123.2">756 1917 24575,'-1'-96'0,"13"-307"0,9 166-162,21-180-218,-29 323 380,33-221 0,20 11 0,-52 263 0,-9 38 0,-2 10 0,-2 2 0,-1 0-1,0-1 1,0 1-1,-1 0 1,0 0-1,0-1 1,-1 1-1,0-1 1,-6 14-1,-2 1 33,0 0 0,-17 26 0,-57 73 261,70-104-261,-1-2-1,0 0 1,-1 0 0,-27 19-1,40-32-31,-1-1 0,1 0 0,-1 0 0,0 0 0,1-1 0,-1 1 0,-8 1 0,10-3 0,1 1 0,-1-1 0,0 0 0,1 0 0,-1 0 0,1 0 0,-1 0 0,1-1 0,-1 1 0,0 0 0,1-1 0,-1 1 0,1-1 0,-1 0 0,-1-1 0,0 0 0,1 0 0,0 0 0,1-1 0,-1 1 0,0-1 0,1 1 0,-1-1 0,1 0 0,0 1 0,0-1 0,0 0 0,0 0 0,0 0 0,1 0 0,0 0 0,-1 0 0,1 0 0,0 0 0,0 1 0,1-7 0,1-8 0,1-1 0,0 1 0,1 0 0,1 0 0,8-18 0,40-82 0,-42 95 0,0 0 0,1 1 0,26-34 0,-36 53 0,-1 0 0,0 1 0,1-1 0,-1 0 0,1 1 0,0-1 0,0 1 0,-1 0 0,1-1 0,0 1 0,0 0 0,0 0 0,0 0 0,0 0 0,1 1 0,-1-1 0,0 1 0,0-1 0,0 1 0,1 0 0,-1-1 0,0 1 0,0 1 0,1-1 0,-1 0 0,0 0 0,0 1 0,1-1 0,-1 1 0,0 0 0,0 0 0,0-1 0,0 1 0,0 1 0,0-1 0,0 0 0,0 0 0,2 3 0,5 5 0,0 1 0,0 0 0,0 0 0,-2 1 0,10 15 0,-15-23 0,112 193 0,-109-186-136,1-1-1,0 0 1,0 0-1,1-1 1,0 0-1,1 0 1,0-1-1,0 0 0,11 7 1,27 12-6690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5:50.359"/>
    </inkml:context>
    <inkml:brush xml:id="br0">
      <inkml:brushProperty name="width" value="0.05" units="cm"/>
      <inkml:brushProperty name="height" value="0.05" units="cm"/>
      <inkml:brushProperty name="color" value="#E71224"/>
    </inkml:brush>
  </inkml:definitions>
  <inkml:trace contextRef="#ctx0" brushRef="#br0">275 1513 24575,'0'-24'0,"-2"1"0,0 0 0,-6-27 0,6 41 0,0 1 0,-1-1 0,0 1 0,0-1 0,-1 1 0,0 0 0,0 1 0,-1-1 0,0 1 0,-12-14 0,16 20 0,-1-1 0,1 0 0,-1 1 0,0-1 0,0 1 0,1 0 0,-1 0 0,0-1 0,0 1 0,0 0 0,0 1 0,-1-1 0,1 0 0,0 0 0,0 1 0,0 0 0,-1-1 0,1 1 0,0 0 0,0 0 0,-1 0 0,1 0 0,0 1 0,0-1 0,0 0 0,-1 1 0,1 0 0,0-1 0,0 1 0,0 0 0,0 0 0,0 0 0,0 1 0,0-1 0,-2 2 0,-3 4 0,1-1 0,0 2 0,0-1 0,0 0 0,1 1 0,0 0 0,-6 15 0,-5 13 0,3 1 0,0 0 0,3 1 0,1 0 0,-5 49 0,7-14 0,5 138 0,4-179 0,0-1 0,3 0 0,0 0 0,2-1 0,1 0 0,25 58 0,-27-75 0,0 0 0,2 0 0,-1-1 0,2 0 0,0 0 0,0-1 0,1 0 0,0 0 0,1-2 0,0 1 0,1-1 0,-1-1 0,2 0 0,-1 0 0,1-2 0,1 1 0,14 4 0,-17-8 0,0 0 0,0-1 0,0 0 0,1 0 0,-1-1 0,1-1 0,-1 0 0,1 0 0,-1-1 0,0-1 0,1 0 0,-1-1 0,0 0 0,0 0 0,0-1 0,-1 0 0,1-1 0,-1-1 0,0 0 0,-1 0 0,10-8 0,-4 2 0,0-2 0,-1 0 0,0-1 0,-1-1 0,-1 0 0,0 0 0,-1-1 0,-1 0 0,-1-1 0,-1-1 0,8-22 0,-3-6 0,-2 0 0,-2-1 0,-2 0 0,-2-1 0,-2 0 0,-6-66 0,3 96 0,-1 1 0,-1 0 0,-1 0 0,-7-28 0,5 39 0,0 10 0,3 4 0,1 0 0,0 0 0,0 1 0,0-1 0,1 0 0,0 0 0,0 1 0,1-1 0,0 0 0,3 13 0,0-4 0,0-1 0,1 0 0,0 0 0,2-1 0,0 1 0,0-1 0,1-1 0,1 1 0,0-2 0,1 1 0,0-1 0,19 17 0,-21-22 0,-1-1 0,1 0 0,1 0 0,-1-1 0,1 0 0,0-1 0,0 1 0,0-2 0,0 1 0,1-1 0,0-1 0,-1 0 0,1 0 0,0-1 0,0 0 0,0-1 0,0 0 0,0-1 0,0 0 0,0 0 0,12-4 0,-15 3 0,0-1 0,0 0 0,0 0 0,0 0 0,-1-1 0,1 0 0,-1 0 0,0-1 0,-1 0 0,1 0 0,-1 0 0,0-1 0,0 0 0,0 0 0,-1 0 0,0 0 0,0-1 0,-1 1 0,0-1 0,0 0 0,0 0 0,-1 0 0,0-1 0,-1 1 0,1 0 0,-1-1 0,-1 1 0,1-1 0,-1 1 0,-2-12 0,-1-3 0,-2-1 0,0 0 0,-2 1 0,0 0 0,-1 1 0,-2 0 0,0 0 0,-1 1 0,-1 0 0,-1 1 0,0 0 0,-2 1 0,0 1 0,-1 0 0,-26-21 0,35 32 0,-1 1 0,1-1 0,-1 2 0,0-1 0,-1 1 0,1 0 0,-1 1 0,1 0 0,-1 0 0,0 1 0,-12-1 0,16 2 0,0 1 0,0 1 0,0-1 0,0 1 0,0-1 0,1 2 0,-1-1 0,0 0 0,0 1 0,1 0 0,-1 0 0,1 0 0,0 1 0,-1-1 0,1 1 0,0 0 0,1 0 0,-1 1 0,0-1 0,1 1 0,0-1 0,-4 7 0,-2 3 0,1 0 0,1 1 0,0 0 0,1 0 0,1 1 0,0 0 0,-3 15 0,3-8 0,1 1 0,2 0 0,0-1 0,2 28 0,0-38 0,1-1 0,1 0 0,0 0 0,0 0 0,1 0 0,1 0 0,7 17 0,-8-22 0,1 0 0,0 0 0,0 0 0,0 0 0,1-1 0,-1 0 0,1 0 0,1 0 0,-1 0 0,1-1 0,0 0 0,0 0 0,7 3 0,0-1 0,0-1 0,0 0 0,0-1 0,0-1 0,0 0 0,1-1 0,-1 0 0,1-1 0,0-1 0,-1 0 0,1-1 0,0 0 0,-1-1 0,1 0 0,-1-1 0,0-1 0,0 0 0,0-1 0,0 0 0,22-14 0,-17 8 0,-1-1 0,-1 0 0,0-2 0,0 1 0,-1-2 0,-1 0 0,-1-1 0,0 0 0,-1-1 0,-1 0 0,0-1 0,-1 0 0,10-28 0,-10 14 0,0 1 0,-2-2 0,-2 1 0,-1-1 0,-1 1 0,-2-1 0,-4-62 0,-3 49 0,-1 0 0,-3 0 0,-1 1 0,-33-87 0,33 107 0,-14-25 0,21 44 0,0 1 0,0 0 0,-1 0 0,1 0 0,-1 0 0,-1 1 0,1-1 0,0 1 0,-1 0 0,-6-4 0,10 8 0,0-1 0,1 0 0,-1 1 0,0 0 0,0-1 0,0 1 0,1-1 0,-1 1 0,0 0 0,0 0 0,0-1 0,0 1 0,0 0 0,0 0 0,0 0 0,1 0 0,-1 0 0,0 0 0,0 0 0,0 0 0,0 1 0,0-1 0,0 0 0,0 0 0,1 1 0,-1-1 0,0 1 0,0-1 0,0 1 0,1-1 0,-1 1 0,0-1 0,0 1 0,1 0 0,-1-1 0,1 1 0,-1 0 0,1-1 0,-1 1 0,1 0 0,-1 0 0,0 1 0,-1 4 0,0 0 0,1-1 0,0 1 0,0 0 0,-1 11 0,2 12 0,0 0 0,2-1 0,1 1 0,2-1 0,0 0 0,10 29 0,0-10 0,3-1 0,39 76 0,-45-101 0,0-1 0,2 0 0,0 0 0,1-1 0,1-1 0,1-1 0,20 17 0,-27-26 0,0-1 0,1 1 0,0-2 0,0 1 0,0-2 0,1 1 0,0-2 0,0 0 0,0 0 0,1-1 0,-1 0 0,1-1 0,0-1 0,24 0 0,-31-1 0,0-1 0,0 0 0,0 0 0,0 0 0,0-1 0,-1 0 0,1 0 0,0 0 0,-1-1 0,0 0 0,1 0 0,-1 0 0,0-1 0,-1 0 0,1 0 0,-1 0 0,0 0 0,1-1 0,-2 1 0,1-1 0,-1 0 0,1 0 0,2-8 0,2-5 0,-1 0 0,-1-1 0,0 0 0,-2 0 0,5-39 0,-4 17 0,-1-1 0,-2 0 0,-2-1 0,-2 1 0,-8-53 0,8 89 0,1-1 0,-1 1 0,0-1 0,0 1 0,-6-10 0,8 16 0,0-1 0,0 1 0,-1-1 0,1 1 0,0 0 0,0-1 0,0 1 0,0 0 0,-1-1 0,1 1 0,0 0 0,0-1 0,0 1 0,-1 0 0,1 0 0,0-1 0,-1 1 0,1 0 0,0 0 0,-1 0 0,1-1 0,0 1 0,-1 0 0,1 0 0,0 0 0,-1 0 0,1 0 0,0 0 0,-1 0 0,1-1 0,-1 1 0,1 0 0,0 0 0,-1 1 0,1-1 0,0 0 0,-1 0 0,1 0 0,-1 0 0,1 0 0,0 0 0,-1 0 0,1 1 0,0-1 0,-1 0 0,1 0 0,0 0 0,-1 1 0,1-1 0,0 0 0,0 0 0,-1 1 0,1-1 0,-2 5 0,0-1 0,0 0 0,1 0 0,0 1 0,0-1 0,0 1 0,0-1 0,1 1 0,-1 6 0,4 49 0,1-37 0,1 1 0,1-1 0,1-1 0,1 1 0,1-1 0,1 0 0,0-1 0,2 0 0,1-1 0,27 33 0,-33-44 0,1-1 0,0 0 0,1 0 0,0-1 0,0 0 0,1-1 0,13 8 0,-19-12 0,-1-1 0,0 0 0,0 1 0,1-1 0,-1 0 0,1 0 0,-1-1 0,1 1 0,-1-1 0,1 0 0,0 0 0,-1 0 0,1 0 0,-1-1 0,1 1 0,-1-1 0,1 0 0,-1 0 0,1 0 0,-1-1 0,0 1 0,0-1 0,1 0 0,-1 1 0,0-1 0,-1-1 0,4-2 0,0-1 0,-1 0 0,0-1 0,0 0 0,0 0 0,-1 0 0,0 0 0,-1-1 0,0 0 0,0 0 0,0 0 0,-1 0 0,2-11 0,0-10 0,-2-1 0,0-34 0,-2 27 0,-2-1 0,-2 1 0,-1 1 0,-2-1 0,-1 1 0,-2 0 0,-18-43 0,15 59 0,13 20 0,0-1 0,0 1 0,-1 0 0,1 0 0,0 0 0,0 0 0,-1-1 0,1 1 0,0 0 0,0 0 0,-1 0 0,1 0 0,0 0 0,0 0 0,-1 0 0,1 0 0,0 0 0,0 0 0,-1 0 0,1 0 0,0 0 0,0 0 0,-1 0 0,1 0 0,0 0 0,0 0 0,-1 0 0,1 0 0,0 0 0,0 0 0,-1 1 0,1-1 0,0 0 0,0 0 0,-1 0 0,1 0 0,0 1 0,-1 1 0,-1 1 0,1-1 0,1 1 0,-1-1 0,0 1 0,1 0 0,-1-1 0,1 1 0,0 0 0,0-1 0,0 1 0,0 3 0,0 3 0,1 0 0,1-1 0,-1 1 0,1 0 0,1 0 0,-1-1 0,1 1 0,1-1 0,0 0 0,0 0 0,0 0 0,9 10 0,-9-13 0,1 1 0,0-1 0,0-1 0,0 1 0,1-1 0,-1 0 0,1 0 0,0 0 0,0-1 0,1 0 0,-1 0 0,1 0 0,-1-1 0,1 0 0,0-1 0,0 1 0,7 0 0,-9-2 0,0 0 0,0 0 0,0 0 0,0-1 0,0 0 0,0 1 0,0-2 0,0 1 0,0-1 0,0 1 0,-1-1 0,1 0 0,-1-1 0,0 1 0,1-1 0,-1 0 0,0 0 0,0-1 0,-1 1 0,1-1 0,-1 1 0,0-1 0,0 0 0,0 0 0,0-1 0,3-7 0,3-9 0,-1 1 0,-1-2 0,-1 1 0,6-36 0,-10 49 0,1-8 0,0-3 0,12-35 0,-14 50 0,0 0 0,0 1 0,1-1 0,0 0 0,0 1 0,0 0 0,0-1 0,0 1 0,1 0 0,-1 0 0,1 0 0,0 1 0,0-1 0,0 1 0,5-4 0,-6 6 0,0-1 0,0 0 0,0 1 0,0-1 0,0 1 0,0 0 0,1 0 0,-1 0 0,0 0 0,0 0 0,0 0 0,0 0 0,0 1 0,0-1 0,0 1 0,0 0 0,0-1 0,3 2 0,32 22 0,-37-24 0,24 19 0,-2 2 0,0 0 0,-1 1 0,-1 1 0,-1 1 0,23 37 0,-30-43 0,-12-18 0,0 0 0,0 0 0,0 0 0,0 0 0,0 0 0,0 0 0,0 0 0,1 0 0,-1 0 0,0 0 0,0 0 0,0 0 0,0 0 0,0 0 0,0 0 0,0 0 0,0 0 0,0 0 0,0 0 0,0 0 0,0-1 0,1 1 0,-1 0 0,0 0 0,0 0 0,0 0 0,0 0 0,0 0 0,0 1 0,0-1 0,0 0 0,0 0 0,0 0 0,0 0 0,1 0 0,-1 0 0,0 0 0,0 0 0,0 0 0,0 0 0,0 0 0,0 0 0,0 0 0,0 0 0,0 0 0,0 0 0,0 0 0,0 0 0,0 0 0,0 1 0,0-1 0,0 0 0,0 0 0,1 0 0,-1 0 0,0 0 0,0 0 0,0 0 0,-11-35 0,-3-3 0,2 0 0,2-1 0,2 0 0,-6-57 0,14 89 0,-1 0 0,2 0 0,-1 0 0,1 1 0,0-1 0,1 0 0,-1 0 0,1 1 0,1-1 0,4-10 0,-5 15 0,-1-1 0,1 1 0,0 0 0,-1 0 0,1 0 0,0 0 0,1 0 0,-1 0 0,0 0 0,1 1 0,-1-1 0,0 1 0,1 0 0,0-1 0,-1 1 0,1 1 0,0-1 0,-1 0 0,1 1 0,0-1 0,0 1 0,0 0 0,0 0 0,-1 0 0,1 0 0,0 0 0,4 2 0,4 0 0,0 1 0,-1 0 0,0 1 0,0 1 0,0-1 0,0 2 0,17 11 0,60 55 0,-68-53 0,-1 0 0,-1 2 0,-1 0 0,25 42 0,-34-53 0,-4-11 0,-2-17 0,-1 17 0,-4-74 0,1 45 0,1 0 0,1 0 0,7-55 0,-5 78 0,1-1 0,-1 1 0,1 0 0,1 0 0,-1 0 0,1 0 0,0 1 0,1-1 0,0 1 0,0 0 0,0 0 0,1 0 0,-1 0 0,2 1 0,-1-1 0,0 2 0,1-1 0,0 0 0,0 1 0,11-5 0,-12 6 0,1 1 0,0-1 0,0 1 0,0 1 0,0-1 0,0 1 0,0 0 0,0 1 0,0-1 0,0 1 0,1 1 0,-1-1 0,0 1 0,0 0 0,0 0 0,0 1 0,0-1 0,0 2 0,0-1 0,9 6 0,5 4 0,0 2 0,-1 0 0,0 1 0,18 21 0,-16-17 0,31 24 0,-50-41 38,0-1 0,1 1 0,-1-1 0,0 0 0,1 0 0,-1 0 0,1 0 0,4 1 0,-6-2-110,0 0 1,0 0 0,0 0 0,0 0 0,0 0 0,0 0 0,0 0 0,0-1 0,0 1-1,0 0 1,0-1 0,0 1 0,0 0 0,0-1 0,-1 1 0,1-1 0,0 0 0,0 1 0,0-1-1,-1 0 1,1 1 0,0-1 0,0-1 0,10-19-6755</inkml:trace>
  <inkml:trace contextRef="#ctx0" brushRef="#br0" timeOffset="1377.09">3482 99 24575,'0'-3'0,"1"-18"0,0 16 0,3 11 0,24 75 0,98 314 0,-118-373 0,-8-23 0,0 1 0,0 0 0,0 0 0,0 0 0,0 0 0,0 0 0,0 0 0,0 0 0,0 0 0,0 0 0,0 0 0,0 0 0,0 0 0,0-1 0,0 1 0,0 0 0,0 0 0,0 0 0,0 0 0,1 0 0,-1 0 0,0 0 0,0 0 0,0 0 0,0 0 0,0 0 0,0 0 0,0 0 0,0 0 0,0 0 0,0 0 0,0 0 0,1 0 0,-1 0 0,0 0 0,0 0 0,0 0 0,0 0 0,0 0 0,0 0 0,0 0 0,0 0 0,0 0 0,0 0 0,0 0 0,0 0 0,1 0 0,-1 0 0,0 0 0,0 0 0,0 0 0,0 1 0,0-1 0,0 0 0,0 0 0,0-37 0,0 27 0,-6-291 0,6 290 0,0-13 0,1-1 0,6-40 0,-6 59 0,0 1 0,1-1 0,0 0 0,-1 1 0,2 0 0,-1 0 0,1-1 0,-1 1 0,1 1 0,1-1 0,-1 0 0,1 1 0,-1 0 0,1-1 0,1 2 0,8-8 0,-11 10 0,1-1 0,-1 1 0,0 0 0,1 0 0,-1 1 0,1-1 0,-1 0 0,1 1 0,-1-1 0,1 1 0,-1 0 0,1 0 0,0 0 0,-1 0 0,1 0 0,-1 1 0,1-1 0,3 2 0,0 0 0,-1 1 0,1-1 0,-1 1 0,0 0 0,1 1 0,6 6 0,3 4 0,0 0 0,-1 1 0,-1 1 0,0 1 0,-1 0 0,-1 0 0,12 25 0,54 138 0,-70-160 0,56 177-1365,-45-119-5461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2T07:15:52.683"/>
    </inkml:context>
    <inkml:brush xml:id="br0">
      <inkml:brushProperty name="width" value="0.05" units="cm"/>
      <inkml:brushProperty name="height" value="0.05" units="cm"/>
      <inkml:brushProperty name="color" value="#E71224"/>
    </inkml:brush>
  </inkml:definitions>
  <inkml:trace contextRef="#ctx0" brushRef="#br0">0 2164 24575,'32'-1'0,"0"-2"0,0 0 0,53-15 0,91-37 0,-66 18 0,-108 36 0,364-104 0,-278 85 0,0 3 0,107-7 0,-153 24 0,-37 2 0,-11 1 0,-8 0 0,1 0 0,-1-1 0,0-1 0,-1 0 0,1-1 0,0 0 0,0-1 0,0 0 0,0-2 0,0 1 0,0-2 0,1 0 0,0 0 0,-1-2 0,1 1 0,1-2 0,-1 1 0,-17-14 0,10 5 0,-24-23 0,39 33 0,-1 0 0,2-1 0,-1 0 0,1 1 0,0-2 0,0 1 0,0 0 0,-4-14 0,7 18 0,0 1 0,1-1 0,0 1 0,-1-1 0,1 1 0,0-1 0,0 0 0,0 1 0,0-1 0,0 1 0,0-1 0,0 0 0,1 1 0,-1-1 0,0 1 0,1-1 0,0 1 0,-1-1 0,1 1 0,0-1 0,1-1 0,0 1 0,0 0 0,0 0 0,0 0 0,0 1 0,1-1 0,-1 1 0,0-1 0,1 1 0,-1 0 0,1 0 0,4-1 0,5-1 0,-1 1 0,1 1 0,0 0 0,22 1 0,-4 1 0,-1 2 0,0 1 0,1 1 0,-2 1 0,39 14 0,-57-15 0,1-1 0,0 2 0,-1-1 0,0 2 0,0-1 0,-1 1 0,9 9 0,-12-10 0,-1 0 0,1 0 0,-1 1 0,-1-1 0,1 1 0,-1 0 0,-1 1 0,1-1 0,-1 0 0,-1 1 0,3 10 0,-3-10 0,-1 1 0,0 0 0,-1-1 0,0 1 0,-1 0 0,1 0 0,-2-1 0,1 1 0,-1-1 0,0 1 0,-1-1 0,0 0 0,-1 0 0,-4 9 0,-9 12 0,-1-1 0,-30 36 0,18-24 0,8-6 0,22-34-39,0 1 0,0-1 0,-1 0 0,1 0 0,0 1 0,0-1 0,0 0 0,-1 1 0,1-1 0,0 1 0,0-1 0,0 0 0,0 1 0,0-1 0,0 0 0,0 1 0,0-1 0,0 1 0,0-1 0,0 0 0,0 1 0,0-1 0,0 0 0,0 1 0,0-1 0,0 0 0,1 1 0,-1-1 0,0 0 0,0 1 0,0-1 0,0 0 0,1 1 0,-1-1 0,12-1-6787</inkml:trace>
  <inkml:trace contextRef="#ctx0" brushRef="#br0" timeOffset="1322.02">1956 1362 24575,'2'-13'0,"4"26"0,-2-3 0,23 68 0,-3 0 0,-4 2 0,-4 0 0,-2 2 0,2 97 0,-14-121 0,-2-57 0,0 0 0,1 0 0,-1 1 0,0-1 0,0 0 0,0 1 0,-1-1 0,1 0 0,0 0 0,0 1 0,-1-1 0,1 0 0,-1 0 0,0 2 0,-11-24 0,-23-73-225,4 0 0,4-3 0,-22-146-1,-5-299-674,48 304 779,7 180-121,10-69 1,-8 108 210,0-1 1,2 1-1,10-29 1,-13 44 30,0-1 0,0 1 0,0-1 0,0 1 0,1 0 0,0 0 0,0 0 0,0 1 0,0-1 0,1 1 1,-1-1-1,1 1 0,0 0 0,0 0 0,0 1 0,0-1 0,1 1 0,4-2 0,-5 3 0,1 0 0,-1 0 0,0 0 0,1 1 0,-1-1 0,0 1 0,1 0 0,-1 1 0,0-1 0,1 1 0,-1 0 0,8 2 0,-4 0 0,0 1 0,-1-1 0,0 1 0,1 1 0,-2-1 0,10 8 0,1 5 0,0 0 0,-1 0 0,26 39 0,-23-27 143,-1 1 1,-1 1-1,-2 1 1,-1 0-1,-2 1 0,-1 0 1,-2 1-1,-1 0 1,-1 1-1,-2 0 0,-2 0 1,-1 41-1,-2-61-112,-2 0 0,0-1-1,0 1 1,-2-1 0,0 0 0,0 0-1,-1 0 1,-1 0 0,0-1 0,-1 0-1,-1-1 1,0 1 0,-13 15-1,15-20-18,-1-1-1,0 0 0,-1 0 0,1-1 0,-1 0 0,-1-1 0,1 1 0,-1-1 0,0-1 0,0 0 0,0 0 0,0-1 0,-1 0 0,1 0 0,-1-1 0,0-1 0,0 1 0,0-2 0,0 1 0,-12-2 0,13 0-11,0-1 0,0 0 0,-1 0 0,1-1 0,1 0 0,-1 0 0,0-1 0,-10-7 0,14 8 0,0 0 0,0-1 0,0 0 0,0 0 0,1 0 0,0 0 0,0-1 0,0 1 0,0-1 0,1 0 0,-1-1 0,1 1 0,-3-8 0,6 11 0,-1 1 0,0-1 0,1 1 0,0-1 0,-1 0 0,1 1 0,0-1 0,0 0 0,0 1 0,0-1 0,0 0 0,0 1 0,0-1 0,0 0 0,1 1 0,0-2 0,-1 2 0,1 0 0,-1 0 0,1 0 0,0 1 0,-1-1 0,1 0 0,0 1 0,-1-1 0,1 0 0,0 1 0,0-1 0,0 1 0,0-1 0,-1 1 0,1 0 0,0-1 0,0 1 0,0 0 0,0 0 0,1-1 0,3 1 0,1 0 0,-1 0 0,1 0 0,-1 1 0,0 0 0,1 0 0,-1 0 0,7 3 0,27 12 0,-1 2 0,-1 2 0,-1 1 0,48 37 0,-37-25 0,77 41 0,-115-70 0,0 0 0,0-1 0,0 1 0,0-2 0,1 1 0,0-1 0,15 1 0,-18-3 0,-1 0 0,1-1 0,0 0 0,0 0 0,0 0 0,-1-1 0,1 0 0,-1 0 0,1-1 0,-1 0 0,9-5 0,-2-1 0,0 0 0,-1-1 0,0 0 0,-1-1 0,0-1 0,0 0 0,-2 0 0,1-1 0,-2 0 0,0 0 0,10-22 0,-5 6 0,-2 0 0,-1-1 0,-2-1 0,9-49 0,-15 67 0,-1 6 0,1 1 0,-1-1 0,0 0 0,-1 1 0,0-1 0,0 0 0,0 0 0,-1 1 0,-2-11 0,0 15 0,0 8 0,3-1 0,-1 1 0,1-1 0,0 1 0,1-1 0,-1 0 0,1 1 0,0-1 0,0 0 0,1 0 0,-1 1 0,1-1 0,0 0 0,1 0 0,-1-1 0,1 1 0,0-1 0,7 9 0,-4-5 0,1 0 0,0-1 0,0 0 0,1 0 0,0-1 0,0 0 0,1 0 0,-1-1 0,12 5 0,-13-7 0,1 0 0,0-1 0,1 0 0,-1 0 0,0-1 0,0 0 0,1 0 0,-1-1 0,1 0 0,-1 0 0,1-1 0,-1 0 0,0-1 0,0 0 0,1 0 0,14-7 0,-14 5 0,0-1 0,0 0 0,-1 0 0,0-1 0,0-1 0,0 1 0,-1-1 0,0 0 0,0-1 0,0 0 0,-1 0 0,-1 0 0,1-1 0,4-11 0,-5 9 0,-1-1 0,0 1 0,-1-1 0,0 0 0,-1 0 0,-1 0 0,0 0 0,0 0 0,-1 0 0,-1 0 0,0 0 0,0 0 0,-2 0 0,-5-21 0,4 22 0,1 1 0,-2-1 0,0 0 0,0 1 0,-1 0 0,0 0 0,0 1 0,-1 0 0,-1 0 0,1 0 0,-1 1 0,-1 0 0,0 1 0,0 0 0,-17-11 0,20 15 0,0 0 0,0 1 0,-1-1 0,1 1 0,0 1 0,-1-1 0,1 1 0,-1 0 0,0 1 0,1-1 0,-1 1 0,1 1 0,-1-1 0,0 1 0,1 0 0,-1 1 0,1-1 0,0 1 0,-1 1 0,1-1 0,0 1 0,0 0 0,1 0 0,-1 1 0,1 0 0,-1 0 0,1 0 0,0 0 0,1 1 0,-8 9 0,5-5 0,0 0 0,0 1 0,1 0 0,0 0 0,1 0 0,0 1 0,1-1 0,0 1 0,1 1 0,0-1 0,0 0 0,1 1 0,0 12 0,2-14 0,0-1 0,1 0 0,0 0 0,1 0 0,0 0 0,0 0 0,1 0 0,0 0 0,1 0 0,-1-1 0,2 0 0,-1 0 0,1 0 0,0 0 0,1-1 0,12 13 0,-13-14 0,1 0 0,1 0 0,-1-1 0,1 0 0,0 0 0,0-1 0,1 1 0,-1-1 0,1-1 0,0 0 0,0 0 0,0 0 0,0-1 0,0-1 0,1 1 0,-1-1 0,1 0 0,-1-1 0,0 0 0,1-1 0,-1 1 0,1-2 0,-1 1 0,0-1 0,1 0 0,-1-1 0,0 0 0,-1 0 0,14-8 0,6-5 0,-1-1 0,-1-1 0,0-1 0,-1-1 0,-2-1 0,0-2 0,-1 0 0,-1-1 0,-1-1 0,-2 0 0,0-2 0,-2 0 0,0-1 0,-3 0 0,18-54 0,-21 29 0,-10 44 0,-2 12 0,-1 4 0,1 1 0,0-1 0,1 1 0,-1 0 0,1 0 0,1 0 0,0 0 0,0 1 0,0-1 0,1 0 0,0 0 0,1 0 0,0 1 0,0-1 0,4 12 0,0-4 0,0 0 0,1-1 0,0 0 0,2 0 0,-1-1 0,2 0 0,11 15 0,-15-23 0,0 0 0,1 0 0,-1 0 0,1-1 0,0 0 0,0 0 0,1-1 0,-1 0 0,1 0 0,0 0 0,0-1 0,1 0 0,8 2 0,-12-4 0,0 0 0,0 0 0,1-1 0,-1 0 0,0 0 0,1 0 0,-1 0 0,0 0 0,1-1 0,-1 0 0,0 0 0,0 0 0,0-1 0,0 1 0,0-1 0,0 0 0,0 0 0,0 0 0,-1-1 0,1 1 0,-1-1 0,0 0 0,0 0 0,0 0 0,5-6 0,-1-1 0,-1-1 0,0 0 0,0 0 0,-1 0 0,-1-1 0,0 1 0,0-1 0,-1 0 0,2-22 0,0-12 0,-1-55 0,-4 83 0,0 12 0,-2-94 0,3 104 0,1 0 0,0 0 0,0 0 0,0 0 0,0-1 0,1 1 0,-1-1 0,1 1 0,0-1 0,0 0 0,0 0 0,0 0 0,1-1 0,6 5 0,2 1 0,1 0 0,0 0 0,28 10 0,-23-11 0,1-2 0,-1 0 0,1-1 0,1-1 0,-1 0 0,0-2 0,1 0 0,-1-1 0,0-2 0,1 1 0,20-6 0,-26 4 0,-1-1 0,1-1 0,-1 0 0,1 0 0,-1-2 0,-1 1 0,1-2 0,-1 1 0,-1-2 0,0 0 0,0 0 0,0-1 0,-1 0 0,-1-1 0,15-20 0,-18 22 0,0-1 0,0 0 0,-1-1 0,-1 1 0,0-1 0,0 0 0,-1 0 0,-1 0 0,0 0 0,0-1 0,-1 1 0,0-1 0,-1 1 0,-1 0 0,0-1 0,0 1 0,-1 0 0,0-1 0,-1 1 0,0 0 0,-1 0 0,-1 1 0,1-1 0,-1 1 0,-1 0 0,0 1 0,-1-1 0,0 1 0,0 0 0,-16-14 0,16 17 0,0 0 0,0 1 0,-1 0 0,0 0 0,0 0 0,-1 1 0,-17-5 0,22 7 0,-1 1 0,0 0 0,0 0 0,0 1 0,0-1 0,0 1 0,0 0 0,0 1 0,0-1 0,1 1 0,-1 0 0,0 0 0,0 0 0,0 1 0,1 0 0,-9 4 0,6-1 26,0 0-1,0 1 0,1-1 0,0 2 1,0-1-1,0 1 0,1-1 0,-1 2 1,2-1-1,-1 0 0,-5 15 0,-4 11-247,-14 54-1,10-28-1000,-12 24-5603</inkml:trace>
  <inkml:trace contextRef="#ctx0" brushRef="#br0" timeOffset="1630.13">2469 2646 24575,'-11'0'0,"13"0"0,34-12 0,37-18 0,34-28 0,36-25 0,39-20 0,36-25-1753,26-8 1753,-2 9 0,-26 26 0,-55 35 0,-65 40 0,-61 36 0,-52 26 0,-23 8-6438</inkml:trace>
  <inkml:trace contextRef="#ctx0" brushRef="#br0" timeOffset="1895.09">2598 2998 24575,'27'-16'0,"37"-22"0,45-27 0,53-23 0,48-30 0,38-28-3292,36-21 3292,20-10 0,-16 15 0,-45 34 0,-64 29 0,-68 30 770,-53 28-6439</inkml:trace>
</inkm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B36FA4-CCA5-47AB-97AD-CA172C096309}"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E672A0-5116-41CF-993A-396B346E687F}"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A3C2314-67A1-4B54-BFE0-6178D822DD9B}" cache="Slicer_Department" caption="Department" rowHeight="251883"/>
  <slicer name="Region" xr10:uid="{A6A7D95E-A400-4C1F-99B1-05B3D8B90F03}"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716A6A-F84D-42E8-A0DB-967E3DF17413}" name="Table2" displayName="Table2" ref="A1:G31" totalsRowShown="0" headerRowDxfId="30" dataDxfId="29" tableBorderDxfId="28">
  <autoFilter ref="A1:G31" xr:uid="{58716A6A-F84D-42E8-A0DB-967E3DF17413}"/>
  <tableColumns count="7">
    <tableColumn id="1" xr3:uid="{6A041056-6DB2-40C6-B8E8-4772603B17CB}" name="Date" dataDxfId="27"/>
    <tableColumn id="2" xr3:uid="{819162E0-7510-49B2-8C2F-9AEE7150E959}" name="Employee Name" dataDxfId="26"/>
    <tableColumn id="3" xr3:uid="{892D4CBB-A905-43D9-A6D5-A4E5E2C73B6D}" name="Department" dataDxfId="25"/>
    <tableColumn id="4" xr3:uid="{3FDC0F6E-E2C7-48C8-98B0-1F6F6495183D}" name="Region" dataDxfId="24"/>
    <tableColumn id="5" xr3:uid="{68E61BD8-07F7-452F-9EEF-E60B1D4C3D59}" name="Sales (₹)" dataDxfId="23"/>
    <tableColumn id="6" xr3:uid="{AB95F3CC-625F-436E-8673-3F463CEF6D06}" name="Target (₹)" dataDxfId="22"/>
    <tableColumn id="7" xr3:uid="{5A95AAAC-3551-46AD-AD22-63BC7C8531BE}" name="Difference" dataDxfId="21">
      <calculatedColumnFormula>Table!$F2-Table!$E2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FD9B3B-CB67-486D-8E8C-D70E5F81EED6}">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74E-0FF5-451D-B6C5-9A3CE59EA5AE}">
  <dimension ref="A67"/>
  <sheetViews>
    <sheetView zoomScale="55" zoomScaleNormal="55" zoomScalePageLayoutView="25" workbookViewId="0"/>
  </sheetViews>
  <sheetFormatPr defaultRowHeight="14.5" x14ac:dyDescent="0.35"/>
  <sheetData>
    <row r="67" ht="9.5" customHeight="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089BF-E9D9-4331-A3C3-6DB82D62AC29}">
  <dimension ref="A1:L47"/>
  <sheetViews>
    <sheetView topLeftCell="C42" zoomScale="265" zoomScaleNormal="265" workbookViewId="0">
      <selection activeCell="J10" sqref="J10"/>
    </sheetView>
  </sheetViews>
  <sheetFormatPr defaultRowHeight="14.5" x14ac:dyDescent="0.35"/>
  <cols>
    <col min="1" max="1" width="10.36328125" bestFit="1" customWidth="1"/>
    <col min="2" max="2" width="10.81640625" bestFit="1" customWidth="1"/>
    <col min="3" max="3" width="12.1796875" bestFit="1" customWidth="1"/>
    <col min="4" max="4" width="8.81640625" bestFit="1" customWidth="1"/>
  </cols>
  <sheetData>
    <row r="1" spans="1:12" x14ac:dyDescent="0.35">
      <c r="A1" s="3" t="s">
        <v>0</v>
      </c>
      <c r="B1" s="3" t="s">
        <v>1</v>
      </c>
      <c r="C1" s="3" t="s">
        <v>15</v>
      </c>
      <c r="D1" s="3" t="s">
        <v>16</v>
      </c>
      <c r="E1" s="3" t="s">
        <v>17</v>
      </c>
      <c r="F1" s="3" t="s">
        <v>18</v>
      </c>
      <c r="G1" s="3" t="s">
        <v>18</v>
      </c>
      <c r="H1" s="3" t="s">
        <v>18</v>
      </c>
      <c r="I1" s="3" t="s">
        <v>19</v>
      </c>
      <c r="J1" s="3" t="s">
        <v>20</v>
      </c>
      <c r="K1" s="3" t="s">
        <v>21</v>
      </c>
    </row>
    <row r="2" spans="1:12" x14ac:dyDescent="0.35">
      <c r="A2" s="1">
        <v>1</v>
      </c>
      <c r="B2" s="1" t="s">
        <v>2</v>
      </c>
      <c r="C2" s="4">
        <v>500</v>
      </c>
      <c r="D2" s="4">
        <v>100</v>
      </c>
      <c r="E2" s="4">
        <v>100</v>
      </c>
      <c r="F2" s="5">
        <f>C2+D2+E2</f>
        <v>700</v>
      </c>
      <c r="G2" s="5">
        <f>SUM(C2,D2,E2)</f>
        <v>700</v>
      </c>
      <c r="H2" s="5">
        <f>SUM(C2:E2)</f>
        <v>700</v>
      </c>
      <c r="I2" s="9">
        <f>AVERAGE(C2:E2)</f>
        <v>233.33333333333334</v>
      </c>
      <c r="J2" s="5">
        <f>MAX(C2:E2)</f>
        <v>500</v>
      </c>
      <c r="K2" s="5">
        <f>MIN(C2:E2)</f>
        <v>100</v>
      </c>
    </row>
    <row r="3" spans="1:12" x14ac:dyDescent="0.35">
      <c r="A3" s="1">
        <v>2</v>
      </c>
      <c r="B3" s="1" t="s">
        <v>3</v>
      </c>
      <c r="C3" s="4">
        <v>200</v>
      </c>
      <c r="D3" s="4">
        <v>200</v>
      </c>
      <c r="E3" s="4">
        <v>200</v>
      </c>
      <c r="F3" s="5">
        <f t="shared" ref="F3:F11" si="0">C3+D3+E3</f>
        <v>600</v>
      </c>
      <c r="G3" s="5">
        <f t="shared" ref="G3:G11" si="1">SUM(C3,D3,E3)</f>
        <v>600</v>
      </c>
      <c r="H3" s="5">
        <f t="shared" ref="H3:H11" si="2">SUM(C3:E3)</f>
        <v>600</v>
      </c>
      <c r="I3" s="5">
        <f t="shared" ref="I3:I11" si="3">AVERAGE(C3:E3)</f>
        <v>200</v>
      </c>
      <c r="J3" s="5">
        <f t="shared" ref="J3:J11" si="4">MAX(C3:E3)</f>
        <v>200</v>
      </c>
      <c r="K3" s="5">
        <f t="shared" ref="K3:K11" si="5">MIN(C3:E3)</f>
        <v>200</v>
      </c>
    </row>
    <row r="4" spans="1:12" x14ac:dyDescent="0.35">
      <c r="A4" s="1">
        <v>3</v>
      </c>
      <c r="B4" s="1" t="s">
        <v>4</v>
      </c>
      <c r="C4" s="4">
        <v>300</v>
      </c>
      <c r="D4" s="4">
        <v>300</v>
      </c>
      <c r="E4" s="4">
        <v>300</v>
      </c>
      <c r="F4" s="5">
        <f t="shared" si="0"/>
        <v>900</v>
      </c>
      <c r="G4" s="5">
        <f t="shared" si="1"/>
        <v>900</v>
      </c>
      <c r="H4" s="5">
        <f t="shared" si="2"/>
        <v>900</v>
      </c>
      <c r="I4" s="5">
        <f t="shared" si="3"/>
        <v>300</v>
      </c>
      <c r="J4" s="5">
        <f t="shared" si="4"/>
        <v>300</v>
      </c>
      <c r="K4" s="5">
        <f t="shared" si="5"/>
        <v>300</v>
      </c>
    </row>
    <row r="5" spans="1:12" x14ac:dyDescent="0.35">
      <c r="A5" s="1">
        <v>4</v>
      </c>
      <c r="B5" s="1" t="s">
        <v>5</v>
      </c>
      <c r="C5" s="4">
        <v>400</v>
      </c>
      <c r="D5" s="4">
        <v>400</v>
      </c>
      <c r="E5" s="4">
        <v>400</v>
      </c>
      <c r="F5" s="5">
        <f t="shared" si="0"/>
        <v>1200</v>
      </c>
      <c r="G5" s="5">
        <f t="shared" si="1"/>
        <v>1200</v>
      </c>
      <c r="H5" s="5">
        <f t="shared" si="2"/>
        <v>1200</v>
      </c>
      <c r="I5" s="5">
        <f t="shared" si="3"/>
        <v>400</v>
      </c>
      <c r="J5" s="5">
        <f t="shared" si="4"/>
        <v>400</v>
      </c>
      <c r="K5" s="5">
        <f t="shared" si="5"/>
        <v>400</v>
      </c>
    </row>
    <row r="6" spans="1:12" x14ac:dyDescent="0.35">
      <c r="A6" s="1">
        <v>5</v>
      </c>
      <c r="B6" s="1" t="s">
        <v>6</v>
      </c>
      <c r="C6" s="4">
        <v>500</v>
      </c>
      <c r="D6" s="4">
        <v>500</v>
      </c>
      <c r="E6" s="4">
        <v>500</v>
      </c>
      <c r="F6" s="5">
        <f t="shared" si="0"/>
        <v>1500</v>
      </c>
      <c r="G6" s="5">
        <f t="shared" si="1"/>
        <v>1500</v>
      </c>
      <c r="H6" s="5">
        <f t="shared" si="2"/>
        <v>1500</v>
      </c>
      <c r="I6" s="5">
        <f t="shared" si="3"/>
        <v>500</v>
      </c>
      <c r="J6" s="5">
        <f t="shared" si="4"/>
        <v>500</v>
      </c>
      <c r="K6" s="5">
        <f t="shared" si="5"/>
        <v>500</v>
      </c>
    </row>
    <row r="7" spans="1:12" x14ac:dyDescent="0.35">
      <c r="A7" s="1">
        <v>6</v>
      </c>
      <c r="B7" s="1" t="s">
        <v>7</v>
      </c>
      <c r="C7" s="4">
        <v>600</v>
      </c>
      <c r="D7" s="4">
        <v>600</v>
      </c>
      <c r="E7" s="4">
        <v>600</v>
      </c>
      <c r="F7" s="5">
        <f t="shared" si="0"/>
        <v>1800</v>
      </c>
      <c r="G7" s="5">
        <f t="shared" si="1"/>
        <v>1800</v>
      </c>
      <c r="H7" s="5">
        <f t="shared" si="2"/>
        <v>1800</v>
      </c>
      <c r="I7" s="5">
        <f t="shared" si="3"/>
        <v>600</v>
      </c>
      <c r="J7" s="5">
        <f t="shared" si="4"/>
        <v>600</v>
      </c>
      <c r="K7" s="5">
        <f t="shared" si="5"/>
        <v>600</v>
      </c>
    </row>
    <row r="8" spans="1:12" x14ac:dyDescent="0.35">
      <c r="A8" s="1">
        <v>7</v>
      </c>
      <c r="B8" s="1" t="s">
        <v>8</v>
      </c>
      <c r="C8" s="4">
        <v>700</v>
      </c>
      <c r="D8" s="4">
        <v>700</v>
      </c>
      <c r="E8" s="4">
        <v>700</v>
      </c>
      <c r="F8" s="5">
        <f t="shared" si="0"/>
        <v>2100</v>
      </c>
      <c r="G8" s="5">
        <f t="shared" si="1"/>
        <v>2100</v>
      </c>
      <c r="H8" s="5">
        <f t="shared" si="2"/>
        <v>2100</v>
      </c>
      <c r="I8" s="5">
        <f t="shared" si="3"/>
        <v>700</v>
      </c>
      <c r="J8" s="5">
        <f t="shared" si="4"/>
        <v>700</v>
      </c>
      <c r="K8" s="5">
        <f t="shared" si="5"/>
        <v>700</v>
      </c>
    </row>
    <row r="9" spans="1:12" x14ac:dyDescent="0.35">
      <c r="A9" s="1">
        <v>8</v>
      </c>
      <c r="B9" s="1" t="s">
        <v>9</v>
      </c>
      <c r="C9" s="4">
        <v>800</v>
      </c>
      <c r="D9" s="4">
        <v>800</v>
      </c>
      <c r="E9" s="4">
        <v>800</v>
      </c>
      <c r="F9" s="5">
        <f t="shared" si="0"/>
        <v>2400</v>
      </c>
      <c r="G9" s="5">
        <f t="shared" si="1"/>
        <v>2400</v>
      </c>
      <c r="H9" s="5">
        <f t="shared" si="2"/>
        <v>2400</v>
      </c>
      <c r="I9" s="5">
        <f t="shared" si="3"/>
        <v>800</v>
      </c>
      <c r="J9" s="5">
        <f t="shared" si="4"/>
        <v>800</v>
      </c>
      <c r="K9" s="5">
        <f t="shared" si="5"/>
        <v>800</v>
      </c>
    </row>
    <row r="10" spans="1:12" x14ac:dyDescent="0.35">
      <c r="A10" s="1">
        <v>9</v>
      </c>
      <c r="B10" s="1" t="s">
        <v>10</v>
      </c>
      <c r="C10" s="4">
        <v>900</v>
      </c>
      <c r="D10" s="4">
        <v>900</v>
      </c>
      <c r="E10" s="4">
        <v>900</v>
      </c>
      <c r="F10" s="5">
        <f t="shared" si="0"/>
        <v>2700</v>
      </c>
      <c r="G10" s="5">
        <f t="shared" si="1"/>
        <v>2700</v>
      </c>
      <c r="H10" s="5">
        <f t="shared" si="2"/>
        <v>2700</v>
      </c>
      <c r="I10" s="5">
        <f t="shared" si="3"/>
        <v>900</v>
      </c>
      <c r="J10" s="5">
        <f t="shared" si="4"/>
        <v>900</v>
      </c>
      <c r="K10" s="5">
        <f t="shared" si="5"/>
        <v>900</v>
      </c>
      <c r="L10" t="s">
        <v>12</v>
      </c>
    </row>
    <row r="11" spans="1:12" x14ac:dyDescent="0.35">
      <c r="A11" s="1">
        <v>10</v>
      </c>
      <c r="B11" s="1" t="s">
        <v>11</v>
      </c>
      <c r="C11" s="4">
        <v>1000</v>
      </c>
      <c r="D11" s="4">
        <v>1000</v>
      </c>
      <c r="E11" s="4">
        <v>1000</v>
      </c>
      <c r="F11" s="5">
        <f t="shared" si="0"/>
        <v>3000</v>
      </c>
      <c r="G11" s="5">
        <f t="shared" si="1"/>
        <v>3000</v>
      </c>
      <c r="H11" s="5">
        <f t="shared" si="2"/>
        <v>3000</v>
      </c>
      <c r="I11" s="5">
        <f t="shared" si="3"/>
        <v>1000</v>
      </c>
      <c r="J11" s="5">
        <f t="shared" si="4"/>
        <v>1000</v>
      </c>
      <c r="K11" s="5">
        <f t="shared" si="5"/>
        <v>1000</v>
      </c>
    </row>
    <row r="12" spans="1:12" x14ac:dyDescent="0.35">
      <c r="C12" s="4">
        <f>SUM(C2:C11)</f>
        <v>5900</v>
      </c>
      <c r="D12" s="5">
        <f>SUM(D2:D11)</f>
        <v>5500</v>
      </c>
      <c r="E12" s="5">
        <f>SUM(E2:E11)</f>
        <v>5500</v>
      </c>
      <c r="G12" s="5">
        <f>SUM(G2:G11)</f>
        <v>16900</v>
      </c>
    </row>
    <row r="18" spans="2:3" x14ac:dyDescent="0.35">
      <c r="B18" s="6">
        <v>46113</v>
      </c>
      <c r="C18" t="s">
        <v>13</v>
      </c>
    </row>
    <row r="20" spans="2:3" x14ac:dyDescent="0.35">
      <c r="B20" s="7">
        <v>46113</v>
      </c>
      <c r="C20" t="s">
        <v>14</v>
      </c>
    </row>
    <row r="22" spans="2:3" ht="0.5" customHeight="1" x14ac:dyDescent="0.35"/>
    <row r="23" spans="2:3" hidden="1" x14ac:dyDescent="0.35"/>
    <row r="24" spans="2:3" hidden="1" x14ac:dyDescent="0.35"/>
    <row r="25" spans="2:3" x14ac:dyDescent="0.35">
      <c r="C25" s="2"/>
    </row>
    <row r="33" spans="3:6" x14ac:dyDescent="0.35">
      <c r="C33" s="8">
        <v>3643335</v>
      </c>
    </row>
    <row r="36" spans="3:6" x14ac:dyDescent="0.35">
      <c r="C36">
        <v>97643453</v>
      </c>
    </row>
    <row r="37" spans="3:6" x14ac:dyDescent="0.35">
      <c r="C37">
        <f>D37</f>
        <v>31435135</v>
      </c>
      <c r="D37">
        <v>31435135</v>
      </c>
    </row>
    <row r="43" spans="3:6" x14ac:dyDescent="0.35">
      <c r="C43">
        <v>500</v>
      </c>
      <c r="D43">
        <v>400</v>
      </c>
      <c r="E43">
        <f>500-200</f>
        <v>300</v>
      </c>
      <c r="F43">
        <f>C43-D43</f>
        <v>100</v>
      </c>
    </row>
    <row r="45" spans="3:6" x14ac:dyDescent="0.35">
      <c r="C45">
        <v>500</v>
      </c>
      <c r="D45">
        <v>50</v>
      </c>
      <c r="E45">
        <f>C45*D45</f>
        <v>25000</v>
      </c>
      <c r="F45">
        <f>PRODUCT(C45:D45)</f>
        <v>25000</v>
      </c>
    </row>
    <row r="47" spans="3:6" x14ac:dyDescent="0.35">
      <c r="C47">
        <v>50000</v>
      </c>
      <c r="D47">
        <v>50</v>
      </c>
      <c r="E47">
        <f>C47/D47</f>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822D-CD3B-4767-BF1F-04F5CBB90D8B}">
  <dimension ref="A1:H11"/>
  <sheetViews>
    <sheetView zoomScale="250" zoomScaleNormal="250" workbookViewId="0">
      <selection activeCell="D10" sqref="D10"/>
    </sheetView>
  </sheetViews>
  <sheetFormatPr defaultRowHeight="14.5" x14ac:dyDescent="0.35"/>
  <cols>
    <col min="1" max="1" width="12.26953125" customWidth="1"/>
    <col min="8" max="8" width="10.26953125" customWidth="1"/>
  </cols>
  <sheetData>
    <row r="1" spans="1:8" x14ac:dyDescent="0.35">
      <c r="A1" s="14" t="s">
        <v>22</v>
      </c>
      <c r="B1" s="15" t="s">
        <v>23</v>
      </c>
      <c r="C1" s="15" t="s">
        <v>24</v>
      </c>
      <c r="D1" s="15" t="s">
        <v>25</v>
      </c>
      <c r="E1" s="15" t="s">
        <v>26</v>
      </c>
      <c r="F1" s="15" t="s">
        <v>28</v>
      </c>
      <c r="G1" s="15" t="s">
        <v>29</v>
      </c>
      <c r="H1" s="16" t="s">
        <v>30</v>
      </c>
    </row>
    <row r="2" spans="1:8" x14ac:dyDescent="0.35">
      <c r="A2" s="11" t="s">
        <v>2</v>
      </c>
      <c r="B2" s="10" t="s">
        <v>27</v>
      </c>
      <c r="C2" s="10">
        <v>40</v>
      </c>
      <c r="D2" s="10">
        <v>72</v>
      </c>
      <c r="E2" s="10"/>
      <c r="F2" s="10">
        <f>COUNT(B2:E2)</f>
        <v>2</v>
      </c>
      <c r="G2" s="10">
        <f>COUNTA(B2:E2)</f>
        <v>3</v>
      </c>
      <c r="H2" s="17">
        <f>COUNTBLANK(B2:E2)</f>
        <v>1</v>
      </c>
    </row>
    <row r="3" spans="1:8" x14ac:dyDescent="0.35">
      <c r="A3" s="11" t="s">
        <v>3</v>
      </c>
      <c r="B3" s="10" t="s">
        <v>27</v>
      </c>
      <c r="C3" s="10">
        <v>44</v>
      </c>
      <c r="D3" s="10">
        <v>71</v>
      </c>
      <c r="E3" s="10" t="s">
        <v>27</v>
      </c>
      <c r="F3" s="10">
        <f t="shared" ref="F3:F11" si="0">COUNT(B3:E3)</f>
        <v>2</v>
      </c>
      <c r="G3" s="10">
        <f t="shared" ref="G3:G11" si="1">COUNTA(B3:E3)</f>
        <v>4</v>
      </c>
      <c r="H3" s="17">
        <f t="shared" ref="H3:H11" si="2">COUNTBLANK(B3:E3)</f>
        <v>0</v>
      </c>
    </row>
    <row r="4" spans="1:8" x14ac:dyDescent="0.35">
      <c r="A4" s="11" t="s">
        <v>4</v>
      </c>
      <c r="B4" s="10">
        <v>14</v>
      </c>
      <c r="C4" s="10"/>
      <c r="D4" s="10">
        <v>40</v>
      </c>
      <c r="E4" s="10">
        <v>85</v>
      </c>
      <c r="F4" s="10">
        <f t="shared" si="0"/>
        <v>3</v>
      </c>
      <c r="G4" s="10">
        <f t="shared" si="1"/>
        <v>3</v>
      </c>
      <c r="H4" s="17">
        <f t="shared" si="2"/>
        <v>1</v>
      </c>
    </row>
    <row r="5" spans="1:8" x14ac:dyDescent="0.35">
      <c r="A5" s="11" t="s">
        <v>5</v>
      </c>
      <c r="B5" s="10">
        <v>84</v>
      </c>
      <c r="C5" s="10">
        <v>47</v>
      </c>
      <c r="D5" s="10">
        <v>67</v>
      </c>
      <c r="E5" s="10">
        <v>59</v>
      </c>
      <c r="F5" s="10">
        <f t="shared" si="0"/>
        <v>4</v>
      </c>
      <c r="G5" s="10">
        <f t="shared" si="1"/>
        <v>4</v>
      </c>
      <c r="H5" s="17">
        <f t="shared" si="2"/>
        <v>0</v>
      </c>
    </row>
    <row r="6" spans="1:8" x14ac:dyDescent="0.35">
      <c r="A6" s="11" t="s">
        <v>6</v>
      </c>
      <c r="B6" s="10">
        <v>5</v>
      </c>
      <c r="C6" s="10">
        <v>87</v>
      </c>
      <c r="D6" s="10"/>
      <c r="E6" s="10" t="s">
        <v>27</v>
      </c>
      <c r="F6" s="10">
        <f t="shared" si="0"/>
        <v>2</v>
      </c>
      <c r="G6" s="10">
        <f t="shared" si="1"/>
        <v>3</v>
      </c>
      <c r="H6" s="17">
        <f t="shared" si="2"/>
        <v>1</v>
      </c>
    </row>
    <row r="7" spans="1:8" x14ac:dyDescent="0.35">
      <c r="A7" s="11" t="s">
        <v>7</v>
      </c>
      <c r="B7" s="10" t="s">
        <v>27</v>
      </c>
      <c r="C7" s="10">
        <v>33</v>
      </c>
      <c r="D7" s="10">
        <v>39</v>
      </c>
      <c r="E7" s="10">
        <v>13</v>
      </c>
      <c r="F7" s="10">
        <f t="shared" si="0"/>
        <v>3</v>
      </c>
      <c r="G7" s="10">
        <f t="shared" si="1"/>
        <v>4</v>
      </c>
      <c r="H7" s="17">
        <f t="shared" si="2"/>
        <v>0</v>
      </c>
    </row>
    <row r="8" spans="1:8" x14ac:dyDescent="0.35">
      <c r="A8" s="11" t="s">
        <v>8</v>
      </c>
      <c r="B8" s="10">
        <v>4</v>
      </c>
      <c r="C8" s="10">
        <v>59</v>
      </c>
      <c r="D8" s="10"/>
      <c r="E8" s="10">
        <v>43</v>
      </c>
      <c r="F8" s="10">
        <f t="shared" si="0"/>
        <v>3</v>
      </c>
      <c r="G8" s="10">
        <f t="shared" si="1"/>
        <v>3</v>
      </c>
      <c r="H8" s="17">
        <f t="shared" si="2"/>
        <v>1</v>
      </c>
    </row>
    <row r="9" spans="1:8" x14ac:dyDescent="0.35">
      <c r="A9" s="11" t="s">
        <v>9</v>
      </c>
      <c r="B9" s="10">
        <v>79</v>
      </c>
      <c r="C9" s="10"/>
      <c r="D9" s="10"/>
      <c r="E9" s="10">
        <v>86</v>
      </c>
      <c r="F9" s="10">
        <f t="shared" si="0"/>
        <v>2</v>
      </c>
      <c r="G9" s="10">
        <f t="shared" si="1"/>
        <v>2</v>
      </c>
      <c r="H9" s="17">
        <f t="shared" si="2"/>
        <v>2</v>
      </c>
    </row>
    <row r="10" spans="1:8" x14ac:dyDescent="0.35">
      <c r="A10" s="11" t="s">
        <v>10</v>
      </c>
      <c r="B10" s="10">
        <v>65</v>
      </c>
      <c r="C10" s="10">
        <v>50</v>
      </c>
      <c r="D10" s="10" t="s">
        <v>27</v>
      </c>
      <c r="E10" s="10">
        <v>90</v>
      </c>
      <c r="F10" s="10">
        <f t="shared" si="0"/>
        <v>3</v>
      </c>
      <c r="G10" s="10">
        <f t="shared" si="1"/>
        <v>4</v>
      </c>
      <c r="H10" s="17">
        <f t="shared" si="2"/>
        <v>0</v>
      </c>
    </row>
    <row r="11" spans="1:8" ht="15" thickBot="1" x14ac:dyDescent="0.4">
      <c r="A11" s="12" t="s">
        <v>11</v>
      </c>
      <c r="B11" s="13"/>
      <c r="C11" s="13">
        <v>76</v>
      </c>
      <c r="D11" s="13">
        <v>85</v>
      </c>
      <c r="E11" s="13"/>
      <c r="F11" s="10">
        <f t="shared" si="0"/>
        <v>2</v>
      </c>
      <c r="G11" s="10">
        <f t="shared" si="1"/>
        <v>2</v>
      </c>
      <c r="H11" s="17">
        <f t="shared" si="2"/>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6FD8-7F96-4E72-9A4B-818D9E7B8975}">
  <dimension ref="A1:H137"/>
  <sheetViews>
    <sheetView topLeftCell="A2" zoomScale="115" zoomScaleNormal="115" workbookViewId="0">
      <selection activeCell="B2" sqref="B2"/>
    </sheetView>
  </sheetViews>
  <sheetFormatPr defaultRowHeight="14.5" x14ac:dyDescent="0.35"/>
  <cols>
    <col min="1" max="1" width="24.453125" customWidth="1"/>
    <col min="2" max="2" width="17.7265625" customWidth="1"/>
    <col min="3" max="3" width="15.08984375" customWidth="1"/>
    <col min="4" max="4" width="14.1796875" customWidth="1"/>
    <col min="5" max="5" width="13" customWidth="1"/>
    <col min="6" max="6" width="12.90625" customWidth="1"/>
    <col min="7" max="7" width="14.1796875" customWidth="1"/>
    <col min="8" max="8" width="23.81640625" customWidth="1"/>
  </cols>
  <sheetData>
    <row r="1" spans="1:6" x14ac:dyDescent="0.35">
      <c r="A1" s="14" t="s">
        <v>31</v>
      </c>
      <c r="B1" s="15" t="s">
        <v>32</v>
      </c>
      <c r="C1" s="15" t="s">
        <v>33</v>
      </c>
      <c r="D1" s="15" t="s">
        <v>34</v>
      </c>
      <c r="E1" s="15" t="s">
        <v>35</v>
      </c>
      <c r="F1" s="16" t="s">
        <v>36</v>
      </c>
    </row>
    <row r="2" spans="1:6" x14ac:dyDescent="0.35">
      <c r="A2" s="19">
        <v>46096</v>
      </c>
      <c r="B2" s="10" t="s">
        <v>37</v>
      </c>
      <c r="C2" s="10" t="s">
        <v>38</v>
      </c>
      <c r="D2" s="10" t="s">
        <v>39</v>
      </c>
      <c r="E2" s="10">
        <v>78805</v>
      </c>
      <c r="F2" s="17">
        <v>47568</v>
      </c>
    </row>
    <row r="3" spans="1:6" x14ac:dyDescent="0.35">
      <c r="A3" s="19">
        <v>46097</v>
      </c>
      <c r="B3" s="10" t="s">
        <v>40</v>
      </c>
      <c r="C3" s="10" t="s">
        <v>41</v>
      </c>
      <c r="D3" s="10" t="s">
        <v>42</v>
      </c>
      <c r="E3" s="10">
        <v>81218</v>
      </c>
      <c r="F3" s="17">
        <v>71354</v>
      </c>
    </row>
    <row r="4" spans="1:6" x14ac:dyDescent="0.35">
      <c r="A4" s="19">
        <v>46098</v>
      </c>
      <c r="B4" s="10" t="s">
        <v>43</v>
      </c>
      <c r="C4" s="10" t="s">
        <v>44</v>
      </c>
      <c r="D4" s="10" t="s">
        <v>42</v>
      </c>
      <c r="E4" s="10">
        <v>36687</v>
      </c>
      <c r="F4" s="17">
        <v>56505</v>
      </c>
    </row>
    <row r="5" spans="1:6" x14ac:dyDescent="0.35">
      <c r="A5" s="19">
        <v>46099</v>
      </c>
      <c r="B5" s="10" t="s">
        <v>45</v>
      </c>
      <c r="C5" s="10" t="s">
        <v>38</v>
      </c>
      <c r="D5" s="10" t="s">
        <v>42</v>
      </c>
      <c r="E5" s="10">
        <v>20000</v>
      </c>
      <c r="F5" s="17">
        <v>50614</v>
      </c>
    </row>
    <row r="6" spans="1:6" x14ac:dyDescent="0.35">
      <c r="A6" s="19">
        <v>46100</v>
      </c>
      <c r="B6" s="10" t="s">
        <v>46</v>
      </c>
      <c r="C6" s="10" t="s">
        <v>38</v>
      </c>
      <c r="D6" s="10" t="s">
        <v>47</v>
      </c>
      <c r="E6" s="10">
        <v>89634</v>
      </c>
      <c r="F6" s="17">
        <v>79176</v>
      </c>
    </row>
    <row r="7" spans="1:6" x14ac:dyDescent="0.35">
      <c r="A7" s="19">
        <v>46101</v>
      </c>
      <c r="B7" s="10" t="s">
        <v>48</v>
      </c>
      <c r="C7" s="10" t="s">
        <v>44</v>
      </c>
      <c r="D7" s="10" t="s">
        <v>42</v>
      </c>
      <c r="E7" s="10">
        <v>62015</v>
      </c>
      <c r="F7" s="17">
        <v>69434</v>
      </c>
    </row>
    <row r="8" spans="1:6" x14ac:dyDescent="0.35">
      <c r="A8" s="19">
        <v>46102</v>
      </c>
      <c r="B8" s="10" t="s">
        <v>49</v>
      </c>
      <c r="C8" s="10" t="s">
        <v>44</v>
      </c>
      <c r="D8" s="10" t="s">
        <v>39</v>
      </c>
      <c r="E8" s="10">
        <v>20000</v>
      </c>
      <c r="F8" s="17">
        <v>69434</v>
      </c>
    </row>
    <row r="9" spans="1:6" x14ac:dyDescent="0.35">
      <c r="A9" s="19">
        <v>46103</v>
      </c>
      <c r="B9" s="10" t="s">
        <v>50</v>
      </c>
      <c r="C9" s="10" t="s">
        <v>38</v>
      </c>
      <c r="D9" s="10" t="s">
        <v>51</v>
      </c>
      <c r="E9" s="10">
        <v>20000</v>
      </c>
      <c r="F9" s="17">
        <v>60910</v>
      </c>
    </row>
    <row r="10" spans="1:6" x14ac:dyDescent="0.35">
      <c r="A10" s="19">
        <v>46104</v>
      </c>
      <c r="B10" s="10" t="s">
        <v>52</v>
      </c>
      <c r="C10" s="10" t="s">
        <v>41</v>
      </c>
      <c r="D10" s="10" t="s">
        <v>51</v>
      </c>
      <c r="E10" s="10">
        <v>70837</v>
      </c>
      <c r="F10" s="17">
        <v>85222</v>
      </c>
    </row>
    <row r="11" spans="1:6" x14ac:dyDescent="0.35">
      <c r="A11" s="19">
        <v>46111</v>
      </c>
      <c r="B11" s="10" t="s">
        <v>53</v>
      </c>
      <c r="C11" s="10" t="s">
        <v>38</v>
      </c>
      <c r="D11" s="10" t="s">
        <v>51</v>
      </c>
      <c r="E11" s="10">
        <v>52700</v>
      </c>
      <c r="F11" s="17">
        <v>85222</v>
      </c>
    </row>
    <row r="12" spans="1:6" x14ac:dyDescent="0.35">
      <c r="A12" s="19">
        <v>46112</v>
      </c>
      <c r="B12" s="10" t="s">
        <v>54</v>
      </c>
      <c r="C12" s="10" t="s">
        <v>41</v>
      </c>
      <c r="D12" s="10" t="s">
        <v>47</v>
      </c>
      <c r="E12" s="10">
        <v>44811</v>
      </c>
      <c r="F12" s="17">
        <v>65279</v>
      </c>
    </row>
    <row r="13" spans="1:6" x14ac:dyDescent="0.35">
      <c r="A13" s="19">
        <v>46113</v>
      </c>
      <c r="B13" s="10" t="s">
        <v>55</v>
      </c>
      <c r="C13" s="10" t="s">
        <v>44</v>
      </c>
      <c r="D13" s="10" t="s">
        <v>42</v>
      </c>
      <c r="E13" s="10">
        <v>50833</v>
      </c>
      <c r="F13" s="17">
        <v>48220</v>
      </c>
    </row>
    <row r="14" spans="1:6" x14ac:dyDescent="0.35">
      <c r="A14" s="19">
        <v>46114</v>
      </c>
      <c r="B14" s="10" t="s">
        <v>56</v>
      </c>
      <c r="C14" s="10" t="s">
        <v>57</v>
      </c>
      <c r="D14" s="10" t="s">
        <v>51</v>
      </c>
      <c r="E14" s="10">
        <v>20000</v>
      </c>
      <c r="F14" s="17">
        <v>77933</v>
      </c>
    </row>
    <row r="15" spans="1:6" x14ac:dyDescent="0.35">
      <c r="A15" s="19">
        <v>46115</v>
      </c>
      <c r="B15" s="10" t="s">
        <v>58</v>
      </c>
      <c r="C15" s="10" t="s">
        <v>41</v>
      </c>
      <c r="D15" s="10" t="s">
        <v>42</v>
      </c>
      <c r="E15" s="10">
        <v>76197</v>
      </c>
      <c r="F15" s="17">
        <v>81453</v>
      </c>
    </row>
    <row r="16" spans="1:6" x14ac:dyDescent="0.35">
      <c r="A16" s="19">
        <v>46116</v>
      </c>
      <c r="B16" s="10" t="s">
        <v>59</v>
      </c>
      <c r="C16" s="10" t="s">
        <v>57</v>
      </c>
      <c r="D16" s="10" t="s">
        <v>47</v>
      </c>
      <c r="E16" s="10">
        <v>79576</v>
      </c>
      <c r="F16" s="17">
        <v>81453</v>
      </c>
    </row>
    <row r="17" spans="1:6" x14ac:dyDescent="0.35">
      <c r="A17" s="19">
        <v>46117</v>
      </c>
      <c r="B17" s="10" t="s">
        <v>60</v>
      </c>
      <c r="C17" s="10" t="s">
        <v>38</v>
      </c>
      <c r="D17" s="10" t="s">
        <v>42</v>
      </c>
      <c r="E17" s="10">
        <v>67533</v>
      </c>
      <c r="F17" s="17">
        <v>60564</v>
      </c>
    </row>
    <row r="18" spans="1:6" x14ac:dyDescent="0.35">
      <c r="A18" s="19">
        <v>46118</v>
      </c>
      <c r="B18" s="10" t="s">
        <v>61</v>
      </c>
      <c r="C18" s="10" t="s">
        <v>41</v>
      </c>
      <c r="D18" s="10" t="s">
        <v>39</v>
      </c>
      <c r="E18" s="10">
        <v>92948</v>
      </c>
      <c r="F18" s="17">
        <v>80305</v>
      </c>
    </row>
    <row r="19" spans="1:6" x14ac:dyDescent="0.35">
      <c r="A19" s="19">
        <v>46119</v>
      </c>
      <c r="B19" s="10" t="s">
        <v>62</v>
      </c>
      <c r="C19" s="10" t="s">
        <v>41</v>
      </c>
      <c r="D19" s="10" t="s">
        <v>42</v>
      </c>
      <c r="E19" s="10">
        <v>47368</v>
      </c>
      <c r="F19" s="17">
        <v>80735</v>
      </c>
    </row>
    <row r="20" spans="1:6" x14ac:dyDescent="0.35">
      <c r="A20" s="19">
        <v>46120</v>
      </c>
      <c r="B20" s="10" t="s">
        <v>63</v>
      </c>
      <c r="C20" s="10" t="s">
        <v>44</v>
      </c>
      <c r="D20" s="10" t="s">
        <v>39</v>
      </c>
      <c r="E20" s="10">
        <v>78656</v>
      </c>
      <c r="F20" s="17">
        <v>57387</v>
      </c>
    </row>
    <row r="21" spans="1:6" x14ac:dyDescent="0.35">
      <c r="A21" s="19">
        <v>46121</v>
      </c>
      <c r="B21" s="10" t="s">
        <v>64</v>
      </c>
      <c r="C21" s="10" t="s">
        <v>38</v>
      </c>
      <c r="D21" s="10" t="s">
        <v>42</v>
      </c>
      <c r="E21" s="10">
        <v>20000</v>
      </c>
      <c r="F21" s="17">
        <v>57387</v>
      </c>
    </row>
    <row r="22" spans="1:6" x14ac:dyDescent="0.35">
      <c r="A22" s="19">
        <v>46122</v>
      </c>
      <c r="B22" s="10" t="s">
        <v>65</v>
      </c>
      <c r="C22" s="10" t="s">
        <v>41</v>
      </c>
      <c r="D22" s="10" t="s">
        <v>42</v>
      </c>
      <c r="E22" s="10">
        <v>92859</v>
      </c>
      <c r="F22" s="17">
        <v>58012</v>
      </c>
    </row>
    <row r="23" spans="1:6" x14ac:dyDescent="0.35">
      <c r="A23" s="19">
        <v>46123</v>
      </c>
      <c r="B23" s="10" t="s">
        <v>66</v>
      </c>
      <c r="C23" s="10" t="s">
        <v>41</v>
      </c>
      <c r="D23" s="10" t="s">
        <v>47</v>
      </c>
      <c r="E23" s="10">
        <v>20000</v>
      </c>
      <c r="F23" s="17">
        <v>49635</v>
      </c>
    </row>
    <row r="24" spans="1:6" x14ac:dyDescent="0.35">
      <c r="A24" s="19">
        <v>46124</v>
      </c>
      <c r="B24" s="10" t="s">
        <v>67</v>
      </c>
      <c r="C24" s="10" t="s">
        <v>38</v>
      </c>
      <c r="D24" s="10" t="s">
        <v>42</v>
      </c>
      <c r="E24" s="10">
        <v>79973</v>
      </c>
      <c r="F24" s="17">
        <v>49645</v>
      </c>
    </row>
    <row r="25" spans="1:6" x14ac:dyDescent="0.35">
      <c r="A25" s="19">
        <v>46125</v>
      </c>
      <c r="B25" s="10" t="s">
        <v>68</v>
      </c>
      <c r="C25" s="10" t="s">
        <v>41</v>
      </c>
      <c r="D25" s="10" t="s">
        <v>39</v>
      </c>
      <c r="E25" s="10">
        <v>20000</v>
      </c>
      <c r="F25" s="17">
        <v>63883</v>
      </c>
    </row>
    <row r="26" spans="1:6" x14ac:dyDescent="0.35">
      <c r="A26" s="19">
        <v>46126</v>
      </c>
      <c r="B26" s="10" t="s">
        <v>69</v>
      </c>
      <c r="C26" s="10" t="s">
        <v>44</v>
      </c>
      <c r="D26" s="10" t="s">
        <v>51</v>
      </c>
      <c r="E26" s="10">
        <v>67572</v>
      </c>
      <c r="F26" s="17">
        <v>50542</v>
      </c>
    </row>
    <row r="27" spans="1:6" x14ac:dyDescent="0.35">
      <c r="A27" s="19">
        <v>46127</v>
      </c>
      <c r="B27" s="10" t="s">
        <v>70</v>
      </c>
      <c r="C27" s="10" t="s">
        <v>57</v>
      </c>
      <c r="D27" s="10" t="s">
        <v>42</v>
      </c>
      <c r="E27" s="10">
        <v>20000</v>
      </c>
      <c r="F27" s="17">
        <v>44554</v>
      </c>
    </row>
    <row r="28" spans="1:6" x14ac:dyDescent="0.35">
      <c r="A28" s="19">
        <v>46128</v>
      </c>
      <c r="B28" s="10" t="s">
        <v>71</v>
      </c>
      <c r="C28" s="10" t="s">
        <v>44</v>
      </c>
      <c r="D28" s="10" t="s">
        <v>51</v>
      </c>
      <c r="E28" s="10">
        <v>92817</v>
      </c>
      <c r="F28" s="17">
        <v>58496</v>
      </c>
    </row>
    <row r="29" spans="1:6" x14ac:dyDescent="0.35">
      <c r="A29" s="19">
        <v>46129</v>
      </c>
      <c r="B29" s="10" t="s">
        <v>72</v>
      </c>
      <c r="C29" s="10" t="s">
        <v>38</v>
      </c>
      <c r="D29" s="10" t="s">
        <v>51</v>
      </c>
      <c r="E29" s="10">
        <v>86076</v>
      </c>
      <c r="F29" s="17">
        <v>86334</v>
      </c>
    </row>
    <row r="30" spans="1:6" x14ac:dyDescent="0.35">
      <c r="A30" s="19">
        <v>46130</v>
      </c>
      <c r="B30" s="10" t="s">
        <v>73</v>
      </c>
      <c r="C30" s="10" t="s">
        <v>44</v>
      </c>
      <c r="D30" s="10" t="s">
        <v>39</v>
      </c>
      <c r="E30" s="10">
        <v>20000</v>
      </c>
      <c r="F30" s="17">
        <v>41281</v>
      </c>
    </row>
    <row r="31" spans="1:6" ht="15" thickBot="1" x14ac:dyDescent="0.4">
      <c r="A31" s="20">
        <v>46131</v>
      </c>
      <c r="B31" s="13" t="s">
        <v>74</v>
      </c>
      <c r="C31" s="13" t="s">
        <v>41</v>
      </c>
      <c r="D31" s="13" t="s">
        <v>39</v>
      </c>
      <c r="E31" s="13">
        <v>84534</v>
      </c>
      <c r="F31" s="18">
        <v>74049</v>
      </c>
    </row>
    <row r="33" spans="1:7" ht="15" thickBot="1" x14ac:dyDescent="0.4"/>
    <row r="34" spans="1:7" x14ac:dyDescent="0.35">
      <c r="A34" s="14" t="s">
        <v>31</v>
      </c>
      <c r="B34" s="15" t="s">
        <v>32</v>
      </c>
      <c r="C34" s="15" t="s">
        <v>33</v>
      </c>
      <c r="D34" s="15" t="s">
        <v>34</v>
      </c>
      <c r="E34" s="15" t="s">
        <v>35</v>
      </c>
      <c r="F34" s="16" t="s">
        <v>36</v>
      </c>
      <c r="G34" s="16" t="s">
        <v>36</v>
      </c>
    </row>
    <row r="35" spans="1:7" x14ac:dyDescent="0.35">
      <c r="A35" s="19">
        <v>46096</v>
      </c>
      <c r="B35" s="10" t="s">
        <v>37</v>
      </c>
      <c r="C35" s="10" t="s">
        <v>38</v>
      </c>
      <c r="D35" s="10" t="s">
        <v>39</v>
      </c>
      <c r="E35" s="10">
        <v>78805</v>
      </c>
      <c r="F35" s="17">
        <v>47568</v>
      </c>
      <c r="G35" s="17">
        <v>47568</v>
      </c>
    </row>
    <row r="36" spans="1:7" x14ac:dyDescent="0.35">
      <c r="A36" s="19">
        <v>46097</v>
      </c>
      <c r="B36" s="10" t="s">
        <v>40</v>
      </c>
      <c r="C36" s="10" t="s">
        <v>41</v>
      </c>
      <c r="D36" s="10" t="s">
        <v>42</v>
      </c>
      <c r="E36" s="10">
        <v>81218</v>
      </c>
      <c r="F36" s="17">
        <v>71354</v>
      </c>
      <c r="G36" s="17">
        <v>71354</v>
      </c>
    </row>
    <row r="37" spans="1:7" x14ac:dyDescent="0.35">
      <c r="A37" s="19">
        <v>46098</v>
      </c>
      <c r="B37" s="10" t="s">
        <v>43</v>
      </c>
      <c r="C37" s="10" t="s">
        <v>44</v>
      </c>
      <c r="D37" s="10" t="s">
        <v>42</v>
      </c>
      <c r="E37" s="10">
        <v>36687</v>
      </c>
      <c r="F37" s="17">
        <v>56505</v>
      </c>
      <c r="G37" s="17">
        <v>56505</v>
      </c>
    </row>
    <row r="38" spans="1:7" x14ac:dyDescent="0.35">
      <c r="A38" s="19">
        <v>46099</v>
      </c>
      <c r="B38" s="10" t="s">
        <v>45</v>
      </c>
      <c r="C38" s="10" t="s">
        <v>38</v>
      </c>
      <c r="D38" s="10" t="s">
        <v>42</v>
      </c>
      <c r="E38" s="10">
        <v>20000</v>
      </c>
      <c r="F38" s="17">
        <v>50614</v>
      </c>
      <c r="G38" s="17">
        <v>50614</v>
      </c>
    </row>
    <row r="39" spans="1:7" x14ac:dyDescent="0.35">
      <c r="A39" s="19">
        <v>46100</v>
      </c>
      <c r="B39" s="10" t="s">
        <v>46</v>
      </c>
      <c r="C39" s="10" t="s">
        <v>38</v>
      </c>
      <c r="D39" s="10" t="s">
        <v>47</v>
      </c>
      <c r="E39" s="10">
        <v>89634</v>
      </c>
      <c r="F39" s="17">
        <v>79176</v>
      </c>
      <c r="G39" s="17">
        <v>79176</v>
      </c>
    </row>
    <row r="40" spans="1:7" x14ac:dyDescent="0.35">
      <c r="A40" s="19">
        <v>46101</v>
      </c>
      <c r="B40" s="10" t="s">
        <v>48</v>
      </c>
      <c r="C40" s="10" t="s">
        <v>44</v>
      </c>
      <c r="D40" s="10" t="s">
        <v>42</v>
      </c>
      <c r="E40" s="10">
        <v>62015</v>
      </c>
      <c r="F40" s="17">
        <v>69434</v>
      </c>
      <c r="G40" s="17">
        <v>69434</v>
      </c>
    </row>
    <row r="41" spans="1:7" x14ac:dyDescent="0.35">
      <c r="A41" s="19">
        <v>46102</v>
      </c>
      <c r="B41" s="10" t="s">
        <v>49</v>
      </c>
      <c r="C41" s="10" t="s">
        <v>44</v>
      </c>
      <c r="D41" s="10" t="s">
        <v>39</v>
      </c>
      <c r="E41" s="10">
        <v>20000</v>
      </c>
      <c r="F41" s="17">
        <v>69434</v>
      </c>
      <c r="G41" s="17">
        <v>69434</v>
      </c>
    </row>
    <row r="42" spans="1:7" x14ac:dyDescent="0.35">
      <c r="A42" s="19">
        <v>46103</v>
      </c>
      <c r="B42" s="10" t="s">
        <v>50</v>
      </c>
      <c r="C42" s="10" t="s">
        <v>38</v>
      </c>
      <c r="D42" s="10" t="s">
        <v>51</v>
      </c>
      <c r="E42" s="10">
        <v>20000</v>
      </c>
      <c r="F42" s="17">
        <v>60910</v>
      </c>
      <c r="G42" s="17">
        <v>60910</v>
      </c>
    </row>
    <row r="43" spans="1:7" x14ac:dyDescent="0.35">
      <c r="A43" s="19">
        <v>46104</v>
      </c>
      <c r="B43" s="10" t="s">
        <v>52</v>
      </c>
      <c r="C43" s="10" t="s">
        <v>41</v>
      </c>
      <c r="D43" s="10" t="s">
        <v>51</v>
      </c>
      <c r="E43" s="10">
        <v>70837</v>
      </c>
      <c r="F43" s="17">
        <v>85222</v>
      </c>
      <c r="G43" s="17">
        <v>85222</v>
      </c>
    </row>
    <row r="44" spans="1:7" x14ac:dyDescent="0.35">
      <c r="A44" s="19">
        <v>46111</v>
      </c>
      <c r="B44" s="10" t="s">
        <v>53</v>
      </c>
      <c r="C44" s="10" t="s">
        <v>38</v>
      </c>
      <c r="D44" s="10" t="s">
        <v>51</v>
      </c>
      <c r="E44" s="10">
        <v>52700</v>
      </c>
      <c r="F44" s="17">
        <v>85222</v>
      </c>
      <c r="G44" s="17">
        <v>85222</v>
      </c>
    </row>
    <row r="45" spans="1:7" x14ac:dyDescent="0.35">
      <c r="A45" s="19">
        <v>46112</v>
      </c>
      <c r="B45" s="10" t="s">
        <v>54</v>
      </c>
      <c r="C45" s="10" t="s">
        <v>41</v>
      </c>
      <c r="D45" s="10" t="s">
        <v>47</v>
      </c>
      <c r="E45" s="10">
        <v>44811</v>
      </c>
      <c r="F45" s="17">
        <v>65279</v>
      </c>
      <c r="G45" s="17">
        <v>65279</v>
      </c>
    </row>
    <row r="46" spans="1:7" x14ac:dyDescent="0.35">
      <c r="A46" s="19">
        <v>46113</v>
      </c>
      <c r="B46" s="10" t="s">
        <v>55</v>
      </c>
      <c r="C46" s="10" t="s">
        <v>44</v>
      </c>
      <c r="D46" s="10" t="s">
        <v>42</v>
      </c>
      <c r="E46" s="10">
        <v>50833</v>
      </c>
      <c r="F46" s="17">
        <v>48220</v>
      </c>
      <c r="G46" s="17">
        <v>48220</v>
      </c>
    </row>
    <row r="47" spans="1:7" x14ac:dyDescent="0.35">
      <c r="A47" s="19">
        <v>46114</v>
      </c>
      <c r="B47" s="10" t="s">
        <v>56</v>
      </c>
      <c r="C47" s="10" t="s">
        <v>57</v>
      </c>
      <c r="D47" s="10" t="s">
        <v>51</v>
      </c>
      <c r="E47" s="10">
        <v>20000</v>
      </c>
      <c r="F47" s="17">
        <v>77933</v>
      </c>
      <c r="G47" s="17">
        <v>77933</v>
      </c>
    </row>
    <row r="48" spans="1:7" x14ac:dyDescent="0.35">
      <c r="A48" s="19">
        <v>46115</v>
      </c>
      <c r="B48" s="10" t="s">
        <v>58</v>
      </c>
      <c r="C48" s="10" t="s">
        <v>41</v>
      </c>
      <c r="D48" s="10" t="s">
        <v>42</v>
      </c>
      <c r="E48" s="10">
        <v>76197</v>
      </c>
      <c r="F48" s="17">
        <v>81453</v>
      </c>
      <c r="G48" s="17">
        <v>81453</v>
      </c>
    </row>
    <row r="49" spans="1:7" x14ac:dyDescent="0.35">
      <c r="A49" s="19">
        <v>46116</v>
      </c>
      <c r="B49" s="10" t="s">
        <v>59</v>
      </c>
      <c r="C49" s="10" t="s">
        <v>57</v>
      </c>
      <c r="D49" s="10" t="s">
        <v>47</v>
      </c>
      <c r="E49" s="10">
        <v>79576</v>
      </c>
      <c r="F49" s="17">
        <v>81453</v>
      </c>
      <c r="G49" s="17">
        <v>81453</v>
      </c>
    </row>
    <row r="50" spans="1:7" x14ac:dyDescent="0.35">
      <c r="A50" s="19">
        <v>46117</v>
      </c>
      <c r="B50" s="10" t="s">
        <v>60</v>
      </c>
      <c r="C50" s="10" t="s">
        <v>38</v>
      </c>
      <c r="D50" s="10" t="s">
        <v>42</v>
      </c>
      <c r="E50" s="10">
        <v>67533</v>
      </c>
      <c r="F50" s="17">
        <v>60564</v>
      </c>
      <c r="G50" s="17">
        <v>60564</v>
      </c>
    </row>
    <row r="51" spans="1:7" x14ac:dyDescent="0.35">
      <c r="A51" s="19">
        <v>46118</v>
      </c>
      <c r="B51" s="10" t="s">
        <v>61</v>
      </c>
      <c r="C51" s="10" t="s">
        <v>41</v>
      </c>
      <c r="D51" s="10" t="s">
        <v>39</v>
      </c>
      <c r="E51" s="10">
        <v>92948</v>
      </c>
      <c r="F51" s="17">
        <v>80305</v>
      </c>
      <c r="G51" s="17">
        <v>80305</v>
      </c>
    </row>
    <row r="52" spans="1:7" x14ac:dyDescent="0.35">
      <c r="A52" s="19">
        <v>46119</v>
      </c>
      <c r="B52" s="10" t="s">
        <v>62</v>
      </c>
      <c r="C52" s="10" t="s">
        <v>41</v>
      </c>
      <c r="D52" s="10" t="s">
        <v>42</v>
      </c>
      <c r="E52" s="10">
        <v>47368</v>
      </c>
      <c r="F52" s="17">
        <v>80735</v>
      </c>
      <c r="G52" s="17">
        <v>80735</v>
      </c>
    </row>
    <row r="53" spans="1:7" x14ac:dyDescent="0.35">
      <c r="A53" s="19">
        <v>46120</v>
      </c>
      <c r="B53" s="10" t="s">
        <v>63</v>
      </c>
      <c r="C53" s="10" t="s">
        <v>44</v>
      </c>
      <c r="D53" s="10" t="s">
        <v>39</v>
      </c>
      <c r="E53" s="10">
        <v>78656</v>
      </c>
      <c r="F53" s="17">
        <v>57387</v>
      </c>
      <c r="G53" s="17">
        <v>57387</v>
      </c>
    </row>
    <row r="54" spans="1:7" x14ac:dyDescent="0.35">
      <c r="A54" s="19">
        <v>46121</v>
      </c>
      <c r="B54" s="10" t="s">
        <v>64</v>
      </c>
      <c r="C54" s="10" t="s">
        <v>38</v>
      </c>
      <c r="D54" s="10" t="s">
        <v>42</v>
      </c>
      <c r="E54" s="10">
        <v>20000</v>
      </c>
      <c r="F54" s="17">
        <v>57387</v>
      </c>
      <c r="G54" s="17">
        <v>57387</v>
      </c>
    </row>
    <row r="55" spans="1:7" x14ac:dyDescent="0.35">
      <c r="A55" s="19">
        <v>46122</v>
      </c>
      <c r="B55" s="10" t="s">
        <v>65</v>
      </c>
      <c r="C55" s="10" t="s">
        <v>41</v>
      </c>
      <c r="D55" s="10" t="s">
        <v>42</v>
      </c>
      <c r="E55" s="10">
        <v>92859</v>
      </c>
      <c r="F55" s="17">
        <v>58012</v>
      </c>
      <c r="G55" s="17">
        <v>58012</v>
      </c>
    </row>
    <row r="56" spans="1:7" x14ac:dyDescent="0.35">
      <c r="A56" s="19">
        <v>46123</v>
      </c>
      <c r="B56" s="10" t="s">
        <v>66</v>
      </c>
      <c r="C56" s="10" t="s">
        <v>41</v>
      </c>
      <c r="D56" s="10" t="s">
        <v>47</v>
      </c>
      <c r="E56" s="10">
        <v>20000</v>
      </c>
      <c r="F56" s="17">
        <v>49635</v>
      </c>
      <c r="G56" s="17">
        <v>49635</v>
      </c>
    </row>
    <row r="57" spans="1:7" x14ac:dyDescent="0.35">
      <c r="A57" s="19">
        <v>46124</v>
      </c>
      <c r="B57" s="10" t="s">
        <v>67</v>
      </c>
      <c r="C57" s="10" t="s">
        <v>38</v>
      </c>
      <c r="D57" s="10" t="s">
        <v>42</v>
      </c>
      <c r="E57" s="10">
        <v>79973</v>
      </c>
      <c r="F57" s="17">
        <v>49645</v>
      </c>
      <c r="G57" s="17">
        <v>49645</v>
      </c>
    </row>
    <row r="58" spans="1:7" x14ac:dyDescent="0.35">
      <c r="A58" s="19">
        <v>46125</v>
      </c>
      <c r="B58" s="10" t="s">
        <v>68</v>
      </c>
      <c r="C58" s="10" t="s">
        <v>41</v>
      </c>
      <c r="D58" s="10" t="s">
        <v>39</v>
      </c>
      <c r="E58" s="10">
        <v>20000</v>
      </c>
      <c r="F58" s="17">
        <v>63883</v>
      </c>
      <c r="G58" s="17">
        <v>63883</v>
      </c>
    </row>
    <row r="59" spans="1:7" x14ac:dyDescent="0.35">
      <c r="A59" s="19">
        <v>46126</v>
      </c>
      <c r="B59" s="10" t="s">
        <v>69</v>
      </c>
      <c r="C59" s="10" t="s">
        <v>44</v>
      </c>
      <c r="D59" s="10" t="s">
        <v>51</v>
      </c>
      <c r="E59" s="10">
        <v>67572</v>
      </c>
      <c r="F59" s="17">
        <v>50542</v>
      </c>
      <c r="G59" s="17">
        <v>50542</v>
      </c>
    </row>
    <row r="60" spans="1:7" x14ac:dyDescent="0.35">
      <c r="A60" s="19">
        <v>46127</v>
      </c>
      <c r="B60" s="10" t="s">
        <v>70</v>
      </c>
      <c r="C60" s="10" t="s">
        <v>57</v>
      </c>
      <c r="D60" s="10" t="s">
        <v>42</v>
      </c>
      <c r="E60" s="10">
        <v>20000</v>
      </c>
      <c r="F60" s="17">
        <v>44554</v>
      </c>
      <c r="G60" s="17">
        <v>44554</v>
      </c>
    </row>
    <row r="61" spans="1:7" x14ac:dyDescent="0.35">
      <c r="A61" s="19">
        <v>46128</v>
      </c>
      <c r="B61" s="10" t="s">
        <v>71</v>
      </c>
      <c r="C61" s="10" t="s">
        <v>44</v>
      </c>
      <c r="D61" s="10" t="s">
        <v>51</v>
      </c>
      <c r="E61" s="10">
        <v>92817</v>
      </c>
      <c r="F61" s="17">
        <v>58496</v>
      </c>
      <c r="G61" s="17">
        <v>58496</v>
      </c>
    </row>
    <row r="62" spans="1:7" x14ac:dyDescent="0.35">
      <c r="A62" s="19">
        <v>46129</v>
      </c>
      <c r="B62" s="10" t="s">
        <v>72</v>
      </c>
      <c r="C62" s="10" t="s">
        <v>38</v>
      </c>
      <c r="D62" s="10" t="s">
        <v>51</v>
      </c>
      <c r="E62" s="10">
        <v>86076</v>
      </c>
      <c r="F62" s="17">
        <v>86334</v>
      </c>
      <c r="G62" s="17">
        <v>86334</v>
      </c>
    </row>
    <row r="63" spans="1:7" x14ac:dyDescent="0.35">
      <c r="A63" s="19">
        <v>46130</v>
      </c>
      <c r="B63" s="10" t="s">
        <v>73</v>
      </c>
      <c r="C63" s="10" t="s">
        <v>44</v>
      </c>
      <c r="D63" s="10" t="s">
        <v>39</v>
      </c>
      <c r="E63" s="10">
        <v>20000</v>
      </c>
      <c r="F63" s="17">
        <v>41281</v>
      </c>
      <c r="G63" s="17">
        <v>41281</v>
      </c>
    </row>
    <row r="64" spans="1:7" ht="15" thickBot="1" x14ac:dyDescent="0.4">
      <c r="A64" s="20">
        <v>46131</v>
      </c>
      <c r="B64" s="13" t="s">
        <v>74</v>
      </c>
      <c r="C64" s="13" t="s">
        <v>41</v>
      </c>
      <c r="D64" s="13" t="s">
        <v>39</v>
      </c>
      <c r="E64" s="13">
        <v>84534</v>
      </c>
      <c r="F64" s="18">
        <v>74049</v>
      </c>
      <c r="G64" s="18">
        <v>74049</v>
      </c>
    </row>
    <row r="69" spans="1:7" ht="15" thickBot="1" x14ac:dyDescent="0.4"/>
    <row r="70" spans="1:7" x14ac:dyDescent="0.35">
      <c r="A70" s="14" t="s">
        <v>31</v>
      </c>
      <c r="B70" s="15" t="s">
        <v>32</v>
      </c>
      <c r="C70" s="15" t="s">
        <v>33</v>
      </c>
      <c r="D70" s="15" t="s">
        <v>34</v>
      </c>
      <c r="E70" s="15" t="s">
        <v>35</v>
      </c>
      <c r="F70" s="16" t="s">
        <v>36</v>
      </c>
      <c r="G70" s="16" t="s">
        <v>36</v>
      </c>
    </row>
    <row r="71" spans="1:7" x14ac:dyDescent="0.35">
      <c r="A71" s="19">
        <v>46096</v>
      </c>
      <c r="B71" s="10" t="s">
        <v>37</v>
      </c>
      <c r="C71" s="10" t="s">
        <v>38</v>
      </c>
      <c r="D71" s="10" t="s">
        <v>39</v>
      </c>
      <c r="E71" s="10">
        <v>78805</v>
      </c>
      <c r="F71" s="17">
        <v>47568</v>
      </c>
      <c r="G71" s="17">
        <v>47568</v>
      </c>
    </row>
    <row r="72" spans="1:7" x14ac:dyDescent="0.35">
      <c r="A72" s="19">
        <v>46097</v>
      </c>
      <c r="B72" s="10" t="s">
        <v>40</v>
      </c>
      <c r="C72" s="10" t="s">
        <v>41</v>
      </c>
      <c r="D72" s="10" t="s">
        <v>42</v>
      </c>
      <c r="E72" s="10">
        <v>81218</v>
      </c>
      <c r="F72" s="17">
        <v>71354</v>
      </c>
      <c r="G72" s="17">
        <v>71354</v>
      </c>
    </row>
    <row r="73" spans="1:7" x14ac:dyDescent="0.35">
      <c r="A73" s="19">
        <v>46098</v>
      </c>
      <c r="B73" s="10" t="s">
        <v>43</v>
      </c>
      <c r="C73" s="10" t="s">
        <v>44</v>
      </c>
      <c r="D73" s="10" t="s">
        <v>42</v>
      </c>
      <c r="E73" s="10">
        <v>36687</v>
      </c>
      <c r="F73" s="17">
        <v>56505</v>
      </c>
      <c r="G73" s="17">
        <v>56505</v>
      </c>
    </row>
    <row r="74" spans="1:7" x14ac:dyDescent="0.35">
      <c r="A74" s="19">
        <v>46099</v>
      </c>
      <c r="B74" s="10" t="s">
        <v>45</v>
      </c>
      <c r="C74" s="10" t="s">
        <v>38</v>
      </c>
      <c r="D74" s="10" t="s">
        <v>42</v>
      </c>
      <c r="E74" s="10">
        <v>20000</v>
      </c>
      <c r="F74" s="17">
        <v>50614</v>
      </c>
      <c r="G74" s="17">
        <v>50614</v>
      </c>
    </row>
    <row r="75" spans="1:7" x14ac:dyDescent="0.35">
      <c r="A75" s="19">
        <v>46100</v>
      </c>
      <c r="B75" s="10" t="s">
        <v>46</v>
      </c>
      <c r="C75" s="10" t="s">
        <v>38</v>
      </c>
      <c r="D75" s="10" t="s">
        <v>47</v>
      </c>
      <c r="E75" s="10">
        <v>89634</v>
      </c>
      <c r="F75" s="17">
        <v>79176</v>
      </c>
      <c r="G75" s="17">
        <v>79176</v>
      </c>
    </row>
    <row r="76" spans="1:7" x14ac:dyDescent="0.35">
      <c r="A76" s="19">
        <v>46101</v>
      </c>
      <c r="B76" s="10" t="s">
        <v>48</v>
      </c>
      <c r="C76" s="10" t="s">
        <v>44</v>
      </c>
      <c r="D76" s="10" t="s">
        <v>42</v>
      </c>
      <c r="E76" s="10">
        <v>62015</v>
      </c>
      <c r="F76" s="17">
        <v>69434</v>
      </c>
      <c r="G76" s="17">
        <v>69434</v>
      </c>
    </row>
    <row r="77" spans="1:7" x14ac:dyDescent="0.35">
      <c r="A77" s="19">
        <v>46102</v>
      </c>
      <c r="B77" s="10" t="s">
        <v>49</v>
      </c>
      <c r="C77" s="10" t="s">
        <v>44</v>
      </c>
      <c r="D77" s="10" t="s">
        <v>39</v>
      </c>
      <c r="E77" s="10">
        <v>20000</v>
      </c>
      <c r="F77" s="17">
        <v>69434</v>
      </c>
      <c r="G77" s="17">
        <v>69434</v>
      </c>
    </row>
    <row r="78" spans="1:7" x14ac:dyDescent="0.35">
      <c r="A78" s="19">
        <v>46103</v>
      </c>
      <c r="B78" s="10" t="s">
        <v>50</v>
      </c>
      <c r="C78" s="10" t="s">
        <v>38</v>
      </c>
      <c r="D78" s="10" t="s">
        <v>51</v>
      </c>
      <c r="E78" s="10">
        <v>20000</v>
      </c>
      <c r="F78" s="17">
        <v>60910</v>
      </c>
      <c r="G78" s="17">
        <v>60910</v>
      </c>
    </row>
    <row r="79" spans="1:7" x14ac:dyDescent="0.35">
      <c r="A79" s="19">
        <v>46104</v>
      </c>
      <c r="B79" s="10" t="s">
        <v>52</v>
      </c>
      <c r="C79" s="10" t="s">
        <v>41</v>
      </c>
      <c r="D79" s="10" t="s">
        <v>51</v>
      </c>
      <c r="E79" s="10">
        <v>70837</v>
      </c>
      <c r="F79" s="17">
        <v>85222</v>
      </c>
      <c r="G79" s="17">
        <v>85222</v>
      </c>
    </row>
    <row r="80" spans="1:7" x14ac:dyDescent="0.35">
      <c r="A80" s="19">
        <v>46111</v>
      </c>
      <c r="B80" s="10" t="s">
        <v>53</v>
      </c>
      <c r="C80" s="10" t="s">
        <v>38</v>
      </c>
      <c r="D80" s="10" t="s">
        <v>51</v>
      </c>
      <c r="E80" s="10">
        <v>52700</v>
      </c>
      <c r="F80" s="17">
        <v>85222</v>
      </c>
      <c r="G80" s="17">
        <v>85222</v>
      </c>
    </row>
    <row r="81" spans="1:7" x14ac:dyDescent="0.35">
      <c r="A81" s="19">
        <v>46112</v>
      </c>
      <c r="B81" s="10" t="s">
        <v>54</v>
      </c>
      <c r="C81" s="10" t="s">
        <v>41</v>
      </c>
      <c r="D81" s="10" t="s">
        <v>47</v>
      </c>
      <c r="E81" s="10">
        <v>44811</v>
      </c>
      <c r="F81" s="17">
        <v>65279</v>
      </c>
      <c r="G81" s="17">
        <v>65279</v>
      </c>
    </row>
    <row r="82" spans="1:7" x14ac:dyDescent="0.35">
      <c r="A82" s="19">
        <v>46113</v>
      </c>
      <c r="B82" s="10" t="s">
        <v>55</v>
      </c>
      <c r="C82" s="10" t="s">
        <v>44</v>
      </c>
      <c r="D82" s="10" t="s">
        <v>42</v>
      </c>
      <c r="E82" s="10">
        <v>50833</v>
      </c>
      <c r="F82" s="17">
        <v>48220</v>
      </c>
      <c r="G82" s="17">
        <v>48220</v>
      </c>
    </row>
    <row r="83" spans="1:7" x14ac:dyDescent="0.35">
      <c r="A83" s="19">
        <v>46114</v>
      </c>
      <c r="B83" s="10" t="s">
        <v>56</v>
      </c>
      <c r="C83" s="10" t="s">
        <v>57</v>
      </c>
      <c r="D83" s="10" t="s">
        <v>51</v>
      </c>
      <c r="E83" s="10">
        <v>20000</v>
      </c>
      <c r="F83" s="17">
        <v>77933</v>
      </c>
      <c r="G83" s="17">
        <v>77933</v>
      </c>
    </row>
    <row r="84" spans="1:7" x14ac:dyDescent="0.35">
      <c r="A84" s="19">
        <v>46115</v>
      </c>
      <c r="B84" s="10" t="s">
        <v>58</v>
      </c>
      <c r="C84" s="10" t="s">
        <v>41</v>
      </c>
      <c r="D84" s="10" t="s">
        <v>42</v>
      </c>
      <c r="E84" s="10">
        <v>76197</v>
      </c>
      <c r="F84" s="17">
        <v>81453</v>
      </c>
      <c r="G84" s="17">
        <v>81453</v>
      </c>
    </row>
    <row r="85" spans="1:7" x14ac:dyDescent="0.35">
      <c r="A85" s="19">
        <v>46116</v>
      </c>
      <c r="B85" s="10" t="s">
        <v>59</v>
      </c>
      <c r="C85" s="10" t="s">
        <v>57</v>
      </c>
      <c r="D85" s="10" t="s">
        <v>47</v>
      </c>
      <c r="E85" s="10">
        <v>79576</v>
      </c>
      <c r="F85" s="17">
        <v>81453</v>
      </c>
      <c r="G85" s="17">
        <v>81453</v>
      </c>
    </row>
    <row r="86" spans="1:7" x14ac:dyDescent="0.35">
      <c r="A86" s="19">
        <v>46117</v>
      </c>
      <c r="B86" s="10" t="s">
        <v>60</v>
      </c>
      <c r="C86" s="10" t="s">
        <v>38</v>
      </c>
      <c r="D86" s="10" t="s">
        <v>42</v>
      </c>
      <c r="E86" s="10">
        <v>67533</v>
      </c>
      <c r="F86" s="17">
        <v>60564</v>
      </c>
      <c r="G86" s="17">
        <v>60564</v>
      </c>
    </row>
    <row r="87" spans="1:7" x14ac:dyDescent="0.35">
      <c r="A87" s="19">
        <v>46118</v>
      </c>
      <c r="B87" s="10" t="s">
        <v>61</v>
      </c>
      <c r="C87" s="10" t="s">
        <v>41</v>
      </c>
      <c r="D87" s="10" t="s">
        <v>39</v>
      </c>
      <c r="E87" s="10">
        <v>92948</v>
      </c>
      <c r="F87" s="17">
        <v>80305</v>
      </c>
      <c r="G87" s="17">
        <v>80305</v>
      </c>
    </row>
    <row r="88" spans="1:7" x14ac:dyDescent="0.35">
      <c r="A88" s="19">
        <v>46119</v>
      </c>
      <c r="B88" s="10" t="s">
        <v>62</v>
      </c>
      <c r="C88" s="10" t="s">
        <v>41</v>
      </c>
      <c r="D88" s="10" t="s">
        <v>42</v>
      </c>
      <c r="E88" s="10">
        <v>47368</v>
      </c>
      <c r="F88" s="17">
        <v>80735</v>
      </c>
      <c r="G88" s="17">
        <v>80735</v>
      </c>
    </row>
    <row r="89" spans="1:7" x14ac:dyDescent="0.35">
      <c r="A89" s="19">
        <v>46120</v>
      </c>
      <c r="B89" s="10" t="s">
        <v>63</v>
      </c>
      <c r="C89" s="10" t="s">
        <v>44</v>
      </c>
      <c r="D89" s="10" t="s">
        <v>39</v>
      </c>
      <c r="E89" s="10">
        <v>78656</v>
      </c>
      <c r="F89" s="17">
        <v>57387</v>
      </c>
      <c r="G89" s="17">
        <v>57387</v>
      </c>
    </row>
    <row r="90" spans="1:7" x14ac:dyDescent="0.35">
      <c r="A90" s="19">
        <v>46121</v>
      </c>
      <c r="B90" s="10" t="s">
        <v>64</v>
      </c>
      <c r="C90" s="10" t="s">
        <v>38</v>
      </c>
      <c r="D90" s="10" t="s">
        <v>42</v>
      </c>
      <c r="E90" s="10">
        <v>20000</v>
      </c>
      <c r="F90" s="17">
        <v>57387</v>
      </c>
      <c r="G90" s="17">
        <v>57387</v>
      </c>
    </row>
    <row r="91" spans="1:7" x14ac:dyDescent="0.35">
      <c r="A91" s="19">
        <v>46122</v>
      </c>
      <c r="B91" s="10" t="s">
        <v>65</v>
      </c>
      <c r="C91" s="10" t="s">
        <v>41</v>
      </c>
      <c r="D91" s="10" t="s">
        <v>42</v>
      </c>
      <c r="E91" s="10">
        <v>92859</v>
      </c>
      <c r="F91" s="17">
        <v>58012</v>
      </c>
      <c r="G91" s="17">
        <v>58012</v>
      </c>
    </row>
    <row r="92" spans="1:7" x14ac:dyDescent="0.35">
      <c r="A92" s="19">
        <v>46123</v>
      </c>
      <c r="B92" s="10" t="s">
        <v>66</v>
      </c>
      <c r="C92" s="10" t="s">
        <v>41</v>
      </c>
      <c r="D92" s="10" t="s">
        <v>47</v>
      </c>
      <c r="E92" s="10">
        <v>20000</v>
      </c>
      <c r="F92" s="17">
        <v>49635</v>
      </c>
      <c r="G92" s="17">
        <v>49635</v>
      </c>
    </row>
    <row r="93" spans="1:7" x14ac:dyDescent="0.35">
      <c r="A93" s="19">
        <v>46124</v>
      </c>
      <c r="B93" s="10" t="s">
        <v>67</v>
      </c>
      <c r="C93" s="10" t="s">
        <v>38</v>
      </c>
      <c r="D93" s="10" t="s">
        <v>42</v>
      </c>
      <c r="E93" s="10">
        <v>79973</v>
      </c>
      <c r="F93" s="17">
        <v>49645</v>
      </c>
      <c r="G93" s="17">
        <v>49645</v>
      </c>
    </row>
    <row r="94" spans="1:7" x14ac:dyDescent="0.35">
      <c r="A94" s="19">
        <v>46125</v>
      </c>
      <c r="B94" s="10" t="s">
        <v>68</v>
      </c>
      <c r="C94" s="10" t="s">
        <v>41</v>
      </c>
      <c r="D94" s="10" t="s">
        <v>39</v>
      </c>
      <c r="E94" s="10">
        <v>20000</v>
      </c>
      <c r="F94" s="17">
        <v>63883</v>
      </c>
      <c r="G94" s="17">
        <v>63883</v>
      </c>
    </row>
    <row r="95" spans="1:7" x14ac:dyDescent="0.35">
      <c r="A95" s="19">
        <v>46126</v>
      </c>
      <c r="B95" s="10" t="s">
        <v>69</v>
      </c>
      <c r="C95" s="10" t="s">
        <v>44</v>
      </c>
      <c r="D95" s="10" t="s">
        <v>51</v>
      </c>
      <c r="E95" s="10">
        <v>67572</v>
      </c>
      <c r="F95" s="17">
        <v>50542</v>
      </c>
      <c r="G95" s="17">
        <v>50542</v>
      </c>
    </row>
    <row r="96" spans="1:7" x14ac:dyDescent="0.35">
      <c r="A96" s="19">
        <v>46127</v>
      </c>
      <c r="B96" s="10" t="s">
        <v>70</v>
      </c>
      <c r="C96" s="10" t="s">
        <v>57</v>
      </c>
      <c r="D96" s="10" t="s">
        <v>42</v>
      </c>
      <c r="E96" s="10">
        <v>20000</v>
      </c>
      <c r="F96" s="17">
        <v>44554</v>
      </c>
      <c r="G96" s="17">
        <v>44554</v>
      </c>
    </row>
    <row r="97" spans="1:7" x14ac:dyDescent="0.35">
      <c r="A97" s="19">
        <v>46128</v>
      </c>
      <c r="B97" s="10" t="s">
        <v>71</v>
      </c>
      <c r="C97" s="10" t="s">
        <v>44</v>
      </c>
      <c r="D97" s="10" t="s">
        <v>51</v>
      </c>
      <c r="E97" s="10">
        <v>92817</v>
      </c>
      <c r="F97" s="17">
        <v>58496</v>
      </c>
      <c r="G97" s="17">
        <v>58496</v>
      </c>
    </row>
    <row r="98" spans="1:7" x14ac:dyDescent="0.35">
      <c r="A98" s="19">
        <v>46129</v>
      </c>
      <c r="B98" s="10" t="s">
        <v>72</v>
      </c>
      <c r="C98" s="10" t="s">
        <v>38</v>
      </c>
      <c r="D98" s="10" t="s">
        <v>51</v>
      </c>
      <c r="E98" s="10">
        <v>86076</v>
      </c>
      <c r="F98" s="17">
        <v>86334</v>
      </c>
      <c r="G98" s="17">
        <v>86334</v>
      </c>
    </row>
    <row r="99" spans="1:7" x14ac:dyDescent="0.35">
      <c r="A99" s="19">
        <v>46130</v>
      </c>
      <c r="B99" s="10" t="s">
        <v>73</v>
      </c>
      <c r="C99" s="10" t="s">
        <v>44</v>
      </c>
      <c r="D99" s="10" t="s">
        <v>39</v>
      </c>
      <c r="E99" s="10">
        <v>20000</v>
      </c>
      <c r="F99" s="17">
        <v>41281</v>
      </c>
      <c r="G99" s="17">
        <v>41281</v>
      </c>
    </row>
    <row r="100" spans="1:7" ht="15" thickBot="1" x14ac:dyDescent="0.4">
      <c r="A100" s="20">
        <v>46131</v>
      </c>
      <c r="B100" s="13" t="s">
        <v>74</v>
      </c>
      <c r="C100" s="13" t="s">
        <v>41</v>
      </c>
      <c r="D100" s="13" t="s">
        <v>39</v>
      </c>
      <c r="E100" s="13">
        <v>84534</v>
      </c>
      <c r="F100" s="18">
        <v>74049</v>
      </c>
      <c r="G100" s="18">
        <v>74049</v>
      </c>
    </row>
    <row r="106" spans="1:7" ht="15" thickBot="1" x14ac:dyDescent="0.4"/>
    <row r="107" spans="1:7" x14ac:dyDescent="0.35">
      <c r="A107" s="14" t="s">
        <v>31</v>
      </c>
      <c r="B107" s="15" t="s">
        <v>32</v>
      </c>
      <c r="C107" s="15" t="s">
        <v>33</v>
      </c>
      <c r="D107" s="15" t="s">
        <v>34</v>
      </c>
      <c r="E107" s="15" t="s">
        <v>35</v>
      </c>
      <c r="F107" s="16" t="s">
        <v>36</v>
      </c>
      <c r="G107" s="16" t="s">
        <v>36</v>
      </c>
    </row>
    <row r="108" spans="1:7" x14ac:dyDescent="0.35">
      <c r="A108" s="19">
        <v>46096</v>
      </c>
      <c r="B108" s="10" t="s">
        <v>37</v>
      </c>
      <c r="C108" s="10" t="s">
        <v>38</v>
      </c>
      <c r="D108" s="10" t="s">
        <v>39</v>
      </c>
      <c r="E108" s="10">
        <v>78805</v>
      </c>
      <c r="F108" s="17">
        <v>47568</v>
      </c>
      <c r="G108" s="17">
        <v>47568</v>
      </c>
    </row>
    <row r="109" spans="1:7" x14ac:dyDescent="0.35">
      <c r="A109" s="19">
        <v>46097</v>
      </c>
      <c r="B109" s="10" t="s">
        <v>40</v>
      </c>
      <c r="C109" s="10" t="s">
        <v>41</v>
      </c>
      <c r="D109" s="10" t="s">
        <v>42</v>
      </c>
      <c r="E109" s="10">
        <v>81218</v>
      </c>
      <c r="F109" s="17">
        <v>71354</v>
      </c>
      <c r="G109" s="17">
        <v>71354</v>
      </c>
    </row>
    <row r="110" spans="1:7" x14ac:dyDescent="0.35">
      <c r="A110" s="19">
        <v>46098</v>
      </c>
      <c r="B110" s="10" t="s">
        <v>43</v>
      </c>
      <c r="C110" s="10" t="s">
        <v>44</v>
      </c>
      <c r="D110" s="10" t="s">
        <v>42</v>
      </c>
      <c r="E110" s="10">
        <v>36687</v>
      </c>
      <c r="F110" s="17">
        <v>56505</v>
      </c>
      <c r="G110" s="17">
        <v>56505</v>
      </c>
    </row>
    <row r="111" spans="1:7" x14ac:dyDescent="0.35">
      <c r="A111" s="19">
        <v>46099</v>
      </c>
      <c r="B111" s="10" t="s">
        <v>45</v>
      </c>
      <c r="C111" s="10" t="s">
        <v>38</v>
      </c>
      <c r="D111" s="10" t="s">
        <v>42</v>
      </c>
      <c r="E111" s="10">
        <v>20000</v>
      </c>
      <c r="F111" s="17">
        <v>50614</v>
      </c>
      <c r="G111" s="17">
        <v>50614</v>
      </c>
    </row>
    <row r="112" spans="1:7" x14ac:dyDescent="0.35">
      <c r="A112" s="19">
        <v>46100</v>
      </c>
      <c r="B112" s="10" t="s">
        <v>46</v>
      </c>
      <c r="C112" s="10" t="s">
        <v>38</v>
      </c>
      <c r="D112" s="10" t="s">
        <v>47</v>
      </c>
      <c r="E112" s="10">
        <v>89634</v>
      </c>
      <c r="F112" s="17">
        <v>79176</v>
      </c>
      <c r="G112" s="17">
        <v>79176</v>
      </c>
    </row>
    <row r="113" spans="1:8" x14ac:dyDescent="0.35">
      <c r="A113" s="19">
        <v>46101</v>
      </c>
      <c r="B113" s="10" t="s">
        <v>48</v>
      </c>
      <c r="C113" s="10" t="s">
        <v>44</v>
      </c>
      <c r="D113" s="10" t="s">
        <v>42</v>
      </c>
      <c r="E113" s="10">
        <v>62015</v>
      </c>
      <c r="F113" s="17">
        <v>69434</v>
      </c>
      <c r="G113" s="17">
        <v>69434</v>
      </c>
    </row>
    <row r="114" spans="1:8" x14ac:dyDescent="0.35">
      <c r="A114" s="19">
        <v>46102</v>
      </c>
      <c r="B114" s="10" t="s">
        <v>49</v>
      </c>
      <c r="C114" s="10" t="s">
        <v>44</v>
      </c>
      <c r="D114" s="10" t="s">
        <v>39</v>
      </c>
      <c r="E114" s="10">
        <v>20000</v>
      </c>
      <c r="F114" s="17">
        <v>69434</v>
      </c>
      <c r="G114" s="17">
        <v>69434</v>
      </c>
    </row>
    <row r="115" spans="1:8" x14ac:dyDescent="0.35">
      <c r="A115" s="19">
        <v>46103</v>
      </c>
      <c r="B115" s="10" t="s">
        <v>50</v>
      </c>
      <c r="C115" s="10" t="s">
        <v>38</v>
      </c>
      <c r="D115" s="10" t="s">
        <v>51</v>
      </c>
      <c r="E115" s="10">
        <v>20000</v>
      </c>
      <c r="F115" s="17">
        <v>60910</v>
      </c>
      <c r="G115" s="17">
        <v>60910</v>
      </c>
    </row>
    <row r="116" spans="1:8" x14ac:dyDescent="0.35">
      <c r="A116" s="19">
        <v>46104</v>
      </c>
      <c r="B116" s="10" t="s">
        <v>52</v>
      </c>
      <c r="C116" s="10" t="s">
        <v>41</v>
      </c>
      <c r="D116" s="10" t="s">
        <v>51</v>
      </c>
      <c r="E116" s="10">
        <v>70837</v>
      </c>
      <c r="F116" s="17">
        <v>85222</v>
      </c>
      <c r="G116" s="17">
        <v>85222</v>
      </c>
    </row>
    <row r="117" spans="1:8" x14ac:dyDescent="0.35">
      <c r="A117" s="19">
        <v>46111</v>
      </c>
      <c r="B117" s="10" t="s">
        <v>53</v>
      </c>
      <c r="C117" s="10" t="s">
        <v>38</v>
      </c>
      <c r="D117" s="10" t="s">
        <v>51</v>
      </c>
      <c r="E117" s="10">
        <v>52700</v>
      </c>
      <c r="F117" s="17">
        <v>85222</v>
      </c>
      <c r="G117" s="17">
        <v>85222</v>
      </c>
    </row>
    <row r="118" spans="1:8" x14ac:dyDescent="0.35">
      <c r="A118" s="19">
        <v>46112</v>
      </c>
      <c r="B118" s="10" t="s">
        <v>54</v>
      </c>
      <c r="C118" s="10" t="s">
        <v>41</v>
      </c>
      <c r="D118" s="10" t="s">
        <v>47</v>
      </c>
      <c r="E118" s="10">
        <v>44811</v>
      </c>
      <c r="F118" s="17">
        <v>65279</v>
      </c>
      <c r="G118" s="17">
        <v>65279</v>
      </c>
    </row>
    <row r="119" spans="1:8" x14ac:dyDescent="0.35">
      <c r="A119" s="19">
        <v>46113</v>
      </c>
      <c r="B119" s="10" t="s">
        <v>55</v>
      </c>
      <c r="C119" s="10" t="s">
        <v>44</v>
      </c>
      <c r="D119" s="10" t="s">
        <v>42</v>
      </c>
      <c r="E119" s="10">
        <v>50833</v>
      </c>
      <c r="F119" s="17">
        <v>48220</v>
      </c>
      <c r="G119" s="17">
        <v>48220</v>
      </c>
    </row>
    <row r="120" spans="1:8" x14ac:dyDescent="0.35">
      <c r="A120" s="19">
        <v>46114</v>
      </c>
      <c r="B120" s="10" t="s">
        <v>56</v>
      </c>
      <c r="C120" s="10" t="s">
        <v>57</v>
      </c>
      <c r="D120" s="10" t="s">
        <v>51</v>
      </c>
      <c r="E120" s="10">
        <v>20000</v>
      </c>
      <c r="F120" s="17">
        <v>77933</v>
      </c>
      <c r="G120" s="17">
        <v>77933</v>
      </c>
    </row>
    <row r="121" spans="1:8" x14ac:dyDescent="0.35">
      <c r="A121" s="19">
        <v>46115</v>
      </c>
      <c r="B121" s="10" t="s">
        <v>58</v>
      </c>
      <c r="C121" s="10" t="s">
        <v>41</v>
      </c>
      <c r="D121" s="10" t="s">
        <v>42</v>
      </c>
      <c r="E121" s="10">
        <v>76197</v>
      </c>
      <c r="F121" s="17">
        <v>81453</v>
      </c>
      <c r="G121" s="17">
        <v>81453</v>
      </c>
    </row>
    <row r="122" spans="1:8" x14ac:dyDescent="0.35">
      <c r="A122" s="19">
        <v>46116</v>
      </c>
      <c r="B122" s="10" t="s">
        <v>59</v>
      </c>
      <c r="C122" s="10" t="s">
        <v>57</v>
      </c>
      <c r="D122" s="10" t="s">
        <v>47</v>
      </c>
      <c r="E122" s="10">
        <v>79576</v>
      </c>
      <c r="F122" s="17">
        <v>81453</v>
      </c>
      <c r="G122" s="17">
        <v>81453</v>
      </c>
    </row>
    <row r="123" spans="1:8" x14ac:dyDescent="0.35">
      <c r="A123" s="19">
        <v>46117</v>
      </c>
      <c r="B123" s="10" t="s">
        <v>60</v>
      </c>
      <c r="C123" s="10" t="s">
        <v>38</v>
      </c>
      <c r="D123" s="10" t="s">
        <v>42</v>
      </c>
      <c r="E123" s="10">
        <v>67533</v>
      </c>
      <c r="F123" s="17">
        <v>60564</v>
      </c>
      <c r="G123" s="17">
        <v>60564</v>
      </c>
    </row>
    <row r="124" spans="1:8" x14ac:dyDescent="0.35">
      <c r="A124" s="19">
        <v>46118</v>
      </c>
      <c r="B124" s="10" t="s">
        <v>61</v>
      </c>
      <c r="C124" s="10" t="s">
        <v>41</v>
      </c>
      <c r="D124" s="10" t="s">
        <v>39</v>
      </c>
      <c r="E124" s="10">
        <v>92948</v>
      </c>
      <c r="F124" s="17">
        <v>80305</v>
      </c>
      <c r="G124" s="17">
        <v>80305</v>
      </c>
    </row>
    <row r="125" spans="1:8" x14ac:dyDescent="0.35">
      <c r="A125" s="19">
        <v>46119</v>
      </c>
      <c r="B125" s="10" t="s">
        <v>62</v>
      </c>
      <c r="C125" s="10" t="s">
        <v>41</v>
      </c>
      <c r="D125" s="10" t="s">
        <v>42</v>
      </c>
      <c r="E125" s="10">
        <v>47368</v>
      </c>
      <c r="F125" s="17">
        <v>80735</v>
      </c>
      <c r="G125" s="17">
        <v>80735</v>
      </c>
    </row>
    <row r="126" spans="1:8" x14ac:dyDescent="0.35">
      <c r="A126" s="19">
        <v>46120</v>
      </c>
      <c r="B126" s="10" t="s">
        <v>63</v>
      </c>
      <c r="C126" s="10" t="s">
        <v>44</v>
      </c>
      <c r="D126" s="10" t="s">
        <v>39</v>
      </c>
      <c r="E126" s="10">
        <v>78656</v>
      </c>
      <c r="F126" s="17">
        <v>57387</v>
      </c>
      <c r="G126" s="17">
        <v>57387</v>
      </c>
    </row>
    <row r="127" spans="1:8" x14ac:dyDescent="0.35">
      <c r="A127" s="19">
        <v>46121</v>
      </c>
      <c r="B127" s="10" t="s">
        <v>64</v>
      </c>
      <c r="C127" s="10" t="s">
        <v>38</v>
      </c>
      <c r="D127" s="10" t="s">
        <v>42</v>
      </c>
      <c r="E127" s="10">
        <v>20000</v>
      </c>
      <c r="F127" s="17">
        <v>57387</v>
      </c>
      <c r="G127" s="17">
        <v>57387</v>
      </c>
    </row>
    <row r="128" spans="1:8" x14ac:dyDescent="0.35">
      <c r="A128" s="19">
        <v>46122</v>
      </c>
      <c r="B128" s="10" t="s">
        <v>65</v>
      </c>
      <c r="C128" s="10" t="s">
        <v>41</v>
      </c>
      <c r="D128" s="10" t="s">
        <v>42</v>
      </c>
      <c r="E128" s="10">
        <v>92859</v>
      </c>
      <c r="F128" s="17">
        <v>58012</v>
      </c>
      <c r="G128" s="17">
        <v>58012</v>
      </c>
      <c r="H128" s="1">
        <v>0</v>
      </c>
    </row>
    <row r="129" spans="1:7" x14ac:dyDescent="0.35">
      <c r="A129" s="19">
        <v>46123</v>
      </c>
      <c r="B129" s="10" t="s">
        <v>66</v>
      </c>
      <c r="C129" s="10" t="s">
        <v>41</v>
      </c>
      <c r="D129" s="10" t="s">
        <v>47</v>
      </c>
      <c r="E129" s="10">
        <v>20000</v>
      </c>
      <c r="F129" s="17">
        <v>49635</v>
      </c>
      <c r="G129" s="17">
        <v>49635</v>
      </c>
    </row>
    <row r="130" spans="1:7" x14ac:dyDescent="0.35">
      <c r="A130" s="19">
        <v>46124</v>
      </c>
      <c r="B130" s="10" t="s">
        <v>67</v>
      </c>
      <c r="C130" s="10" t="s">
        <v>38</v>
      </c>
      <c r="D130" s="10" t="s">
        <v>42</v>
      </c>
      <c r="E130" s="10">
        <v>79973</v>
      </c>
      <c r="F130" s="17">
        <v>49645</v>
      </c>
      <c r="G130" s="17">
        <v>49645</v>
      </c>
    </row>
    <row r="131" spans="1:7" x14ac:dyDescent="0.35">
      <c r="A131" s="19">
        <v>46125</v>
      </c>
      <c r="B131" s="10" t="s">
        <v>68</v>
      </c>
      <c r="C131" s="10" t="s">
        <v>41</v>
      </c>
      <c r="D131" s="10" t="s">
        <v>39</v>
      </c>
      <c r="E131" s="10">
        <v>20000</v>
      </c>
      <c r="F131" s="17">
        <v>63883</v>
      </c>
      <c r="G131" s="17">
        <v>63883</v>
      </c>
    </row>
    <row r="132" spans="1:7" x14ac:dyDescent="0.35">
      <c r="A132" s="19">
        <v>46126</v>
      </c>
      <c r="B132" s="10" t="s">
        <v>69</v>
      </c>
      <c r="C132" s="10" t="s">
        <v>44</v>
      </c>
      <c r="D132" s="10" t="s">
        <v>51</v>
      </c>
      <c r="E132" s="10">
        <v>67572</v>
      </c>
      <c r="F132" s="17">
        <v>50542</v>
      </c>
      <c r="G132" s="17">
        <v>50542</v>
      </c>
    </row>
    <row r="133" spans="1:7" x14ac:dyDescent="0.35">
      <c r="A133" s="19">
        <v>46127</v>
      </c>
      <c r="B133" s="10" t="s">
        <v>70</v>
      </c>
      <c r="C133" s="10" t="s">
        <v>57</v>
      </c>
      <c r="D133" s="10" t="s">
        <v>42</v>
      </c>
      <c r="E133" s="10">
        <v>20000</v>
      </c>
      <c r="F133" s="17">
        <v>44554</v>
      </c>
      <c r="G133" s="17">
        <v>44554</v>
      </c>
    </row>
    <row r="134" spans="1:7" x14ac:dyDescent="0.35">
      <c r="A134" s="19">
        <v>46128</v>
      </c>
      <c r="B134" s="10" t="s">
        <v>71</v>
      </c>
      <c r="C134" s="10" t="s">
        <v>44</v>
      </c>
      <c r="D134" s="10" t="s">
        <v>51</v>
      </c>
      <c r="E134" s="10">
        <v>92817</v>
      </c>
      <c r="F134" s="17">
        <v>58496</v>
      </c>
      <c r="G134" s="17">
        <v>58496</v>
      </c>
    </row>
    <row r="135" spans="1:7" x14ac:dyDescent="0.35">
      <c r="A135" s="19">
        <v>46129</v>
      </c>
      <c r="B135" s="10" t="s">
        <v>72</v>
      </c>
      <c r="C135" s="10" t="s">
        <v>38</v>
      </c>
      <c r="D135" s="10" t="s">
        <v>51</v>
      </c>
      <c r="E135" s="10">
        <v>86076</v>
      </c>
      <c r="F135" s="17">
        <v>86334</v>
      </c>
      <c r="G135" s="17">
        <v>86334</v>
      </c>
    </row>
    <row r="136" spans="1:7" x14ac:dyDescent="0.35">
      <c r="A136" s="19">
        <v>46130</v>
      </c>
      <c r="B136" s="10" t="s">
        <v>73</v>
      </c>
      <c r="C136" s="10" t="s">
        <v>44</v>
      </c>
      <c r="D136" s="10" t="s">
        <v>39</v>
      </c>
      <c r="E136" s="10">
        <v>20000</v>
      </c>
      <c r="F136" s="17">
        <v>41281</v>
      </c>
      <c r="G136" s="17">
        <v>41281</v>
      </c>
    </row>
    <row r="137" spans="1:7" ht="15" thickBot="1" x14ac:dyDescent="0.4">
      <c r="A137" s="20">
        <v>46131</v>
      </c>
      <c r="B137" s="13" t="s">
        <v>74</v>
      </c>
      <c r="C137" s="13" t="s">
        <v>41</v>
      </c>
      <c r="D137" s="13" t="s">
        <v>39</v>
      </c>
      <c r="E137" s="13">
        <v>84534</v>
      </c>
      <c r="F137" s="18">
        <v>74049</v>
      </c>
      <c r="G137" s="18">
        <v>74049</v>
      </c>
    </row>
  </sheetData>
  <conditionalFormatting sqref="A2:A31">
    <cfRule type="timePeriod" dxfId="20" priority="32" timePeriod="nextWeek">
      <formula>AND(ROUNDDOWN(A2,0)-TODAY()&gt;(7-WEEKDAY(TODAY())),ROUNDDOWN(A2,0)-TODAY()&lt;(15-WEEKDAY(TODAY())))</formula>
    </cfRule>
    <cfRule type="timePeriod" dxfId="19" priority="33" timePeriod="last7Days">
      <formula>AND(TODAY()-FLOOR(A2,1)&lt;=6,FLOOR(A2,1)&lt;=TODAY())</formula>
    </cfRule>
    <cfRule type="timePeriod" dxfId="18" priority="34" timePeriod="today">
      <formula>FLOOR(A2,1)=TODAY()</formula>
    </cfRule>
  </conditionalFormatting>
  <conditionalFormatting sqref="A71:A100">
    <cfRule type="timePeriod" dxfId="17" priority="43" timePeriod="nextWeek">
      <formula>AND(ROUNDDOWN(A71,0)-TODAY()&gt;(7-WEEKDAY(TODAY())),ROUNDDOWN(A71,0)-TODAY()&lt;(15-WEEKDAY(TODAY())))</formula>
    </cfRule>
    <cfRule type="timePeriod" dxfId="16" priority="44" timePeriod="last7Days">
      <formula>AND(TODAY()-FLOOR(A71,1)&lt;=6,FLOOR(A71,1)&lt;=TODAY())</formula>
    </cfRule>
    <cfRule type="timePeriod" dxfId="15" priority="45" timePeriod="today">
      <formula>FLOOR(A71,1)=TODAY()</formula>
    </cfRule>
  </conditionalFormatting>
  <conditionalFormatting sqref="B2:B31">
    <cfRule type="duplicateValues" dxfId="14" priority="31"/>
    <cfRule type="containsText" dxfId="13" priority="36" operator="containsText" text="Gupta">
      <formula>NOT(ISERROR(SEARCH("Gupta",B2)))</formula>
    </cfRule>
  </conditionalFormatting>
  <conditionalFormatting sqref="B71:B100">
    <cfRule type="duplicateValues" dxfId="12" priority="42"/>
    <cfRule type="containsText" dxfId="11" priority="46" operator="containsText" text="Gupta">
      <formula>NOT(ISERROR(SEARCH("Gupta",B71)))</formula>
    </cfRule>
  </conditionalFormatting>
  <conditionalFormatting sqref="E2:E31">
    <cfRule type="cellIs" dxfId="10" priority="37" operator="equal">
      <formula>20000</formula>
    </cfRule>
    <cfRule type="cellIs" dxfId="9" priority="38" operator="between">
      <formula>50000</formula>
      <formula>80000</formula>
    </cfRule>
    <cfRule type="cellIs" dxfId="8" priority="39" operator="lessThan">
      <formula>50000</formula>
    </cfRule>
    <cfRule type="cellIs" dxfId="7" priority="40" operator="greaterThan">
      <formula>80000</formula>
    </cfRule>
  </conditionalFormatting>
  <conditionalFormatting sqref="E35:E64">
    <cfRule type="dataBar" priority="19">
      <dataBar>
        <cfvo type="min"/>
        <cfvo type="max"/>
        <color rgb="FFD6007B"/>
      </dataBar>
      <extLst>
        <ext xmlns:x14="http://schemas.microsoft.com/office/spreadsheetml/2009/9/main" uri="{B025F937-C7B1-47D3-B67F-A62EFF666E3E}">
          <x14:id>{C56082A0-176E-404F-AFC1-10D258D58AF5}</x14:id>
        </ext>
      </extLst>
    </cfRule>
  </conditionalFormatting>
  <conditionalFormatting sqref="E71:E100">
    <cfRule type="cellIs" dxfId="6" priority="47" operator="equal">
      <formula>20000</formula>
    </cfRule>
    <cfRule type="cellIs" dxfId="5" priority="48" operator="between">
      <formula>50000</formula>
      <formula>80000</formula>
    </cfRule>
    <cfRule type="cellIs" dxfId="4" priority="49" operator="lessThan">
      <formula>50000</formula>
    </cfRule>
    <cfRule type="cellIs" dxfId="3" priority="50" operator="greaterThan">
      <formula>80000</formula>
    </cfRule>
    <cfRule type="dataBar" priority="51">
      <dataBar>
        <cfvo type="min"/>
        <cfvo type="max"/>
        <color rgb="FFD6007B"/>
      </dataBar>
      <extLst>
        <ext xmlns:x14="http://schemas.microsoft.com/office/spreadsheetml/2009/9/main" uri="{B025F937-C7B1-47D3-B67F-A62EFF666E3E}">
          <x14:id>{50D264AE-BCC6-4E0E-9750-6D06BB20136B}</x14:id>
        </ext>
      </extLst>
    </cfRule>
  </conditionalFormatting>
  <conditionalFormatting sqref="F2:F31">
    <cfRule type="duplicateValues" dxfId="2" priority="30"/>
  </conditionalFormatting>
  <conditionalFormatting sqref="F35:F64">
    <cfRule type="colorScale" priority="18">
      <colorScale>
        <cfvo type="min"/>
        <cfvo type="max"/>
        <color rgb="FFFCFCFF"/>
        <color rgb="FFF8696B"/>
      </colorScale>
    </cfRule>
  </conditionalFormatting>
  <conditionalFormatting sqref="F71:F100">
    <cfRule type="duplicateValues" dxfId="1" priority="41"/>
    <cfRule type="colorScale" priority="52">
      <colorScale>
        <cfvo type="min"/>
        <cfvo type="max"/>
        <color rgb="FFFCFCFF"/>
        <color rgb="FFF8696B"/>
      </colorScale>
    </cfRule>
  </conditionalFormatting>
  <conditionalFormatting sqref="G35:G64">
    <cfRule type="iconSet" priority="17">
      <iconSet iconSet="4TrafficLights">
        <cfvo type="percent" val="0"/>
        <cfvo type="percent" val="25"/>
        <cfvo type="percent" val="50"/>
        <cfvo type="percent" val="75"/>
      </iconSet>
    </cfRule>
  </conditionalFormatting>
  <conditionalFormatting sqref="G71:G100">
    <cfRule type="iconSet" priority="53">
      <iconSet iconSet="4TrafficLights">
        <cfvo type="percent" val="0"/>
        <cfvo type="percent" val="25"/>
        <cfvo type="percent" val="50"/>
        <cfvo type="percent" val="75"/>
      </iconSet>
    </cfRule>
  </conditionalFormatting>
  <conditionalFormatting sqref="H5:H8">
    <cfRule type="containsText" dxfId="0" priority="35" operator="containsText" text="Andra Pradesh">
      <formula>NOT(ISERROR(SEARCH("Andra Pradesh",H5)))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56082A0-176E-404F-AFC1-10D258D58AF5}">
            <x14:dataBar minLength="0" maxLength="100" border="1" negativeBarBorderColorSameAsPositive="0">
              <x14:cfvo type="autoMin"/>
              <x14:cfvo type="autoMax"/>
              <x14:borderColor rgb="FFD6007B"/>
              <x14:negativeFillColor rgb="FFFF0000"/>
              <x14:negativeBorderColor rgb="FFFF0000"/>
              <x14:axisColor rgb="FF000000"/>
            </x14:dataBar>
          </x14:cfRule>
          <xm:sqref>E35:E64</xm:sqref>
        </x14:conditionalFormatting>
        <x14:conditionalFormatting xmlns:xm="http://schemas.microsoft.com/office/excel/2006/main">
          <x14:cfRule type="dataBar" id="{50D264AE-BCC6-4E0E-9750-6D06BB20136B}">
            <x14:dataBar minLength="0" maxLength="100" border="1" negativeBarColorSameAsPositive="1" axisPosition="none">
              <x14:cfvo type="autoMin"/>
              <x14:cfvo type="autoMax"/>
              <x14:borderColor rgb="FFD6007B"/>
            </x14:dataBar>
          </x14:cfRule>
          <xm:sqref>E71:E100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1C40-D1FB-46CF-A300-F7C93189CA57}">
  <dimension ref="A1:G31"/>
  <sheetViews>
    <sheetView zoomScale="160" zoomScaleNormal="160" workbookViewId="0">
      <selection activeCell="C16" sqref="A1:G31"/>
    </sheetView>
  </sheetViews>
  <sheetFormatPr defaultRowHeight="14.5" x14ac:dyDescent="0.35"/>
  <cols>
    <col min="1" max="1" width="10.08984375" bestFit="1" customWidth="1"/>
    <col min="2" max="2" width="14.36328125" bestFit="1" customWidth="1"/>
    <col min="3" max="3" width="10.81640625" bestFit="1" customWidth="1"/>
    <col min="4" max="4" width="6.54296875" bestFit="1" customWidth="1"/>
    <col min="5" max="5" width="8" bestFit="1" customWidth="1"/>
    <col min="6" max="7" width="8.54296875" bestFit="1" customWidth="1"/>
  </cols>
  <sheetData>
    <row r="1" spans="1:7" x14ac:dyDescent="0.35">
      <c r="A1" s="14" t="s">
        <v>31</v>
      </c>
      <c r="B1" s="15" t="s">
        <v>32</v>
      </c>
      <c r="C1" s="15" t="s">
        <v>33</v>
      </c>
      <c r="D1" s="15" t="s">
        <v>34</v>
      </c>
      <c r="E1" s="15" t="s">
        <v>35</v>
      </c>
      <c r="F1" s="16" t="s">
        <v>36</v>
      </c>
      <c r="G1" s="16" t="s">
        <v>36</v>
      </c>
    </row>
    <row r="2" spans="1:7" x14ac:dyDescent="0.35">
      <c r="A2" s="19">
        <v>46096</v>
      </c>
      <c r="B2" s="10" t="s">
        <v>37</v>
      </c>
      <c r="C2" s="30" t="s">
        <v>38</v>
      </c>
      <c r="D2" s="10" t="s">
        <v>39</v>
      </c>
      <c r="E2" s="10">
        <v>78805</v>
      </c>
      <c r="F2" s="17">
        <v>47568</v>
      </c>
      <c r="G2" s="17">
        <v>47568</v>
      </c>
    </row>
    <row r="3" spans="1:7" x14ac:dyDescent="0.35">
      <c r="A3" s="19">
        <v>46097</v>
      </c>
      <c r="B3" s="30" t="s">
        <v>78</v>
      </c>
      <c r="C3" s="30" t="s">
        <v>41</v>
      </c>
      <c r="D3" s="10" t="s">
        <v>42</v>
      </c>
      <c r="E3" s="10">
        <v>81218</v>
      </c>
      <c r="F3" s="17">
        <v>71354</v>
      </c>
      <c r="G3" s="17">
        <v>71354</v>
      </c>
    </row>
    <row r="4" spans="1:7" x14ac:dyDescent="0.35">
      <c r="A4" s="19">
        <v>46098</v>
      </c>
      <c r="B4" s="10" t="s">
        <v>43</v>
      </c>
      <c r="C4" s="10" t="s">
        <v>44</v>
      </c>
      <c r="D4" s="10" t="s">
        <v>42</v>
      </c>
      <c r="E4" s="10">
        <v>36687</v>
      </c>
      <c r="F4" s="17">
        <v>56505</v>
      </c>
      <c r="G4" s="17">
        <v>56505</v>
      </c>
    </row>
    <row r="5" spans="1:7" x14ac:dyDescent="0.35">
      <c r="A5" s="19">
        <v>46099</v>
      </c>
      <c r="B5" s="10" t="s">
        <v>45</v>
      </c>
      <c r="C5" s="10" t="s">
        <v>38</v>
      </c>
      <c r="D5" s="10" t="s">
        <v>42</v>
      </c>
      <c r="E5" s="10">
        <v>20000</v>
      </c>
      <c r="F5" s="17">
        <v>50614</v>
      </c>
      <c r="G5" s="17">
        <v>50614</v>
      </c>
    </row>
    <row r="6" spans="1:7" x14ac:dyDescent="0.35">
      <c r="A6" s="19">
        <v>46100</v>
      </c>
      <c r="B6" s="10" t="s">
        <v>46</v>
      </c>
      <c r="C6" s="10" t="s">
        <v>38</v>
      </c>
      <c r="D6" s="10" t="s">
        <v>47</v>
      </c>
      <c r="E6" s="10">
        <v>89634</v>
      </c>
      <c r="F6" s="17">
        <v>79176</v>
      </c>
      <c r="G6" s="17">
        <v>79176</v>
      </c>
    </row>
    <row r="7" spans="1:7" x14ac:dyDescent="0.35">
      <c r="A7" s="19">
        <v>46101</v>
      </c>
      <c r="B7" s="30" t="s">
        <v>48</v>
      </c>
      <c r="C7" s="10" t="s">
        <v>44</v>
      </c>
      <c r="D7" s="10" t="s">
        <v>42</v>
      </c>
      <c r="E7" s="10">
        <v>62015</v>
      </c>
      <c r="F7" s="17">
        <v>69434</v>
      </c>
      <c r="G7" s="17">
        <v>69434</v>
      </c>
    </row>
    <row r="8" spans="1:7" x14ac:dyDescent="0.35">
      <c r="A8" s="19">
        <v>46102</v>
      </c>
      <c r="B8" s="10" t="s">
        <v>49</v>
      </c>
      <c r="C8" s="30" t="s">
        <v>44</v>
      </c>
      <c r="D8" s="10" t="s">
        <v>39</v>
      </c>
      <c r="E8" s="10">
        <v>20000</v>
      </c>
      <c r="F8" s="17">
        <v>69434</v>
      </c>
      <c r="G8" s="17">
        <v>69434</v>
      </c>
    </row>
    <row r="9" spans="1:7" x14ac:dyDescent="0.35">
      <c r="A9" s="19">
        <v>46103</v>
      </c>
      <c r="B9" s="10" t="s">
        <v>50</v>
      </c>
      <c r="C9" s="10" t="s">
        <v>38</v>
      </c>
      <c r="D9" s="10" t="s">
        <v>51</v>
      </c>
      <c r="E9" s="10">
        <v>20000</v>
      </c>
      <c r="F9" s="17">
        <v>60910</v>
      </c>
      <c r="G9" s="17">
        <v>60910</v>
      </c>
    </row>
    <row r="10" spans="1:7" x14ac:dyDescent="0.35">
      <c r="A10" s="19">
        <v>46104</v>
      </c>
      <c r="B10" s="10" t="s">
        <v>52</v>
      </c>
      <c r="C10" s="10" t="s">
        <v>41</v>
      </c>
      <c r="D10" s="10" t="s">
        <v>51</v>
      </c>
      <c r="E10" s="10">
        <v>70837</v>
      </c>
      <c r="F10" s="17">
        <v>85222</v>
      </c>
      <c r="G10" s="17">
        <v>85222</v>
      </c>
    </row>
    <row r="11" spans="1:7" x14ac:dyDescent="0.35">
      <c r="A11" s="19">
        <v>46111</v>
      </c>
      <c r="B11" s="10" t="s">
        <v>53</v>
      </c>
      <c r="C11" s="10" t="s">
        <v>38</v>
      </c>
      <c r="D11" s="10" t="s">
        <v>51</v>
      </c>
      <c r="E11" s="10">
        <v>52700</v>
      </c>
      <c r="F11" s="17">
        <v>85222</v>
      </c>
      <c r="G11" s="17">
        <v>85222</v>
      </c>
    </row>
    <row r="12" spans="1:7" x14ac:dyDescent="0.35">
      <c r="A12" s="19">
        <v>46112</v>
      </c>
      <c r="B12" s="10" t="s">
        <v>54</v>
      </c>
      <c r="C12" s="10" t="s">
        <v>41</v>
      </c>
      <c r="D12" s="10" t="s">
        <v>47</v>
      </c>
      <c r="E12" s="10">
        <v>44811</v>
      </c>
      <c r="F12" s="17">
        <v>65279</v>
      </c>
      <c r="G12" s="17">
        <v>65279</v>
      </c>
    </row>
    <row r="13" spans="1:7" x14ac:dyDescent="0.35">
      <c r="A13" s="19">
        <v>46113</v>
      </c>
      <c r="B13" s="10" t="s">
        <v>55</v>
      </c>
      <c r="C13" s="10" t="s">
        <v>44</v>
      </c>
      <c r="D13" s="10" t="s">
        <v>42</v>
      </c>
      <c r="E13" s="10">
        <v>50833</v>
      </c>
      <c r="F13" s="17">
        <v>48220</v>
      </c>
      <c r="G13" s="17">
        <v>48220</v>
      </c>
    </row>
    <row r="14" spans="1:7" x14ac:dyDescent="0.35">
      <c r="A14" s="19">
        <v>46114</v>
      </c>
      <c r="B14" s="10" t="s">
        <v>56</v>
      </c>
      <c r="C14" s="30" t="s">
        <v>57</v>
      </c>
      <c r="D14" s="10" t="s">
        <v>51</v>
      </c>
      <c r="E14" s="10">
        <v>20000</v>
      </c>
      <c r="F14" s="17">
        <v>77933</v>
      </c>
      <c r="G14" s="17">
        <v>77933</v>
      </c>
    </row>
    <row r="15" spans="1:7" x14ac:dyDescent="0.35">
      <c r="A15" s="19">
        <v>46115</v>
      </c>
      <c r="B15" s="10" t="s">
        <v>58</v>
      </c>
      <c r="C15" s="10" t="s">
        <v>41</v>
      </c>
      <c r="D15" s="10" t="s">
        <v>42</v>
      </c>
      <c r="E15" s="10">
        <v>76197</v>
      </c>
      <c r="F15" s="17">
        <v>81453</v>
      </c>
      <c r="G15" s="17">
        <v>81453</v>
      </c>
    </row>
    <row r="16" spans="1:7" x14ac:dyDescent="0.35">
      <c r="A16" s="19">
        <v>46116</v>
      </c>
      <c r="B16" s="10" t="s">
        <v>59</v>
      </c>
      <c r="C16" s="10" t="s">
        <v>57</v>
      </c>
      <c r="D16" s="10" t="s">
        <v>47</v>
      </c>
      <c r="E16" s="10">
        <v>79576</v>
      </c>
      <c r="F16" s="17">
        <v>81453</v>
      </c>
      <c r="G16" s="17">
        <v>81453</v>
      </c>
    </row>
    <row r="17" spans="1:7" x14ac:dyDescent="0.35">
      <c r="A17" s="19">
        <v>46117</v>
      </c>
      <c r="B17" s="10" t="s">
        <v>60</v>
      </c>
      <c r="C17" s="10" t="s">
        <v>38</v>
      </c>
      <c r="D17" s="10" t="s">
        <v>42</v>
      </c>
      <c r="E17" s="10">
        <v>67533</v>
      </c>
      <c r="F17" s="17">
        <v>60564</v>
      </c>
      <c r="G17" s="17">
        <v>60564</v>
      </c>
    </row>
    <row r="18" spans="1:7" x14ac:dyDescent="0.35">
      <c r="A18" s="19">
        <v>46118</v>
      </c>
      <c r="B18" s="30" t="s">
        <v>61</v>
      </c>
      <c r="C18" s="10" t="s">
        <v>41</v>
      </c>
      <c r="D18" s="10" t="s">
        <v>39</v>
      </c>
      <c r="E18" s="10">
        <v>92948</v>
      </c>
      <c r="F18" s="17">
        <v>80305</v>
      </c>
      <c r="G18" s="17">
        <v>80305</v>
      </c>
    </row>
    <row r="19" spans="1:7" x14ac:dyDescent="0.35">
      <c r="A19" s="19">
        <v>46119</v>
      </c>
      <c r="B19" s="10" t="s">
        <v>62</v>
      </c>
      <c r="C19" s="30" t="s">
        <v>41</v>
      </c>
      <c r="D19" s="10" t="s">
        <v>42</v>
      </c>
      <c r="E19" s="10">
        <v>47368</v>
      </c>
      <c r="F19" s="17">
        <v>80735</v>
      </c>
      <c r="G19" s="17">
        <v>80735</v>
      </c>
    </row>
    <row r="20" spans="1:7" x14ac:dyDescent="0.35">
      <c r="A20" s="19">
        <v>46120</v>
      </c>
      <c r="B20" s="10" t="s">
        <v>63</v>
      </c>
      <c r="C20" s="10" t="s">
        <v>44</v>
      </c>
      <c r="D20" s="10" t="s">
        <v>39</v>
      </c>
      <c r="E20" s="10">
        <v>78656</v>
      </c>
      <c r="F20" s="17">
        <v>57387</v>
      </c>
      <c r="G20" s="17">
        <v>57387</v>
      </c>
    </row>
    <row r="21" spans="1:7" x14ac:dyDescent="0.35">
      <c r="A21" s="19">
        <v>46121</v>
      </c>
      <c r="B21" s="10" t="s">
        <v>64</v>
      </c>
      <c r="C21" s="30" t="s">
        <v>38</v>
      </c>
      <c r="D21" s="10" t="s">
        <v>42</v>
      </c>
      <c r="E21" s="10">
        <v>20000</v>
      </c>
      <c r="F21" s="17">
        <v>57387</v>
      </c>
      <c r="G21" s="17">
        <v>57387</v>
      </c>
    </row>
    <row r="22" spans="1:7" x14ac:dyDescent="0.35">
      <c r="A22" s="19">
        <v>46122</v>
      </c>
      <c r="B22" s="30" t="s">
        <v>65</v>
      </c>
      <c r="C22" s="10" t="s">
        <v>41</v>
      </c>
      <c r="D22" s="10" t="s">
        <v>42</v>
      </c>
      <c r="E22" s="10">
        <v>92859</v>
      </c>
      <c r="F22" s="17">
        <v>58012</v>
      </c>
      <c r="G22" s="17">
        <v>58012</v>
      </c>
    </row>
    <row r="23" spans="1:7" x14ac:dyDescent="0.35">
      <c r="A23" s="19">
        <v>46123</v>
      </c>
      <c r="B23" s="10" t="s">
        <v>66</v>
      </c>
      <c r="C23" s="10" t="s">
        <v>41</v>
      </c>
      <c r="D23" s="10" t="s">
        <v>47</v>
      </c>
      <c r="E23" s="10">
        <v>20000</v>
      </c>
      <c r="F23" s="17">
        <v>49635</v>
      </c>
      <c r="G23" s="17">
        <v>49635</v>
      </c>
    </row>
    <row r="24" spans="1:7" x14ac:dyDescent="0.35">
      <c r="A24" s="19">
        <v>46124</v>
      </c>
      <c r="B24" s="10" t="s">
        <v>67</v>
      </c>
      <c r="C24" s="10" t="s">
        <v>38</v>
      </c>
      <c r="D24" s="10" t="s">
        <v>42</v>
      </c>
      <c r="E24" s="10">
        <v>79973</v>
      </c>
      <c r="F24" s="17">
        <v>49645</v>
      </c>
      <c r="G24" s="17">
        <v>49645</v>
      </c>
    </row>
    <row r="25" spans="1:7" x14ac:dyDescent="0.35">
      <c r="A25" s="19">
        <v>46125</v>
      </c>
      <c r="B25" s="10" t="s">
        <v>68</v>
      </c>
      <c r="C25" s="10" t="s">
        <v>41</v>
      </c>
      <c r="D25" s="10" t="s">
        <v>39</v>
      </c>
      <c r="E25" s="10">
        <v>20000</v>
      </c>
      <c r="F25" s="17">
        <v>63883</v>
      </c>
      <c r="G25" s="17">
        <v>63883</v>
      </c>
    </row>
    <row r="26" spans="1:7" x14ac:dyDescent="0.35">
      <c r="A26" s="19">
        <v>46126</v>
      </c>
      <c r="B26" s="10" t="s">
        <v>69</v>
      </c>
      <c r="C26" s="10" t="s">
        <v>44</v>
      </c>
      <c r="D26" s="10" t="s">
        <v>51</v>
      </c>
      <c r="E26" s="10">
        <v>67572</v>
      </c>
      <c r="F26" s="17">
        <v>50542</v>
      </c>
      <c r="G26" s="17">
        <v>50542</v>
      </c>
    </row>
    <row r="27" spans="1:7" x14ac:dyDescent="0.35">
      <c r="A27" s="19">
        <v>46127</v>
      </c>
      <c r="B27" s="10" t="s">
        <v>70</v>
      </c>
      <c r="C27" s="10" t="s">
        <v>57</v>
      </c>
      <c r="D27" s="10" t="s">
        <v>42</v>
      </c>
      <c r="E27" s="10">
        <v>20000</v>
      </c>
      <c r="F27" s="17">
        <v>44554</v>
      </c>
      <c r="G27" s="17">
        <v>44554</v>
      </c>
    </row>
    <row r="28" spans="1:7" x14ac:dyDescent="0.35">
      <c r="A28" s="19">
        <v>46128</v>
      </c>
      <c r="B28" s="10" t="s">
        <v>71</v>
      </c>
      <c r="C28" s="10" t="s">
        <v>44</v>
      </c>
      <c r="D28" s="10" t="s">
        <v>51</v>
      </c>
      <c r="E28" s="10">
        <v>92817</v>
      </c>
      <c r="F28" s="17">
        <v>58496</v>
      </c>
      <c r="G28" s="17">
        <v>58496</v>
      </c>
    </row>
    <row r="29" spans="1:7" x14ac:dyDescent="0.35">
      <c r="A29" s="19">
        <v>46129</v>
      </c>
      <c r="B29" s="10" t="s">
        <v>72</v>
      </c>
      <c r="C29" s="10" t="s">
        <v>38</v>
      </c>
      <c r="D29" s="10" t="s">
        <v>51</v>
      </c>
      <c r="E29" s="10">
        <v>86076</v>
      </c>
      <c r="F29" s="17">
        <v>86334</v>
      </c>
      <c r="G29" s="17">
        <v>86334</v>
      </c>
    </row>
    <row r="30" spans="1:7" x14ac:dyDescent="0.35">
      <c r="A30" s="19">
        <v>46130</v>
      </c>
      <c r="B30" s="10" t="s">
        <v>73</v>
      </c>
      <c r="C30" s="10" t="s">
        <v>44</v>
      </c>
      <c r="D30" s="10" t="s">
        <v>39</v>
      </c>
      <c r="E30" s="10">
        <v>20000</v>
      </c>
      <c r="F30" s="17">
        <v>41281</v>
      </c>
      <c r="G30" s="17">
        <v>41281</v>
      </c>
    </row>
    <row r="31" spans="1:7" ht="15" thickBot="1" x14ac:dyDescent="0.4">
      <c r="A31" s="20">
        <v>46131</v>
      </c>
      <c r="B31" s="13" t="s">
        <v>74</v>
      </c>
      <c r="C31" s="13" t="s">
        <v>41</v>
      </c>
      <c r="D31" s="13" t="s">
        <v>39</v>
      </c>
      <c r="E31" s="13">
        <v>84534</v>
      </c>
      <c r="F31" s="18">
        <v>74049</v>
      </c>
      <c r="G31" s="18">
        <v>74049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0FBB-11BE-4DB3-9A97-B1F4AE7E6C79}">
  <dimension ref="A1:W66"/>
  <sheetViews>
    <sheetView tabSelected="1" zoomScale="145" zoomScaleNormal="145" workbookViewId="0">
      <selection activeCell="Q18" sqref="Q18:R18"/>
    </sheetView>
  </sheetViews>
  <sheetFormatPr defaultRowHeight="14.5" x14ac:dyDescent="0.35"/>
  <sheetData>
    <row r="1" spans="1:15" x14ac:dyDescent="0.35">
      <c r="A1" s="14"/>
      <c r="B1" s="15"/>
      <c r="C1" s="15"/>
      <c r="D1" s="15"/>
      <c r="E1" s="15"/>
      <c r="F1" s="16"/>
      <c r="G1" s="16"/>
      <c r="I1" t="s">
        <v>31</v>
      </c>
      <c r="J1" t="s">
        <v>32</v>
      </c>
      <c r="K1" t="s">
        <v>33</v>
      </c>
      <c r="L1" t="s">
        <v>34</v>
      </c>
      <c r="M1" t="s">
        <v>35</v>
      </c>
      <c r="N1" t="s">
        <v>36</v>
      </c>
      <c r="O1" t="s">
        <v>36</v>
      </c>
    </row>
    <row r="2" spans="1:15" x14ac:dyDescent="0.35">
      <c r="A2" s="19"/>
      <c r="B2" s="10"/>
      <c r="C2" s="30"/>
      <c r="D2" s="10"/>
      <c r="E2" s="10"/>
      <c r="F2" s="17"/>
      <c r="G2" s="17"/>
      <c r="I2">
        <v>46096</v>
      </c>
      <c r="J2" t="s">
        <v>37</v>
      </c>
      <c r="K2" t="s">
        <v>38</v>
      </c>
      <c r="L2" t="s">
        <v>39</v>
      </c>
      <c r="M2">
        <v>78805</v>
      </c>
      <c r="N2">
        <v>47568</v>
      </c>
      <c r="O2">
        <v>47568</v>
      </c>
    </row>
    <row r="3" spans="1:15" x14ac:dyDescent="0.35">
      <c r="A3" s="19"/>
      <c r="B3" s="30"/>
      <c r="C3" s="30"/>
      <c r="D3" s="10"/>
      <c r="E3" s="10"/>
      <c r="F3" s="17"/>
      <c r="G3" s="17"/>
      <c r="I3">
        <v>46097</v>
      </c>
      <c r="J3" t="s">
        <v>78</v>
      </c>
      <c r="K3" t="s">
        <v>41</v>
      </c>
      <c r="L3" t="s">
        <v>42</v>
      </c>
      <c r="M3">
        <v>81218</v>
      </c>
      <c r="N3">
        <v>71354</v>
      </c>
      <c r="O3">
        <v>71354</v>
      </c>
    </row>
    <row r="4" spans="1:15" x14ac:dyDescent="0.35">
      <c r="A4" s="19"/>
      <c r="B4" s="10"/>
      <c r="C4" s="10"/>
      <c r="D4" s="10"/>
      <c r="E4" s="10"/>
      <c r="F4" s="17"/>
      <c r="G4" s="17"/>
      <c r="I4">
        <v>46098</v>
      </c>
      <c r="J4" t="s">
        <v>43</v>
      </c>
      <c r="K4" t="s">
        <v>44</v>
      </c>
      <c r="L4" t="s">
        <v>42</v>
      </c>
      <c r="M4">
        <v>36687</v>
      </c>
      <c r="N4">
        <v>56505</v>
      </c>
      <c r="O4">
        <v>56505</v>
      </c>
    </row>
    <row r="5" spans="1:15" x14ac:dyDescent="0.35">
      <c r="A5" s="19"/>
      <c r="B5" s="10"/>
      <c r="C5" s="10"/>
      <c r="D5" s="10"/>
      <c r="E5" s="10"/>
      <c r="F5" s="17"/>
      <c r="G5" s="17"/>
      <c r="I5">
        <v>46099</v>
      </c>
      <c r="J5" t="s">
        <v>45</v>
      </c>
      <c r="K5" t="s">
        <v>38</v>
      </c>
      <c r="L5" t="s">
        <v>42</v>
      </c>
      <c r="M5">
        <v>20000</v>
      </c>
      <c r="N5">
        <v>50614</v>
      </c>
      <c r="O5">
        <v>50614</v>
      </c>
    </row>
    <row r="6" spans="1:15" x14ac:dyDescent="0.35">
      <c r="A6" s="19"/>
      <c r="B6" s="10"/>
      <c r="C6" s="10"/>
      <c r="D6" s="10"/>
      <c r="E6" s="10"/>
      <c r="F6" s="17"/>
      <c r="G6" s="17"/>
      <c r="I6">
        <v>46100</v>
      </c>
      <c r="J6" t="s">
        <v>46</v>
      </c>
      <c r="K6" t="s">
        <v>38</v>
      </c>
      <c r="L6" t="s">
        <v>47</v>
      </c>
      <c r="M6">
        <v>89634</v>
      </c>
      <c r="N6">
        <v>79176</v>
      </c>
      <c r="O6">
        <v>79176</v>
      </c>
    </row>
    <row r="7" spans="1:15" x14ac:dyDescent="0.35">
      <c r="A7" s="19"/>
      <c r="B7" s="30"/>
      <c r="C7" s="10"/>
      <c r="D7" s="10"/>
      <c r="E7" s="10"/>
      <c r="F7" s="17"/>
      <c r="G7" s="17"/>
      <c r="I7">
        <v>46101</v>
      </c>
      <c r="J7" t="s">
        <v>48</v>
      </c>
      <c r="K7" t="s">
        <v>44</v>
      </c>
      <c r="L7" t="s">
        <v>42</v>
      </c>
      <c r="M7">
        <v>62015</v>
      </c>
      <c r="N7">
        <v>69434</v>
      </c>
      <c r="O7">
        <v>69434</v>
      </c>
    </row>
    <row r="8" spans="1:15" x14ac:dyDescent="0.35">
      <c r="A8" s="19"/>
      <c r="B8" s="10"/>
      <c r="C8" s="30"/>
      <c r="D8" s="10"/>
      <c r="E8" s="10"/>
      <c r="F8" s="17"/>
      <c r="G8" s="17"/>
      <c r="I8">
        <v>46102</v>
      </c>
      <c r="J8" t="s">
        <v>49</v>
      </c>
      <c r="K8" t="s">
        <v>44</v>
      </c>
      <c r="L8" t="s">
        <v>39</v>
      </c>
      <c r="M8">
        <v>20000</v>
      </c>
      <c r="N8">
        <v>69434</v>
      </c>
      <c r="O8">
        <v>69434</v>
      </c>
    </row>
    <row r="9" spans="1:15" x14ac:dyDescent="0.35">
      <c r="A9" s="19"/>
      <c r="B9" s="10"/>
      <c r="C9" s="10"/>
      <c r="D9" s="10"/>
      <c r="E9" s="10"/>
      <c r="F9" s="17"/>
      <c r="G9" s="17"/>
      <c r="I9">
        <v>46103</v>
      </c>
      <c r="J9" t="s">
        <v>50</v>
      </c>
      <c r="K9" t="s">
        <v>38</v>
      </c>
      <c r="L9" t="s">
        <v>51</v>
      </c>
      <c r="M9">
        <v>20000</v>
      </c>
      <c r="N9">
        <v>60910</v>
      </c>
      <c r="O9">
        <v>60910</v>
      </c>
    </row>
    <row r="10" spans="1:15" x14ac:dyDescent="0.35">
      <c r="A10" s="19"/>
      <c r="B10" s="10"/>
      <c r="C10" s="10"/>
      <c r="D10" s="10"/>
      <c r="E10" s="10"/>
      <c r="F10" s="17"/>
      <c r="G10" s="17"/>
      <c r="I10">
        <v>46104</v>
      </c>
      <c r="J10" t="s">
        <v>52</v>
      </c>
      <c r="K10" t="s">
        <v>41</v>
      </c>
      <c r="L10" t="s">
        <v>51</v>
      </c>
      <c r="M10">
        <v>70837</v>
      </c>
      <c r="N10">
        <v>85222</v>
      </c>
      <c r="O10">
        <v>85222</v>
      </c>
    </row>
    <row r="11" spans="1:15" x14ac:dyDescent="0.35">
      <c r="A11" s="19"/>
      <c r="B11" s="10"/>
      <c r="C11" s="10"/>
      <c r="D11" s="10"/>
      <c r="E11" s="10"/>
      <c r="F11" s="17"/>
      <c r="G11" s="17"/>
      <c r="I11">
        <v>46111</v>
      </c>
      <c r="J11" t="s">
        <v>53</v>
      </c>
      <c r="K11" t="s">
        <v>38</v>
      </c>
      <c r="L11" t="s">
        <v>51</v>
      </c>
      <c r="M11">
        <v>52700</v>
      </c>
      <c r="N11">
        <v>85222</v>
      </c>
      <c r="O11">
        <v>85222</v>
      </c>
    </row>
    <row r="12" spans="1:15" x14ac:dyDescent="0.35">
      <c r="A12" s="19"/>
      <c r="B12" s="10"/>
      <c r="C12" s="10"/>
      <c r="D12" s="10"/>
      <c r="E12" s="10"/>
      <c r="F12" s="17"/>
      <c r="G12" s="17"/>
      <c r="I12">
        <v>46112</v>
      </c>
      <c r="J12" t="s">
        <v>54</v>
      </c>
      <c r="K12" t="s">
        <v>41</v>
      </c>
      <c r="L12" t="s">
        <v>47</v>
      </c>
      <c r="M12">
        <v>44811</v>
      </c>
      <c r="N12">
        <v>65279</v>
      </c>
      <c r="O12">
        <v>65279</v>
      </c>
    </row>
    <row r="13" spans="1:15" x14ac:dyDescent="0.35">
      <c r="A13" s="19"/>
      <c r="B13" s="10"/>
      <c r="C13" s="10"/>
      <c r="D13" s="10"/>
      <c r="E13" s="10"/>
      <c r="F13" s="17"/>
      <c r="G13" s="17"/>
      <c r="I13">
        <v>46113</v>
      </c>
      <c r="J13" t="s">
        <v>55</v>
      </c>
      <c r="K13" t="s">
        <v>44</v>
      </c>
      <c r="L13" t="s">
        <v>42</v>
      </c>
      <c r="M13">
        <v>50833</v>
      </c>
      <c r="N13">
        <v>48220</v>
      </c>
      <c r="O13">
        <v>48220</v>
      </c>
    </row>
    <row r="14" spans="1:15" x14ac:dyDescent="0.35">
      <c r="A14" s="19"/>
      <c r="B14" s="10"/>
      <c r="C14" s="30"/>
      <c r="D14" s="10"/>
      <c r="E14" s="10"/>
      <c r="F14" s="17"/>
      <c r="G14" s="17"/>
      <c r="I14">
        <v>46114</v>
      </c>
      <c r="J14" t="s">
        <v>56</v>
      </c>
      <c r="K14" t="s">
        <v>57</v>
      </c>
      <c r="L14" t="s">
        <v>51</v>
      </c>
      <c r="M14">
        <v>20000</v>
      </c>
      <c r="N14">
        <v>77933</v>
      </c>
      <c r="O14">
        <v>77933</v>
      </c>
    </row>
    <row r="15" spans="1:15" x14ac:dyDescent="0.35">
      <c r="A15" s="19"/>
      <c r="B15" s="10"/>
      <c r="C15" s="10"/>
      <c r="D15" s="10"/>
      <c r="E15" s="10"/>
      <c r="F15" s="17"/>
      <c r="G15" s="17"/>
      <c r="I15">
        <v>46115</v>
      </c>
      <c r="J15" t="s">
        <v>58</v>
      </c>
      <c r="K15" t="s">
        <v>41</v>
      </c>
      <c r="L15" t="s">
        <v>42</v>
      </c>
      <c r="M15">
        <v>76197</v>
      </c>
      <c r="N15">
        <v>81453</v>
      </c>
      <c r="O15">
        <v>81453</v>
      </c>
    </row>
    <row r="16" spans="1:15" x14ac:dyDescent="0.35">
      <c r="A16" s="19"/>
      <c r="B16" s="10"/>
      <c r="C16" s="10"/>
      <c r="D16" s="10"/>
      <c r="E16" s="10"/>
      <c r="F16" s="17"/>
      <c r="G16" s="17"/>
      <c r="I16">
        <v>46116</v>
      </c>
      <c r="J16" t="s">
        <v>59</v>
      </c>
      <c r="K16" t="s">
        <v>57</v>
      </c>
      <c r="L16" t="s">
        <v>47</v>
      </c>
      <c r="M16">
        <v>79576</v>
      </c>
      <c r="N16">
        <v>81453</v>
      </c>
      <c r="O16">
        <v>81453</v>
      </c>
    </row>
    <row r="17" spans="1:15" x14ac:dyDescent="0.35">
      <c r="A17" s="19"/>
      <c r="B17" s="10"/>
      <c r="C17" s="10"/>
      <c r="D17" s="10"/>
      <c r="E17" s="10"/>
      <c r="F17" s="17"/>
      <c r="G17" s="17"/>
      <c r="I17">
        <v>46117</v>
      </c>
      <c r="J17" t="s">
        <v>60</v>
      </c>
      <c r="K17" t="s">
        <v>38</v>
      </c>
      <c r="L17" t="s">
        <v>42</v>
      </c>
      <c r="M17">
        <v>67533</v>
      </c>
      <c r="N17">
        <v>60564</v>
      </c>
      <c r="O17">
        <v>60564</v>
      </c>
    </row>
    <row r="18" spans="1:15" x14ac:dyDescent="0.35">
      <c r="A18" s="19"/>
      <c r="B18" s="30"/>
      <c r="C18" s="10"/>
      <c r="D18" s="10"/>
      <c r="E18" s="10"/>
      <c r="F18" s="17"/>
      <c r="G18" s="17"/>
      <c r="I18">
        <v>46118</v>
      </c>
      <c r="J18" t="s">
        <v>61</v>
      </c>
      <c r="K18" t="s">
        <v>41</v>
      </c>
      <c r="L18" t="s">
        <v>39</v>
      </c>
      <c r="M18">
        <v>92948</v>
      </c>
      <c r="N18">
        <v>80305</v>
      </c>
      <c r="O18">
        <v>80305</v>
      </c>
    </row>
    <row r="19" spans="1:15" x14ac:dyDescent="0.35">
      <c r="A19" s="19"/>
      <c r="B19" s="10"/>
      <c r="C19" s="30"/>
      <c r="D19" s="10"/>
      <c r="E19" s="10"/>
      <c r="F19" s="17"/>
      <c r="G19" s="17"/>
      <c r="I19">
        <v>46119</v>
      </c>
      <c r="J19" t="s">
        <v>62</v>
      </c>
      <c r="K19" t="s">
        <v>41</v>
      </c>
      <c r="L19" t="s">
        <v>42</v>
      </c>
      <c r="M19">
        <v>47368</v>
      </c>
      <c r="N19">
        <v>80735</v>
      </c>
      <c r="O19">
        <v>80735</v>
      </c>
    </row>
    <row r="20" spans="1:15" x14ac:dyDescent="0.35">
      <c r="A20" s="19"/>
      <c r="B20" s="10"/>
      <c r="C20" s="10"/>
      <c r="D20" s="10"/>
      <c r="E20" s="10"/>
      <c r="F20" s="17"/>
      <c r="G20" s="17"/>
      <c r="I20">
        <v>46120</v>
      </c>
      <c r="J20" t="s">
        <v>63</v>
      </c>
      <c r="K20" t="s">
        <v>44</v>
      </c>
      <c r="L20" t="s">
        <v>39</v>
      </c>
      <c r="M20">
        <v>78656</v>
      </c>
      <c r="N20">
        <v>57387</v>
      </c>
      <c r="O20">
        <v>57387</v>
      </c>
    </row>
    <row r="21" spans="1:15" x14ac:dyDescent="0.35">
      <c r="A21" s="19"/>
      <c r="B21" s="10"/>
      <c r="C21" s="30"/>
      <c r="D21" s="10"/>
      <c r="E21" s="10"/>
      <c r="F21" s="17"/>
      <c r="G21" s="17"/>
      <c r="I21">
        <v>46121</v>
      </c>
      <c r="J21" t="s">
        <v>64</v>
      </c>
      <c r="K21" t="s">
        <v>38</v>
      </c>
      <c r="L21" t="s">
        <v>42</v>
      </c>
      <c r="M21">
        <v>20000</v>
      </c>
      <c r="N21">
        <v>57387</v>
      </c>
      <c r="O21">
        <v>57387</v>
      </c>
    </row>
    <row r="22" spans="1:15" x14ac:dyDescent="0.35">
      <c r="A22" s="19"/>
      <c r="B22" s="30"/>
      <c r="C22" s="10"/>
      <c r="D22" s="10"/>
      <c r="E22" s="10"/>
      <c r="F22" s="17"/>
      <c r="G22" s="17"/>
      <c r="I22">
        <v>46122</v>
      </c>
      <c r="J22" t="s">
        <v>65</v>
      </c>
      <c r="K22" t="s">
        <v>41</v>
      </c>
      <c r="L22" t="s">
        <v>42</v>
      </c>
      <c r="M22">
        <v>92859</v>
      </c>
      <c r="N22">
        <v>58012</v>
      </c>
      <c r="O22">
        <v>58012</v>
      </c>
    </row>
    <row r="23" spans="1:15" x14ac:dyDescent="0.35">
      <c r="A23" s="19"/>
      <c r="B23" s="10"/>
      <c r="C23" s="10"/>
      <c r="D23" s="10"/>
      <c r="E23" s="10"/>
      <c r="F23" s="17"/>
      <c r="G23" s="17"/>
      <c r="I23">
        <v>46123</v>
      </c>
      <c r="J23" t="s">
        <v>66</v>
      </c>
      <c r="K23" t="s">
        <v>41</v>
      </c>
      <c r="L23" t="s">
        <v>47</v>
      </c>
      <c r="M23">
        <v>20000</v>
      </c>
      <c r="N23">
        <v>49635</v>
      </c>
      <c r="O23">
        <v>49635</v>
      </c>
    </row>
    <row r="24" spans="1:15" x14ac:dyDescent="0.35">
      <c r="A24" s="19"/>
      <c r="B24" s="10"/>
      <c r="C24" s="10"/>
      <c r="D24" s="10"/>
      <c r="E24" s="10"/>
      <c r="F24" s="17"/>
      <c r="G24" s="17"/>
      <c r="I24">
        <v>46124</v>
      </c>
      <c r="J24" t="s">
        <v>67</v>
      </c>
      <c r="K24" t="s">
        <v>38</v>
      </c>
      <c r="L24" t="s">
        <v>42</v>
      </c>
      <c r="M24">
        <v>79973</v>
      </c>
      <c r="N24">
        <v>49645</v>
      </c>
      <c r="O24">
        <v>49645</v>
      </c>
    </row>
    <row r="25" spans="1:15" x14ac:dyDescent="0.35">
      <c r="A25" s="19"/>
      <c r="B25" s="10"/>
      <c r="C25" s="10"/>
      <c r="D25" s="10"/>
      <c r="E25" s="10"/>
      <c r="F25" s="17"/>
      <c r="G25" s="17"/>
      <c r="I25">
        <v>46125</v>
      </c>
      <c r="J25" t="s">
        <v>68</v>
      </c>
      <c r="K25" t="s">
        <v>41</v>
      </c>
      <c r="L25" t="s">
        <v>39</v>
      </c>
      <c r="M25">
        <v>20000</v>
      </c>
      <c r="N25">
        <v>63883</v>
      </c>
      <c r="O25">
        <v>63883</v>
      </c>
    </row>
    <row r="26" spans="1:15" x14ac:dyDescent="0.35">
      <c r="A26" s="19"/>
      <c r="B26" s="10"/>
      <c r="C26" s="10"/>
      <c r="D26" s="10"/>
      <c r="E26" s="10"/>
      <c r="F26" s="17"/>
      <c r="G26" s="17"/>
      <c r="I26">
        <v>46126</v>
      </c>
      <c r="J26" t="s">
        <v>69</v>
      </c>
      <c r="K26" t="s">
        <v>44</v>
      </c>
      <c r="L26" t="s">
        <v>51</v>
      </c>
      <c r="M26">
        <v>67572</v>
      </c>
      <c r="N26">
        <v>50542</v>
      </c>
      <c r="O26">
        <v>50542</v>
      </c>
    </row>
    <row r="27" spans="1:15" x14ac:dyDescent="0.35">
      <c r="A27" s="19"/>
      <c r="B27" s="10"/>
      <c r="C27" s="10"/>
      <c r="D27" s="10"/>
      <c r="E27" s="10"/>
      <c r="F27" s="17"/>
      <c r="G27" s="17"/>
      <c r="I27">
        <v>46127</v>
      </c>
      <c r="J27" t="s">
        <v>70</v>
      </c>
      <c r="K27" t="s">
        <v>57</v>
      </c>
      <c r="L27" t="s">
        <v>42</v>
      </c>
      <c r="M27">
        <v>20000</v>
      </c>
      <c r="N27">
        <v>44554</v>
      </c>
      <c r="O27">
        <v>44554</v>
      </c>
    </row>
    <row r="28" spans="1:15" x14ac:dyDescent="0.35">
      <c r="A28" s="19"/>
      <c r="B28" s="10"/>
      <c r="C28" s="10"/>
      <c r="D28" s="10"/>
      <c r="E28" s="10"/>
      <c r="F28" s="17"/>
      <c r="G28" s="17"/>
      <c r="I28">
        <v>46128</v>
      </c>
      <c r="J28" t="s">
        <v>71</v>
      </c>
      <c r="K28" t="s">
        <v>44</v>
      </c>
      <c r="L28" t="s">
        <v>51</v>
      </c>
      <c r="M28">
        <v>92817</v>
      </c>
      <c r="N28">
        <v>58496</v>
      </c>
      <c r="O28">
        <v>58496</v>
      </c>
    </row>
    <row r="29" spans="1:15" x14ac:dyDescent="0.35">
      <c r="A29" s="19"/>
      <c r="B29" s="10"/>
      <c r="C29" s="10"/>
      <c r="D29" s="10"/>
      <c r="E29" s="10"/>
      <c r="F29" s="17"/>
      <c r="G29" s="17"/>
      <c r="I29">
        <v>46129</v>
      </c>
      <c r="J29" t="s">
        <v>72</v>
      </c>
      <c r="K29" t="s">
        <v>38</v>
      </c>
      <c r="L29" t="s">
        <v>51</v>
      </c>
      <c r="M29">
        <v>86076</v>
      </c>
      <c r="N29">
        <v>86334</v>
      </c>
      <c r="O29">
        <v>86334</v>
      </c>
    </row>
    <row r="30" spans="1:15" x14ac:dyDescent="0.35">
      <c r="A30" s="19"/>
      <c r="B30" s="10"/>
      <c r="C30" s="10"/>
      <c r="D30" s="10"/>
      <c r="E30" s="10"/>
      <c r="F30" s="17"/>
      <c r="G30" s="17"/>
      <c r="I30">
        <v>46130</v>
      </c>
      <c r="J30" t="s">
        <v>73</v>
      </c>
      <c r="K30" t="s">
        <v>44</v>
      </c>
      <c r="L30" t="s">
        <v>39</v>
      </c>
      <c r="M30">
        <v>20000</v>
      </c>
      <c r="N30">
        <v>41281</v>
      </c>
      <c r="O30">
        <v>41281</v>
      </c>
    </row>
    <row r="31" spans="1:15" ht="15" thickBot="1" x14ac:dyDescent="0.4">
      <c r="A31" s="20"/>
      <c r="B31" s="13"/>
      <c r="C31" s="13"/>
      <c r="D31" s="13"/>
      <c r="E31" s="13"/>
      <c r="F31" s="18"/>
      <c r="G31" s="18"/>
      <c r="I31">
        <v>46131</v>
      </c>
      <c r="J31" t="s">
        <v>74</v>
      </c>
      <c r="K31" t="s">
        <v>41</v>
      </c>
      <c r="L31" t="s">
        <v>39</v>
      </c>
      <c r="M31">
        <v>84534</v>
      </c>
      <c r="N31">
        <v>74049</v>
      </c>
      <c r="O31">
        <v>74049</v>
      </c>
    </row>
    <row r="35" spans="1:23" ht="15" thickBot="1" x14ac:dyDescent="0.4"/>
    <row r="36" spans="1:23" x14ac:dyDescent="0.35">
      <c r="A36" s="14" t="s">
        <v>31</v>
      </c>
      <c r="B36" s="15" t="s">
        <v>32</v>
      </c>
      <c r="C36" s="15" t="s">
        <v>33</v>
      </c>
      <c r="D36" s="15" t="s">
        <v>34</v>
      </c>
      <c r="E36" s="15" t="s">
        <v>35</v>
      </c>
      <c r="F36" s="16" t="s">
        <v>36</v>
      </c>
      <c r="G36" s="16" t="s">
        <v>36</v>
      </c>
      <c r="I36" s="14" t="s">
        <v>31</v>
      </c>
      <c r="J36" s="15" t="s">
        <v>32</v>
      </c>
      <c r="K36" s="15" t="s">
        <v>33</v>
      </c>
      <c r="L36" s="15" t="s">
        <v>34</v>
      </c>
      <c r="M36" s="15" t="s">
        <v>35</v>
      </c>
      <c r="N36" s="16" t="s">
        <v>36</v>
      </c>
      <c r="O36" s="16" t="s">
        <v>36</v>
      </c>
      <c r="Q36" s="14" t="s">
        <v>31</v>
      </c>
      <c r="R36" s="15" t="s">
        <v>32</v>
      </c>
      <c r="S36" s="15" t="s">
        <v>33</v>
      </c>
      <c r="T36" s="15" t="s">
        <v>34</v>
      </c>
      <c r="U36" s="15" t="s">
        <v>35</v>
      </c>
      <c r="V36" s="16" t="s">
        <v>36</v>
      </c>
      <c r="W36" s="16" t="s">
        <v>36</v>
      </c>
    </row>
    <row r="37" spans="1:23" x14ac:dyDescent="0.35">
      <c r="A37" s="19">
        <v>46096</v>
      </c>
      <c r="B37" s="10" t="s">
        <v>37</v>
      </c>
      <c r="C37" s="30" t="s">
        <v>38</v>
      </c>
      <c r="D37" s="10" t="s">
        <v>39</v>
      </c>
      <c r="E37" s="10">
        <v>78805</v>
      </c>
      <c r="F37" s="17">
        <v>47568</v>
      </c>
      <c r="G37" s="17">
        <v>47568</v>
      </c>
      <c r="I37" s="19">
        <v>46096</v>
      </c>
      <c r="J37" s="10" t="s">
        <v>37</v>
      </c>
      <c r="K37" s="30" t="s">
        <v>38</v>
      </c>
      <c r="L37" s="10" t="s">
        <v>39</v>
      </c>
      <c r="M37" s="10">
        <v>78805</v>
      </c>
      <c r="N37" s="17">
        <v>47568</v>
      </c>
      <c r="O37" s="17">
        <v>47568</v>
      </c>
      <c r="Q37" s="19">
        <v>46096</v>
      </c>
      <c r="R37" s="10" t="s">
        <v>37</v>
      </c>
      <c r="S37" s="30" t="s">
        <v>38</v>
      </c>
      <c r="T37" s="10" t="s">
        <v>39</v>
      </c>
      <c r="U37" s="10">
        <v>78805</v>
      </c>
      <c r="V37" s="17">
        <v>47568</v>
      </c>
      <c r="W37" s="17">
        <v>47568</v>
      </c>
    </row>
    <row r="38" spans="1:23" x14ac:dyDescent="0.35">
      <c r="A38" s="19">
        <v>46097</v>
      </c>
      <c r="B38" s="30" t="s">
        <v>78</v>
      </c>
      <c r="C38" s="30" t="s">
        <v>41</v>
      </c>
      <c r="D38" s="10" t="s">
        <v>42</v>
      </c>
      <c r="E38" s="10">
        <v>81218</v>
      </c>
      <c r="F38" s="17">
        <v>71354</v>
      </c>
      <c r="G38" s="17">
        <v>71354</v>
      </c>
      <c r="I38" s="19">
        <v>46097</v>
      </c>
      <c r="J38" s="30" t="s">
        <v>78</v>
      </c>
      <c r="K38" s="30" t="s">
        <v>41</v>
      </c>
      <c r="L38" s="10" t="s">
        <v>42</v>
      </c>
      <c r="M38" s="10">
        <v>81218</v>
      </c>
      <c r="N38" s="17">
        <v>71354</v>
      </c>
      <c r="O38" s="17">
        <v>71354</v>
      </c>
      <c r="Q38" s="19">
        <v>46097</v>
      </c>
      <c r="R38" s="30" t="s">
        <v>78</v>
      </c>
      <c r="S38" s="30" t="s">
        <v>41</v>
      </c>
      <c r="T38" s="10" t="s">
        <v>42</v>
      </c>
      <c r="U38" s="10">
        <v>81218</v>
      </c>
      <c r="V38" s="17">
        <v>71354</v>
      </c>
      <c r="W38" s="17">
        <v>71354</v>
      </c>
    </row>
    <row r="39" spans="1:23" x14ac:dyDescent="0.35">
      <c r="A39" s="19">
        <v>46098</v>
      </c>
      <c r="B39" s="10" t="s">
        <v>43</v>
      </c>
      <c r="C39" s="10" t="s">
        <v>44</v>
      </c>
      <c r="D39" s="10" t="s">
        <v>42</v>
      </c>
      <c r="E39" s="10">
        <v>36687</v>
      </c>
      <c r="F39" s="17">
        <v>56505</v>
      </c>
      <c r="G39" s="17">
        <v>56505</v>
      </c>
      <c r="I39" s="19">
        <v>46098</v>
      </c>
      <c r="J39" s="10" t="s">
        <v>43</v>
      </c>
      <c r="K39" s="10" t="s">
        <v>44</v>
      </c>
      <c r="L39" s="10" t="s">
        <v>42</v>
      </c>
      <c r="M39" s="10">
        <v>36687</v>
      </c>
      <c r="N39" s="17">
        <v>56505</v>
      </c>
      <c r="O39" s="17">
        <v>56505</v>
      </c>
      <c r="Q39" s="19">
        <v>46098</v>
      </c>
      <c r="R39" s="10" t="s">
        <v>43</v>
      </c>
      <c r="S39" s="10" t="s">
        <v>44</v>
      </c>
      <c r="T39" s="10" t="s">
        <v>42</v>
      </c>
      <c r="U39" s="10">
        <v>36687</v>
      </c>
      <c r="V39" s="17">
        <v>56505</v>
      </c>
      <c r="W39" s="17">
        <v>56505</v>
      </c>
    </row>
    <row r="40" spans="1:23" x14ac:dyDescent="0.35">
      <c r="A40" s="19">
        <v>46099</v>
      </c>
      <c r="B40" s="10" t="s">
        <v>45</v>
      </c>
      <c r="C40" s="10" t="s">
        <v>38</v>
      </c>
      <c r="D40" s="10" t="s">
        <v>42</v>
      </c>
      <c r="E40" s="10">
        <v>20000</v>
      </c>
      <c r="F40" s="17">
        <v>50614</v>
      </c>
      <c r="G40" s="17">
        <v>50614</v>
      </c>
      <c r="I40" s="19">
        <v>46099</v>
      </c>
      <c r="J40" s="10" t="s">
        <v>45</v>
      </c>
      <c r="K40" s="10" t="s">
        <v>38</v>
      </c>
      <c r="L40" s="10" t="s">
        <v>42</v>
      </c>
      <c r="M40" s="10">
        <v>20000</v>
      </c>
      <c r="N40" s="17">
        <v>50614</v>
      </c>
      <c r="O40" s="17">
        <v>50614</v>
      </c>
      <c r="Q40" s="19">
        <v>46099</v>
      </c>
      <c r="R40" s="10" t="s">
        <v>45</v>
      </c>
      <c r="S40" s="10" t="s">
        <v>38</v>
      </c>
      <c r="T40" s="10" t="s">
        <v>42</v>
      </c>
      <c r="U40" s="10">
        <v>20000</v>
      </c>
      <c r="V40" s="17">
        <v>50614</v>
      </c>
      <c r="W40" s="17">
        <v>50614</v>
      </c>
    </row>
    <row r="41" spans="1:23" x14ac:dyDescent="0.35">
      <c r="A41" s="19">
        <v>46100</v>
      </c>
      <c r="B41" s="10" t="s">
        <v>46</v>
      </c>
      <c r="C41" s="10" t="s">
        <v>38</v>
      </c>
      <c r="D41" s="10" t="s">
        <v>47</v>
      </c>
      <c r="E41" s="10">
        <v>89634</v>
      </c>
      <c r="F41" s="17">
        <v>79176</v>
      </c>
      <c r="G41" s="17">
        <v>79176</v>
      </c>
      <c r="I41" s="19">
        <v>46100</v>
      </c>
      <c r="J41" s="10" t="s">
        <v>46</v>
      </c>
      <c r="K41" s="10" t="s">
        <v>38</v>
      </c>
      <c r="L41" s="10" t="s">
        <v>47</v>
      </c>
      <c r="M41" s="10">
        <v>89634</v>
      </c>
      <c r="N41" s="17">
        <v>79176</v>
      </c>
      <c r="O41" s="17">
        <v>79176</v>
      </c>
      <c r="Q41" s="19">
        <v>46100</v>
      </c>
      <c r="R41" s="10" t="s">
        <v>46</v>
      </c>
      <c r="S41" s="10" t="s">
        <v>38</v>
      </c>
      <c r="T41" s="10" t="s">
        <v>47</v>
      </c>
      <c r="U41" s="10">
        <v>89634</v>
      </c>
      <c r="V41" s="17">
        <v>79176</v>
      </c>
      <c r="W41" s="17">
        <v>79176</v>
      </c>
    </row>
    <row r="42" spans="1:23" x14ac:dyDescent="0.35">
      <c r="A42" s="19">
        <v>46101</v>
      </c>
      <c r="B42" s="30" t="s">
        <v>48</v>
      </c>
      <c r="C42" s="10" t="s">
        <v>44</v>
      </c>
      <c r="D42" s="10" t="s">
        <v>42</v>
      </c>
      <c r="E42" s="10">
        <v>62015</v>
      </c>
      <c r="F42" s="17">
        <v>69434</v>
      </c>
      <c r="G42" s="17">
        <v>69434</v>
      </c>
      <c r="I42" s="19">
        <v>46101</v>
      </c>
      <c r="J42" s="30" t="s">
        <v>48</v>
      </c>
      <c r="K42" s="10" t="s">
        <v>44</v>
      </c>
      <c r="L42" s="10" t="s">
        <v>42</v>
      </c>
      <c r="M42" s="10">
        <v>62015</v>
      </c>
      <c r="N42" s="17">
        <v>69434</v>
      </c>
      <c r="O42" s="17">
        <v>69434</v>
      </c>
      <c r="Q42" s="19">
        <v>46101</v>
      </c>
      <c r="R42" s="30" t="s">
        <v>48</v>
      </c>
      <c r="S42" s="10" t="s">
        <v>44</v>
      </c>
      <c r="T42" s="10" t="s">
        <v>42</v>
      </c>
      <c r="U42" s="10">
        <v>62015</v>
      </c>
      <c r="V42" s="17">
        <v>69434</v>
      </c>
      <c r="W42" s="17">
        <v>69434</v>
      </c>
    </row>
    <row r="43" spans="1:23" x14ac:dyDescent="0.35">
      <c r="A43" s="19">
        <v>46102</v>
      </c>
      <c r="B43" s="10" t="s">
        <v>49</v>
      </c>
      <c r="C43" s="30" t="s">
        <v>44</v>
      </c>
      <c r="D43" s="10" t="s">
        <v>39</v>
      </c>
      <c r="E43" s="10">
        <v>20000</v>
      </c>
      <c r="F43" s="17">
        <v>69434</v>
      </c>
      <c r="G43" s="17">
        <v>69434</v>
      </c>
      <c r="I43" s="19">
        <v>46102</v>
      </c>
      <c r="J43" s="10" t="s">
        <v>49</v>
      </c>
      <c r="K43" s="30" t="s">
        <v>44</v>
      </c>
      <c r="L43" s="10" t="s">
        <v>39</v>
      </c>
      <c r="M43" s="10">
        <v>20000</v>
      </c>
      <c r="N43" s="17">
        <v>69434</v>
      </c>
      <c r="O43" s="17">
        <v>69434</v>
      </c>
      <c r="Q43" s="19">
        <v>46102</v>
      </c>
      <c r="R43" s="10" t="s">
        <v>49</v>
      </c>
      <c r="S43" s="30" t="s">
        <v>44</v>
      </c>
      <c r="T43" s="10" t="s">
        <v>39</v>
      </c>
      <c r="U43" s="10">
        <v>20000</v>
      </c>
      <c r="V43" s="17">
        <v>69434</v>
      </c>
      <c r="W43" s="17">
        <v>69434</v>
      </c>
    </row>
    <row r="44" spans="1:23" x14ac:dyDescent="0.35">
      <c r="A44" s="19">
        <v>46103</v>
      </c>
      <c r="B44" s="10" t="s">
        <v>50</v>
      </c>
      <c r="C44" s="10" t="s">
        <v>38</v>
      </c>
      <c r="D44" s="10" t="s">
        <v>51</v>
      </c>
      <c r="E44" s="10">
        <v>20000</v>
      </c>
      <c r="F44" s="17">
        <v>60910</v>
      </c>
      <c r="G44" s="17">
        <v>60910</v>
      </c>
      <c r="I44" s="19">
        <v>46103</v>
      </c>
      <c r="J44" s="10" t="s">
        <v>50</v>
      </c>
      <c r="K44" s="10" t="s">
        <v>38</v>
      </c>
      <c r="L44" s="10" t="s">
        <v>51</v>
      </c>
      <c r="M44" s="10">
        <v>20000</v>
      </c>
      <c r="N44" s="17">
        <v>60910</v>
      </c>
      <c r="O44" s="17">
        <v>60910</v>
      </c>
      <c r="Q44" s="19">
        <v>46103</v>
      </c>
      <c r="R44" s="10" t="s">
        <v>50</v>
      </c>
      <c r="S44" s="10" t="s">
        <v>38</v>
      </c>
      <c r="T44" s="10" t="s">
        <v>51</v>
      </c>
      <c r="U44" s="10">
        <v>20000</v>
      </c>
      <c r="V44" s="17">
        <v>60910</v>
      </c>
      <c r="W44" s="17">
        <v>60910</v>
      </c>
    </row>
    <row r="45" spans="1:23" x14ac:dyDescent="0.35">
      <c r="A45" s="19">
        <v>46104</v>
      </c>
      <c r="B45" s="10" t="s">
        <v>52</v>
      </c>
      <c r="C45" s="10" t="s">
        <v>41</v>
      </c>
      <c r="D45" s="10" t="s">
        <v>51</v>
      </c>
      <c r="E45" s="10">
        <v>70837</v>
      </c>
      <c r="F45" s="17">
        <v>85222</v>
      </c>
      <c r="G45" s="17">
        <v>85222</v>
      </c>
      <c r="I45" s="19">
        <v>46104</v>
      </c>
      <c r="J45" s="10" t="s">
        <v>52</v>
      </c>
      <c r="K45" s="10" t="s">
        <v>41</v>
      </c>
      <c r="L45" s="10" t="s">
        <v>51</v>
      </c>
      <c r="M45" s="10">
        <v>70837</v>
      </c>
      <c r="N45" s="17">
        <v>85222</v>
      </c>
      <c r="O45" s="17">
        <v>85222</v>
      </c>
      <c r="Q45" s="19">
        <v>46104</v>
      </c>
      <c r="R45" s="10" t="s">
        <v>52</v>
      </c>
      <c r="S45" s="10" t="s">
        <v>41</v>
      </c>
      <c r="T45" s="10" t="s">
        <v>51</v>
      </c>
      <c r="U45" s="10">
        <v>70837</v>
      </c>
      <c r="V45" s="17">
        <v>85222</v>
      </c>
      <c r="W45" s="17">
        <v>85222</v>
      </c>
    </row>
    <row r="46" spans="1:23" x14ac:dyDescent="0.35">
      <c r="A46" s="19">
        <v>46111</v>
      </c>
      <c r="B46" s="10" t="s">
        <v>53</v>
      </c>
      <c r="C46" s="10" t="s">
        <v>38</v>
      </c>
      <c r="D46" s="10" t="s">
        <v>51</v>
      </c>
      <c r="E46" s="10">
        <v>52700</v>
      </c>
      <c r="F46" s="17">
        <v>85222</v>
      </c>
      <c r="G46" s="17">
        <v>85222</v>
      </c>
      <c r="I46" s="19">
        <v>46111</v>
      </c>
      <c r="J46" s="10" t="s">
        <v>53</v>
      </c>
      <c r="K46" s="10" t="s">
        <v>38</v>
      </c>
      <c r="L46" s="10" t="s">
        <v>51</v>
      </c>
      <c r="M46" s="10">
        <v>52700</v>
      </c>
      <c r="N46" s="17">
        <v>85222</v>
      </c>
      <c r="O46" s="17">
        <v>85222</v>
      </c>
      <c r="Q46" s="19">
        <v>46111</v>
      </c>
      <c r="R46" s="10" t="s">
        <v>53</v>
      </c>
      <c r="S46" s="10" t="s">
        <v>38</v>
      </c>
      <c r="T46" s="10" t="s">
        <v>51</v>
      </c>
      <c r="U46" s="10">
        <v>52700</v>
      </c>
      <c r="V46" s="17">
        <v>85222</v>
      </c>
      <c r="W46" s="17">
        <v>85222</v>
      </c>
    </row>
    <row r="47" spans="1:23" x14ac:dyDescent="0.35">
      <c r="A47" s="19">
        <v>46112</v>
      </c>
      <c r="B47" s="10" t="s">
        <v>54</v>
      </c>
      <c r="C47" s="10" t="s">
        <v>41</v>
      </c>
      <c r="D47" s="10" t="s">
        <v>47</v>
      </c>
      <c r="E47" s="10">
        <v>44811</v>
      </c>
      <c r="F47" s="17">
        <v>65279</v>
      </c>
      <c r="G47" s="17">
        <v>65279</v>
      </c>
      <c r="I47" s="19">
        <v>46112</v>
      </c>
      <c r="J47" s="10" t="s">
        <v>54</v>
      </c>
      <c r="K47" s="10" t="s">
        <v>41</v>
      </c>
      <c r="L47" s="10" t="s">
        <v>47</v>
      </c>
      <c r="M47" s="10">
        <v>44811</v>
      </c>
      <c r="N47" s="17">
        <v>65279</v>
      </c>
      <c r="O47" s="17">
        <v>65279</v>
      </c>
      <c r="Q47" s="19">
        <v>46112</v>
      </c>
      <c r="R47" s="10" t="s">
        <v>54</v>
      </c>
      <c r="S47" s="10" t="s">
        <v>41</v>
      </c>
      <c r="T47" s="10" t="s">
        <v>47</v>
      </c>
      <c r="U47" s="10">
        <v>44811</v>
      </c>
      <c r="V47" s="17">
        <v>65279</v>
      </c>
      <c r="W47" s="17">
        <v>65279</v>
      </c>
    </row>
    <row r="48" spans="1:23" x14ac:dyDescent="0.35">
      <c r="A48" s="19">
        <v>46113</v>
      </c>
      <c r="B48" s="10" t="s">
        <v>55</v>
      </c>
      <c r="C48" s="10" t="s">
        <v>44</v>
      </c>
      <c r="D48" s="10" t="s">
        <v>42</v>
      </c>
      <c r="E48" s="10">
        <v>50833</v>
      </c>
      <c r="F48" s="17">
        <v>48220</v>
      </c>
      <c r="G48" s="17">
        <v>48220</v>
      </c>
      <c r="I48" s="19">
        <v>46113</v>
      </c>
      <c r="J48" s="10" t="s">
        <v>55</v>
      </c>
      <c r="K48" s="10" t="s">
        <v>44</v>
      </c>
      <c r="L48" s="10" t="s">
        <v>42</v>
      </c>
      <c r="M48" s="10">
        <v>50833</v>
      </c>
      <c r="N48" s="17">
        <v>48220</v>
      </c>
      <c r="O48" s="17">
        <v>48220</v>
      </c>
      <c r="Q48" s="19">
        <v>46113</v>
      </c>
      <c r="R48" s="10" t="s">
        <v>55</v>
      </c>
      <c r="S48" s="10" t="s">
        <v>44</v>
      </c>
      <c r="T48" s="10" t="s">
        <v>42</v>
      </c>
      <c r="U48" s="10">
        <v>50833</v>
      </c>
      <c r="V48" s="17">
        <v>48220</v>
      </c>
      <c r="W48" s="17">
        <v>48220</v>
      </c>
    </row>
    <row r="49" spans="1:23" x14ac:dyDescent="0.35">
      <c r="A49" s="19">
        <v>46114</v>
      </c>
      <c r="B49" s="10" t="s">
        <v>56</v>
      </c>
      <c r="C49" s="30" t="s">
        <v>57</v>
      </c>
      <c r="D49" s="10" t="s">
        <v>51</v>
      </c>
      <c r="E49" s="10">
        <v>20000</v>
      </c>
      <c r="F49" s="17">
        <v>77933</v>
      </c>
      <c r="G49" s="17">
        <v>77933</v>
      </c>
      <c r="I49" s="19">
        <v>46114</v>
      </c>
      <c r="J49" s="10" t="s">
        <v>56</v>
      </c>
      <c r="K49" s="30" t="s">
        <v>57</v>
      </c>
      <c r="L49" s="10" t="s">
        <v>51</v>
      </c>
      <c r="M49" s="10">
        <v>20000</v>
      </c>
      <c r="N49" s="17">
        <v>77933</v>
      </c>
      <c r="O49" s="17">
        <v>77933</v>
      </c>
      <c r="Q49" s="19">
        <v>46114</v>
      </c>
      <c r="R49" s="10" t="s">
        <v>56</v>
      </c>
      <c r="S49" s="30" t="s">
        <v>57</v>
      </c>
      <c r="T49" s="10" t="s">
        <v>51</v>
      </c>
      <c r="U49" s="10">
        <v>20000</v>
      </c>
      <c r="V49" s="17">
        <v>77933</v>
      </c>
      <c r="W49" s="17">
        <v>77933</v>
      </c>
    </row>
    <row r="50" spans="1:23" x14ac:dyDescent="0.35">
      <c r="A50" s="19">
        <v>46115</v>
      </c>
      <c r="B50" s="10" t="s">
        <v>58</v>
      </c>
      <c r="C50" s="10" t="s">
        <v>41</v>
      </c>
      <c r="D50" s="10" t="s">
        <v>42</v>
      </c>
      <c r="E50" s="10">
        <v>76197</v>
      </c>
      <c r="F50" s="17">
        <v>81453</v>
      </c>
      <c r="G50" s="17">
        <v>81453</v>
      </c>
      <c r="I50" s="19">
        <v>46115</v>
      </c>
      <c r="J50" s="10" t="s">
        <v>58</v>
      </c>
      <c r="K50" s="10" t="s">
        <v>41</v>
      </c>
      <c r="L50" s="10" t="s">
        <v>42</v>
      </c>
      <c r="M50" s="10">
        <v>76197</v>
      </c>
      <c r="N50" s="17">
        <v>81453</v>
      </c>
      <c r="O50" s="17">
        <v>81453</v>
      </c>
      <c r="Q50" s="19">
        <v>46115</v>
      </c>
      <c r="R50" s="10" t="s">
        <v>58</v>
      </c>
      <c r="S50" s="10" t="s">
        <v>41</v>
      </c>
      <c r="T50" s="10" t="s">
        <v>42</v>
      </c>
      <c r="U50" s="10">
        <v>76197</v>
      </c>
      <c r="V50" s="17">
        <v>81453</v>
      </c>
      <c r="W50" s="17">
        <v>81453</v>
      </c>
    </row>
    <row r="51" spans="1:23" x14ac:dyDescent="0.35">
      <c r="A51" s="19">
        <v>46116</v>
      </c>
      <c r="B51" s="10" t="s">
        <v>59</v>
      </c>
      <c r="C51" s="10" t="s">
        <v>57</v>
      </c>
      <c r="D51" s="10" t="s">
        <v>47</v>
      </c>
      <c r="E51" s="10">
        <v>79576</v>
      </c>
      <c r="F51" s="17">
        <v>81453</v>
      </c>
      <c r="G51" s="17">
        <v>81453</v>
      </c>
      <c r="I51" s="19">
        <v>46116</v>
      </c>
      <c r="J51" s="10" t="s">
        <v>59</v>
      </c>
      <c r="K51" s="10" t="s">
        <v>57</v>
      </c>
      <c r="L51" s="10" t="s">
        <v>47</v>
      </c>
      <c r="M51" s="10">
        <v>79576</v>
      </c>
      <c r="N51" s="17">
        <v>81453</v>
      </c>
      <c r="O51" s="17">
        <v>81453</v>
      </c>
      <c r="Q51" s="19">
        <v>46116</v>
      </c>
      <c r="R51" s="10" t="s">
        <v>59</v>
      </c>
      <c r="S51" s="10" t="s">
        <v>57</v>
      </c>
      <c r="T51" s="10" t="s">
        <v>47</v>
      </c>
      <c r="U51" s="10">
        <v>79576</v>
      </c>
      <c r="V51" s="17">
        <v>81453</v>
      </c>
      <c r="W51" s="17">
        <v>81453</v>
      </c>
    </row>
    <row r="52" spans="1:23" x14ac:dyDescent="0.35">
      <c r="A52" s="19">
        <v>46117</v>
      </c>
      <c r="B52" s="10" t="s">
        <v>60</v>
      </c>
      <c r="C52" s="10" t="s">
        <v>38</v>
      </c>
      <c r="D52" s="10" t="s">
        <v>42</v>
      </c>
      <c r="E52" s="10">
        <v>67533</v>
      </c>
      <c r="F52" s="17">
        <v>60564</v>
      </c>
      <c r="G52" s="17">
        <v>60564</v>
      </c>
      <c r="I52" s="19">
        <v>46117</v>
      </c>
      <c r="J52" s="10" t="s">
        <v>60</v>
      </c>
      <c r="K52" s="10" t="s">
        <v>38</v>
      </c>
      <c r="L52" s="10" t="s">
        <v>42</v>
      </c>
      <c r="M52" s="10">
        <v>67533</v>
      </c>
      <c r="N52" s="17">
        <v>60564</v>
      </c>
      <c r="O52" s="17">
        <v>60564</v>
      </c>
      <c r="Q52" s="19">
        <v>46117</v>
      </c>
      <c r="R52" s="10" t="s">
        <v>60</v>
      </c>
      <c r="S52" s="10" t="s">
        <v>38</v>
      </c>
      <c r="T52" s="10" t="s">
        <v>42</v>
      </c>
      <c r="U52" s="10">
        <v>67533</v>
      </c>
      <c r="V52" s="17">
        <v>60564</v>
      </c>
      <c r="W52" s="17">
        <v>60564</v>
      </c>
    </row>
    <row r="53" spans="1:23" x14ac:dyDescent="0.35">
      <c r="A53" s="19">
        <v>46118</v>
      </c>
      <c r="B53" s="30" t="s">
        <v>61</v>
      </c>
      <c r="C53" s="10" t="s">
        <v>41</v>
      </c>
      <c r="D53" s="10" t="s">
        <v>39</v>
      </c>
      <c r="E53" s="10">
        <v>92948</v>
      </c>
      <c r="F53" s="17">
        <v>80305</v>
      </c>
      <c r="G53" s="17">
        <v>80305</v>
      </c>
      <c r="I53" s="19">
        <v>46118</v>
      </c>
      <c r="J53" s="30" t="s">
        <v>61</v>
      </c>
      <c r="K53" s="10" t="s">
        <v>41</v>
      </c>
      <c r="L53" s="10" t="s">
        <v>39</v>
      </c>
      <c r="M53" s="10">
        <v>92948</v>
      </c>
      <c r="N53" s="17">
        <v>80305</v>
      </c>
      <c r="O53" s="17">
        <v>80305</v>
      </c>
      <c r="Q53" s="19">
        <v>46118</v>
      </c>
      <c r="R53" s="30" t="s">
        <v>61</v>
      </c>
      <c r="S53" s="10" t="s">
        <v>41</v>
      </c>
      <c r="T53" s="10" t="s">
        <v>39</v>
      </c>
      <c r="U53" s="10">
        <v>92948</v>
      </c>
      <c r="V53" s="17">
        <v>80305</v>
      </c>
      <c r="W53" s="17">
        <v>80305</v>
      </c>
    </row>
    <row r="54" spans="1:23" x14ac:dyDescent="0.35">
      <c r="A54" s="19">
        <v>46119</v>
      </c>
      <c r="B54" s="10" t="s">
        <v>62</v>
      </c>
      <c r="C54" s="30" t="s">
        <v>41</v>
      </c>
      <c r="D54" s="10" t="s">
        <v>42</v>
      </c>
      <c r="E54" s="10">
        <v>47368</v>
      </c>
      <c r="F54" s="17">
        <v>80735</v>
      </c>
      <c r="G54" s="17">
        <v>80735</v>
      </c>
      <c r="I54" s="19">
        <v>46119</v>
      </c>
      <c r="J54" s="10" t="s">
        <v>62</v>
      </c>
      <c r="K54" s="30" t="s">
        <v>41</v>
      </c>
      <c r="L54" s="10" t="s">
        <v>42</v>
      </c>
      <c r="M54" s="10">
        <v>47368</v>
      </c>
      <c r="N54" s="17">
        <v>80735</v>
      </c>
      <c r="O54" s="17">
        <v>80735</v>
      </c>
      <c r="Q54" s="19">
        <v>46119</v>
      </c>
      <c r="R54" s="10" t="s">
        <v>62</v>
      </c>
      <c r="S54" s="30" t="s">
        <v>41</v>
      </c>
      <c r="T54" s="10" t="s">
        <v>42</v>
      </c>
      <c r="U54" s="10">
        <v>47368</v>
      </c>
      <c r="V54" s="17">
        <v>80735</v>
      </c>
      <c r="W54" s="17">
        <v>80735</v>
      </c>
    </row>
    <row r="55" spans="1:23" x14ac:dyDescent="0.35">
      <c r="A55" s="19">
        <v>46120</v>
      </c>
      <c r="B55" s="10" t="s">
        <v>63</v>
      </c>
      <c r="C55" s="10" t="s">
        <v>44</v>
      </c>
      <c r="D55" s="10" t="s">
        <v>39</v>
      </c>
      <c r="E55" s="10">
        <v>78656</v>
      </c>
      <c r="F55" s="17">
        <v>57387</v>
      </c>
      <c r="G55" s="17">
        <v>57387</v>
      </c>
      <c r="I55" s="19">
        <v>46120</v>
      </c>
      <c r="J55" s="10" t="s">
        <v>63</v>
      </c>
      <c r="K55" s="10" t="s">
        <v>44</v>
      </c>
      <c r="L55" s="10" t="s">
        <v>39</v>
      </c>
      <c r="M55" s="10">
        <v>78656</v>
      </c>
      <c r="N55" s="17">
        <v>57387</v>
      </c>
      <c r="O55" s="17">
        <v>57387</v>
      </c>
      <c r="Q55" s="19">
        <v>46120</v>
      </c>
      <c r="R55" s="10" t="s">
        <v>63</v>
      </c>
      <c r="S55" s="10" t="s">
        <v>44</v>
      </c>
      <c r="T55" s="10" t="s">
        <v>39</v>
      </c>
      <c r="U55" s="10">
        <v>78656</v>
      </c>
      <c r="V55" s="17">
        <v>57387</v>
      </c>
      <c r="W55" s="17">
        <v>57387</v>
      </c>
    </row>
    <row r="56" spans="1:23" x14ac:dyDescent="0.35">
      <c r="A56" s="19">
        <v>46121</v>
      </c>
      <c r="B56" s="10" t="s">
        <v>64</v>
      </c>
      <c r="C56" s="30" t="s">
        <v>38</v>
      </c>
      <c r="D56" s="10" t="s">
        <v>42</v>
      </c>
      <c r="E56" s="10">
        <v>20000</v>
      </c>
      <c r="F56" s="17">
        <v>57387</v>
      </c>
      <c r="G56" s="17">
        <v>57387</v>
      </c>
      <c r="I56" s="19">
        <v>46121</v>
      </c>
      <c r="J56" s="10" t="s">
        <v>64</v>
      </c>
      <c r="K56" s="30" t="s">
        <v>38</v>
      </c>
      <c r="L56" s="10" t="s">
        <v>42</v>
      </c>
      <c r="M56" s="10">
        <v>20000</v>
      </c>
      <c r="N56" s="17">
        <v>57387</v>
      </c>
      <c r="O56" s="17">
        <v>57387</v>
      </c>
      <c r="Q56" s="19">
        <v>46121</v>
      </c>
      <c r="R56" s="10" t="s">
        <v>64</v>
      </c>
      <c r="S56" s="30" t="s">
        <v>38</v>
      </c>
      <c r="T56" s="10" t="s">
        <v>42</v>
      </c>
      <c r="U56" s="10">
        <v>20000</v>
      </c>
      <c r="V56" s="17">
        <v>57387</v>
      </c>
      <c r="W56" s="17">
        <v>57387</v>
      </c>
    </row>
    <row r="57" spans="1:23" x14ac:dyDescent="0.35">
      <c r="A57" s="19">
        <v>46122</v>
      </c>
      <c r="B57" s="30" t="s">
        <v>65</v>
      </c>
      <c r="C57" s="10" t="s">
        <v>41</v>
      </c>
      <c r="D57" s="10" t="s">
        <v>42</v>
      </c>
      <c r="E57" s="10">
        <v>92859</v>
      </c>
      <c r="F57" s="17">
        <v>58012</v>
      </c>
      <c r="G57" s="17">
        <v>58012</v>
      </c>
      <c r="I57" s="19">
        <v>46122</v>
      </c>
      <c r="J57" s="30" t="s">
        <v>65</v>
      </c>
      <c r="K57" s="10" t="s">
        <v>41</v>
      </c>
      <c r="L57" s="10" t="s">
        <v>42</v>
      </c>
      <c r="M57" s="10">
        <v>92859</v>
      </c>
      <c r="N57" s="17">
        <v>58012</v>
      </c>
      <c r="O57" s="17">
        <v>58012</v>
      </c>
      <c r="Q57" s="19">
        <v>46122</v>
      </c>
      <c r="R57" s="30" t="s">
        <v>65</v>
      </c>
      <c r="S57" s="10" t="s">
        <v>41</v>
      </c>
      <c r="T57" s="10" t="s">
        <v>42</v>
      </c>
      <c r="U57" s="10">
        <v>92859</v>
      </c>
      <c r="V57" s="17">
        <v>58012</v>
      </c>
      <c r="W57" s="17">
        <v>58012</v>
      </c>
    </row>
    <row r="58" spans="1:23" x14ac:dyDescent="0.35">
      <c r="A58" s="19">
        <v>46123</v>
      </c>
      <c r="B58" s="10" t="s">
        <v>66</v>
      </c>
      <c r="C58" s="10" t="s">
        <v>41</v>
      </c>
      <c r="D58" s="10" t="s">
        <v>47</v>
      </c>
      <c r="E58" s="10">
        <v>20000</v>
      </c>
      <c r="F58" s="17">
        <v>49635</v>
      </c>
      <c r="G58" s="17">
        <v>49635</v>
      </c>
      <c r="I58" s="19">
        <v>46123</v>
      </c>
      <c r="J58" s="10" t="s">
        <v>66</v>
      </c>
      <c r="K58" s="10" t="s">
        <v>41</v>
      </c>
      <c r="L58" s="10" t="s">
        <v>47</v>
      </c>
      <c r="M58" s="10">
        <v>20000</v>
      </c>
      <c r="N58" s="17">
        <v>49635</v>
      </c>
      <c r="O58" s="17">
        <v>49635</v>
      </c>
      <c r="Q58" s="19">
        <v>46123</v>
      </c>
      <c r="R58" s="10" t="s">
        <v>66</v>
      </c>
      <c r="S58" s="10" t="s">
        <v>41</v>
      </c>
      <c r="T58" s="10" t="s">
        <v>47</v>
      </c>
      <c r="U58" s="10">
        <v>20000</v>
      </c>
      <c r="V58" s="17">
        <v>49635</v>
      </c>
      <c r="W58" s="17">
        <v>49635</v>
      </c>
    </row>
    <row r="59" spans="1:23" x14ac:dyDescent="0.35">
      <c r="A59" s="19">
        <v>46124</v>
      </c>
      <c r="B59" s="10" t="s">
        <v>67</v>
      </c>
      <c r="C59" s="10" t="s">
        <v>38</v>
      </c>
      <c r="D59" s="10" t="s">
        <v>42</v>
      </c>
      <c r="E59" s="10">
        <v>79973</v>
      </c>
      <c r="F59" s="17">
        <v>49645</v>
      </c>
      <c r="G59" s="17">
        <v>49645</v>
      </c>
      <c r="I59" s="19">
        <v>46124</v>
      </c>
      <c r="J59" s="10" t="s">
        <v>67</v>
      </c>
      <c r="K59" s="10" t="s">
        <v>38</v>
      </c>
      <c r="L59" s="10" t="s">
        <v>42</v>
      </c>
      <c r="M59" s="10">
        <v>79973</v>
      </c>
      <c r="N59" s="17">
        <v>49645</v>
      </c>
      <c r="O59" s="17">
        <v>49645</v>
      </c>
      <c r="Q59" s="19">
        <v>46124</v>
      </c>
      <c r="R59" s="10" t="s">
        <v>67</v>
      </c>
      <c r="S59" s="10" t="s">
        <v>38</v>
      </c>
      <c r="T59" s="10" t="s">
        <v>42</v>
      </c>
      <c r="U59" s="10">
        <v>79973</v>
      </c>
      <c r="V59" s="17">
        <v>49645</v>
      </c>
      <c r="W59" s="17">
        <v>49645</v>
      </c>
    </row>
    <row r="60" spans="1:23" x14ac:dyDescent="0.35">
      <c r="A60" s="19">
        <v>46125</v>
      </c>
      <c r="B60" s="10" t="s">
        <v>68</v>
      </c>
      <c r="C60" s="10" t="s">
        <v>41</v>
      </c>
      <c r="D60" s="10" t="s">
        <v>39</v>
      </c>
      <c r="E60" s="10">
        <v>20000</v>
      </c>
      <c r="F60" s="17">
        <v>63883</v>
      </c>
      <c r="G60" s="17">
        <v>63883</v>
      </c>
      <c r="I60" s="19">
        <v>46125</v>
      </c>
      <c r="J60" s="10" t="s">
        <v>68</v>
      </c>
      <c r="K60" s="10" t="s">
        <v>41</v>
      </c>
      <c r="L60" s="10" t="s">
        <v>39</v>
      </c>
      <c r="M60" s="10">
        <v>20000</v>
      </c>
      <c r="N60" s="17">
        <v>63883</v>
      </c>
      <c r="O60" s="17">
        <v>63883</v>
      </c>
      <c r="Q60" s="19">
        <v>46125</v>
      </c>
      <c r="R60" s="10" t="s">
        <v>68</v>
      </c>
      <c r="S60" s="10" t="s">
        <v>41</v>
      </c>
      <c r="T60" s="10" t="s">
        <v>39</v>
      </c>
      <c r="U60" s="10">
        <v>20000</v>
      </c>
      <c r="V60" s="17">
        <v>63883</v>
      </c>
      <c r="W60" s="17">
        <v>63883</v>
      </c>
    </row>
    <row r="61" spans="1:23" x14ac:dyDescent="0.35">
      <c r="A61" s="19">
        <v>46126</v>
      </c>
      <c r="B61" s="10" t="s">
        <v>69</v>
      </c>
      <c r="C61" s="10" t="s">
        <v>44</v>
      </c>
      <c r="D61" s="10" t="s">
        <v>51</v>
      </c>
      <c r="E61" s="10">
        <v>67572</v>
      </c>
      <c r="F61" s="17">
        <v>50542</v>
      </c>
      <c r="G61" s="17">
        <v>50542</v>
      </c>
      <c r="I61" s="19">
        <v>46126</v>
      </c>
      <c r="J61" s="10" t="s">
        <v>69</v>
      </c>
      <c r="K61" s="10" t="s">
        <v>44</v>
      </c>
      <c r="L61" s="10" t="s">
        <v>51</v>
      </c>
      <c r="M61" s="10">
        <v>67572</v>
      </c>
      <c r="N61" s="17">
        <v>50542</v>
      </c>
      <c r="O61" s="17">
        <v>50542</v>
      </c>
      <c r="Q61" s="19">
        <v>46126</v>
      </c>
      <c r="R61" s="10" t="s">
        <v>69</v>
      </c>
      <c r="S61" s="10" t="s">
        <v>44</v>
      </c>
      <c r="T61" s="10" t="s">
        <v>51</v>
      </c>
      <c r="U61" s="10">
        <v>67572</v>
      </c>
      <c r="V61" s="17">
        <v>50542</v>
      </c>
      <c r="W61" s="17">
        <v>50542</v>
      </c>
    </row>
    <row r="62" spans="1:23" x14ac:dyDescent="0.35">
      <c r="A62" s="19">
        <v>46127</v>
      </c>
      <c r="B62" s="10" t="s">
        <v>70</v>
      </c>
      <c r="C62" s="10" t="s">
        <v>57</v>
      </c>
      <c r="D62" s="10" t="s">
        <v>42</v>
      </c>
      <c r="E62" s="10">
        <v>20000</v>
      </c>
      <c r="F62" s="17">
        <v>44554</v>
      </c>
      <c r="G62" s="17">
        <v>44554</v>
      </c>
      <c r="I62" s="19">
        <v>46127</v>
      </c>
      <c r="J62" s="10" t="s">
        <v>70</v>
      </c>
      <c r="K62" s="10" t="s">
        <v>57</v>
      </c>
      <c r="L62" s="10" t="s">
        <v>42</v>
      </c>
      <c r="M62" s="10">
        <v>20000</v>
      </c>
      <c r="N62" s="17">
        <v>44554</v>
      </c>
      <c r="O62" s="17">
        <v>44554</v>
      </c>
      <c r="Q62" s="19">
        <v>46127</v>
      </c>
      <c r="R62" s="10" t="s">
        <v>70</v>
      </c>
      <c r="S62" s="10" t="s">
        <v>57</v>
      </c>
      <c r="T62" s="10" t="s">
        <v>42</v>
      </c>
      <c r="U62" s="10">
        <v>20000</v>
      </c>
      <c r="V62" s="17">
        <v>44554</v>
      </c>
      <c r="W62" s="17">
        <v>44554</v>
      </c>
    </row>
    <row r="63" spans="1:23" x14ac:dyDescent="0.35">
      <c r="A63" s="19">
        <v>46128</v>
      </c>
      <c r="B63" s="10" t="s">
        <v>71</v>
      </c>
      <c r="C63" s="10" t="s">
        <v>44</v>
      </c>
      <c r="D63" s="10" t="s">
        <v>51</v>
      </c>
      <c r="E63" s="10">
        <v>92817</v>
      </c>
      <c r="F63" s="17">
        <v>58496</v>
      </c>
      <c r="G63" s="17">
        <v>58496</v>
      </c>
      <c r="I63" s="19">
        <v>46128</v>
      </c>
      <c r="J63" s="10" t="s">
        <v>71</v>
      </c>
      <c r="K63" s="10" t="s">
        <v>44</v>
      </c>
      <c r="L63" s="10" t="s">
        <v>51</v>
      </c>
      <c r="M63" s="10">
        <v>92817</v>
      </c>
      <c r="N63" s="17">
        <v>58496</v>
      </c>
      <c r="O63" s="17">
        <v>58496</v>
      </c>
      <c r="Q63" s="19">
        <v>46128</v>
      </c>
      <c r="R63" s="10" t="s">
        <v>71</v>
      </c>
      <c r="S63" s="10" t="s">
        <v>44</v>
      </c>
      <c r="T63" s="10" t="s">
        <v>51</v>
      </c>
      <c r="U63" s="10">
        <v>92817</v>
      </c>
      <c r="V63" s="17">
        <v>58496</v>
      </c>
      <c r="W63" s="17">
        <v>58496</v>
      </c>
    </row>
    <row r="64" spans="1:23" x14ac:dyDescent="0.35">
      <c r="A64" s="19">
        <v>46129</v>
      </c>
      <c r="B64" s="10" t="s">
        <v>72</v>
      </c>
      <c r="C64" s="10" t="s">
        <v>38</v>
      </c>
      <c r="D64" s="10" t="s">
        <v>51</v>
      </c>
      <c r="E64" s="10">
        <v>86076</v>
      </c>
      <c r="F64" s="17">
        <v>86334</v>
      </c>
      <c r="G64" s="17">
        <v>86334</v>
      </c>
      <c r="I64" s="19">
        <v>46129</v>
      </c>
      <c r="J64" s="10" t="s">
        <v>72</v>
      </c>
      <c r="K64" s="10" t="s">
        <v>38</v>
      </c>
      <c r="L64" s="10" t="s">
        <v>51</v>
      </c>
      <c r="M64" s="10">
        <v>86076</v>
      </c>
      <c r="N64" s="17">
        <v>86334</v>
      </c>
      <c r="O64" s="17">
        <v>86334</v>
      </c>
      <c r="Q64" s="19">
        <v>46129</v>
      </c>
      <c r="R64" s="10" t="s">
        <v>72</v>
      </c>
      <c r="S64" s="10" t="s">
        <v>38</v>
      </c>
      <c r="T64" s="10" t="s">
        <v>51</v>
      </c>
      <c r="U64" s="10">
        <v>86076</v>
      </c>
      <c r="V64" s="17">
        <v>86334</v>
      </c>
      <c r="W64" s="17">
        <v>86334</v>
      </c>
    </row>
    <row r="65" spans="1:23" x14ac:dyDescent="0.35">
      <c r="A65" s="19">
        <v>46130</v>
      </c>
      <c r="B65" s="10" t="s">
        <v>73</v>
      </c>
      <c r="C65" s="10" t="s">
        <v>44</v>
      </c>
      <c r="D65" s="10" t="s">
        <v>39</v>
      </c>
      <c r="E65" s="10">
        <v>20000</v>
      </c>
      <c r="F65" s="17">
        <v>41281</v>
      </c>
      <c r="G65" s="17">
        <v>41281</v>
      </c>
      <c r="I65" s="19">
        <v>46130</v>
      </c>
      <c r="J65" s="10" t="s">
        <v>73</v>
      </c>
      <c r="K65" s="10" t="s">
        <v>44</v>
      </c>
      <c r="L65" s="10" t="s">
        <v>39</v>
      </c>
      <c r="M65" s="10">
        <v>20000</v>
      </c>
      <c r="N65" s="17">
        <v>41281</v>
      </c>
      <c r="O65" s="17">
        <v>41281</v>
      </c>
      <c r="Q65" s="19">
        <v>46130</v>
      </c>
      <c r="R65" s="10" t="s">
        <v>73</v>
      </c>
      <c r="S65" s="10" t="s">
        <v>44</v>
      </c>
      <c r="T65" s="10" t="s">
        <v>39</v>
      </c>
      <c r="U65" s="10">
        <v>20000</v>
      </c>
      <c r="V65" s="17">
        <v>41281</v>
      </c>
      <c r="W65" s="17">
        <v>41281</v>
      </c>
    </row>
    <row r="66" spans="1:23" ht="15" thickBot="1" x14ac:dyDescent="0.4">
      <c r="A66" s="20">
        <v>46131</v>
      </c>
      <c r="B66" s="13" t="s">
        <v>74</v>
      </c>
      <c r="C66" s="13" t="s">
        <v>41</v>
      </c>
      <c r="D66" s="13" t="s">
        <v>39</v>
      </c>
      <c r="E66" s="13">
        <v>84534</v>
      </c>
      <c r="F66" s="18">
        <v>74049</v>
      </c>
      <c r="G66" s="18">
        <v>74049</v>
      </c>
      <c r="I66" s="20">
        <v>46131</v>
      </c>
      <c r="J66" s="13" t="s">
        <v>74</v>
      </c>
      <c r="K66" s="13" t="s">
        <v>41</v>
      </c>
      <c r="L66" s="13" t="s">
        <v>39</v>
      </c>
      <c r="M66" s="13">
        <v>84534</v>
      </c>
      <c r="N66" s="18">
        <v>74049</v>
      </c>
      <c r="O66" s="18">
        <v>74049</v>
      </c>
      <c r="Q66" s="20">
        <v>46131</v>
      </c>
      <c r="R66" s="13" t="s">
        <v>74</v>
      </c>
      <c r="S66" s="13" t="s">
        <v>41</v>
      </c>
      <c r="T66" s="13" t="s">
        <v>39</v>
      </c>
      <c r="U66" s="13">
        <v>84534</v>
      </c>
      <c r="V66" s="18">
        <v>74049</v>
      </c>
      <c r="W66" s="18">
        <v>74049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CE47-07BC-4DE5-A0E6-E0952185A2C4}">
  <dimension ref="A1:G31"/>
  <sheetViews>
    <sheetView zoomScale="145" zoomScaleNormal="145" workbookViewId="0">
      <selection activeCell="C14" sqref="A1:G31"/>
    </sheetView>
  </sheetViews>
  <sheetFormatPr defaultRowHeight="14.5" x14ac:dyDescent="0.35"/>
  <cols>
    <col min="1" max="1" width="10.08984375" bestFit="1" customWidth="1"/>
    <col min="2" max="2" width="14.36328125" bestFit="1" customWidth="1"/>
    <col min="3" max="3" width="10.81640625" bestFit="1" customWidth="1"/>
    <col min="4" max="4" width="6.54296875" bestFit="1" customWidth="1"/>
    <col min="5" max="5" width="8" bestFit="1" customWidth="1"/>
    <col min="6" max="7" width="8.54296875" bestFit="1" customWidth="1"/>
  </cols>
  <sheetData>
    <row r="1" spans="1:7" x14ac:dyDescent="0.35">
      <c r="A1" s="14" t="s">
        <v>31</v>
      </c>
      <c r="B1" s="15" t="s">
        <v>32</v>
      </c>
      <c r="C1" s="15" t="s">
        <v>33</v>
      </c>
      <c r="D1" s="15" t="s">
        <v>34</v>
      </c>
      <c r="E1" s="15" t="s">
        <v>35</v>
      </c>
      <c r="F1" s="16" t="s">
        <v>36</v>
      </c>
      <c r="G1" s="16" t="s">
        <v>36</v>
      </c>
    </row>
    <row r="2" spans="1:7" x14ac:dyDescent="0.35">
      <c r="A2" s="19">
        <v>46096</v>
      </c>
      <c r="B2" s="10" t="s">
        <v>37</v>
      </c>
      <c r="C2" s="10" t="s">
        <v>38</v>
      </c>
      <c r="D2" s="10" t="s">
        <v>39</v>
      </c>
      <c r="E2" s="10">
        <v>78805</v>
      </c>
      <c r="F2" s="17">
        <v>47568</v>
      </c>
      <c r="G2" s="17">
        <v>47568</v>
      </c>
    </row>
    <row r="3" spans="1:7" x14ac:dyDescent="0.35">
      <c r="A3" s="19">
        <v>46097</v>
      </c>
      <c r="B3" s="24" t="s">
        <v>40</v>
      </c>
      <c r="C3" s="10" t="s">
        <v>41</v>
      </c>
      <c r="D3" s="10" t="s">
        <v>42</v>
      </c>
      <c r="E3" s="10">
        <v>81218</v>
      </c>
      <c r="F3" s="17">
        <v>71354</v>
      </c>
      <c r="G3" s="17">
        <v>71354</v>
      </c>
    </row>
    <row r="4" spans="1:7" x14ac:dyDescent="0.35">
      <c r="A4" s="19">
        <v>46098</v>
      </c>
      <c r="B4" s="10" t="s">
        <v>43</v>
      </c>
      <c r="C4" s="10" t="s">
        <v>44</v>
      </c>
      <c r="D4" s="10" t="s">
        <v>42</v>
      </c>
      <c r="E4" s="10">
        <v>36687</v>
      </c>
      <c r="F4" s="17">
        <v>56505</v>
      </c>
      <c r="G4" s="17">
        <v>56505</v>
      </c>
    </row>
    <row r="5" spans="1:7" x14ac:dyDescent="0.35">
      <c r="A5" s="19">
        <v>46099</v>
      </c>
      <c r="B5" s="23" t="s">
        <v>45</v>
      </c>
      <c r="C5" s="10" t="s">
        <v>38</v>
      </c>
      <c r="D5" s="10" t="s">
        <v>42</v>
      </c>
      <c r="E5" s="10">
        <v>20000</v>
      </c>
      <c r="F5" s="17">
        <v>50614</v>
      </c>
      <c r="G5" s="17">
        <v>50614</v>
      </c>
    </row>
    <row r="6" spans="1:7" x14ac:dyDescent="0.35">
      <c r="A6" s="19">
        <v>46100</v>
      </c>
      <c r="B6" s="10" t="s">
        <v>46</v>
      </c>
      <c r="C6" s="10" t="s">
        <v>38</v>
      </c>
      <c r="D6" s="10" t="s">
        <v>47</v>
      </c>
      <c r="E6" s="10">
        <v>89634</v>
      </c>
      <c r="F6" s="17">
        <v>79176</v>
      </c>
      <c r="G6" s="17">
        <v>79176</v>
      </c>
    </row>
    <row r="7" spans="1:7" x14ac:dyDescent="0.35">
      <c r="A7" s="19">
        <v>46101</v>
      </c>
      <c r="B7" s="24" t="s">
        <v>48</v>
      </c>
      <c r="C7" s="10" t="s">
        <v>44</v>
      </c>
      <c r="D7" s="10" t="s">
        <v>42</v>
      </c>
      <c r="E7" s="10">
        <v>62015</v>
      </c>
      <c r="F7" s="17">
        <v>69434</v>
      </c>
      <c r="G7" s="17">
        <v>69434</v>
      </c>
    </row>
    <row r="8" spans="1:7" x14ac:dyDescent="0.35">
      <c r="A8" s="19">
        <v>46102</v>
      </c>
      <c r="B8" s="10" t="s">
        <v>49</v>
      </c>
      <c r="C8" s="10" t="s">
        <v>44</v>
      </c>
      <c r="D8" s="10" t="s">
        <v>39</v>
      </c>
      <c r="E8" s="10">
        <v>20000</v>
      </c>
      <c r="F8" s="17">
        <v>69434</v>
      </c>
      <c r="G8" s="17">
        <v>69434</v>
      </c>
    </row>
    <row r="9" spans="1:7" x14ac:dyDescent="0.35">
      <c r="A9" s="19">
        <v>46103</v>
      </c>
      <c r="B9" s="24" t="s">
        <v>50</v>
      </c>
      <c r="C9" s="10" t="s">
        <v>38</v>
      </c>
      <c r="D9" s="10" t="s">
        <v>51</v>
      </c>
      <c r="E9" s="10">
        <v>20000</v>
      </c>
      <c r="F9" s="17">
        <v>60910</v>
      </c>
      <c r="G9" s="17">
        <v>60910</v>
      </c>
    </row>
    <row r="10" spans="1:7" x14ac:dyDescent="0.35">
      <c r="A10" s="19">
        <v>46104</v>
      </c>
      <c r="B10" s="23" t="s">
        <v>52</v>
      </c>
      <c r="C10" s="10" t="s">
        <v>41</v>
      </c>
      <c r="D10" s="10" t="s">
        <v>51</v>
      </c>
      <c r="E10" s="10">
        <v>70837</v>
      </c>
      <c r="F10" s="17">
        <v>85222</v>
      </c>
      <c r="G10" s="17">
        <v>85222</v>
      </c>
    </row>
    <row r="11" spans="1:7" x14ac:dyDescent="0.35">
      <c r="A11" s="19">
        <v>46111</v>
      </c>
      <c r="B11" s="10" t="s">
        <v>53</v>
      </c>
      <c r="C11" s="10" t="s">
        <v>38</v>
      </c>
      <c r="D11" s="10" t="s">
        <v>51</v>
      </c>
      <c r="E11" s="10">
        <v>52700</v>
      </c>
      <c r="F11" s="17">
        <v>85222</v>
      </c>
      <c r="G11" s="17">
        <v>85222</v>
      </c>
    </row>
    <row r="12" spans="1:7" x14ac:dyDescent="0.35">
      <c r="A12" s="19">
        <v>46112</v>
      </c>
      <c r="B12" s="24" t="s">
        <v>54</v>
      </c>
      <c r="C12" s="10" t="s">
        <v>41</v>
      </c>
      <c r="D12" s="10" t="s">
        <v>47</v>
      </c>
      <c r="E12" s="10">
        <v>44811</v>
      </c>
      <c r="F12" s="17">
        <v>65279</v>
      </c>
      <c r="G12" s="17">
        <v>65279</v>
      </c>
    </row>
    <row r="13" spans="1:7" x14ac:dyDescent="0.35">
      <c r="A13" s="19">
        <v>46113</v>
      </c>
      <c r="B13" s="10" t="s">
        <v>55</v>
      </c>
      <c r="C13" s="10" t="s">
        <v>44</v>
      </c>
      <c r="D13" s="10" t="s">
        <v>42</v>
      </c>
      <c r="E13" s="10">
        <v>50833</v>
      </c>
      <c r="F13" s="17">
        <v>48220</v>
      </c>
      <c r="G13" s="17">
        <v>48220</v>
      </c>
    </row>
    <row r="14" spans="1:7" x14ac:dyDescent="0.35">
      <c r="A14" s="19">
        <v>46114</v>
      </c>
      <c r="B14" s="10" t="s">
        <v>56</v>
      </c>
      <c r="C14" s="10" t="s">
        <v>57</v>
      </c>
      <c r="D14" s="10" t="s">
        <v>51</v>
      </c>
      <c r="E14" s="10">
        <v>20000</v>
      </c>
      <c r="F14" s="17">
        <v>77933</v>
      </c>
      <c r="G14" s="17">
        <v>77933</v>
      </c>
    </row>
    <row r="15" spans="1:7" x14ac:dyDescent="0.35">
      <c r="A15" s="19">
        <v>46115</v>
      </c>
      <c r="B15" s="23" t="s">
        <v>58</v>
      </c>
      <c r="C15" s="10" t="s">
        <v>41</v>
      </c>
      <c r="D15" s="10" t="s">
        <v>42</v>
      </c>
      <c r="E15" s="10">
        <v>76197</v>
      </c>
      <c r="F15" s="17">
        <v>81453</v>
      </c>
      <c r="G15" s="17">
        <v>81453</v>
      </c>
    </row>
    <row r="16" spans="1:7" x14ac:dyDescent="0.35">
      <c r="A16" s="19">
        <v>46116</v>
      </c>
      <c r="B16" s="24" t="s">
        <v>59</v>
      </c>
      <c r="C16" s="10" t="s">
        <v>57</v>
      </c>
      <c r="D16" s="10" t="s">
        <v>47</v>
      </c>
      <c r="E16" s="10">
        <v>79576</v>
      </c>
      <c r="F16" s="17">
        <v>81453</v>
      </c>
      <c r="G16" s="17">
        <v>81453</v>
      </c>
    </row>
    <row r="17" spans="1:7" x14ac:dyDescent="0.35">
      <c r="A17" s="19">
        <v>46117</v>
      </c>
      <c r="B17" s="10" t="s">
        <v>60</v>
      </c>
      <c r="C17" s="10" t="s">
        <v>38</v>
      </c>
      <c r="D17" s="10" t="s">
        <v>42</v>
      </c>
      <c r="E17" s="10">
        <v>67533</v>
      </c>
      <c r="F17" s="17">
        <v>60564</v>
      </c>
      <c r="G17" s="17">
        <v>60564</v>
      </c>
    </row>
    <row r="18" spans="1:7" x14ac:dyDescent="0.35">
      <c r="A18" s="19">
        <v>46118</v>
      </c>
      <c r="B18" s="10" t="s">
        <v>61</v>
      </c>
      <c r="C18" s="10" t="s">
        <v>41</v>
      </c>
      <c r="D18" s="10" t="s">
        <v>39</v>
      </c>
      <c r="E18" s="10">
        <v>92948</v>
      </c>
      <c r="F18" s="17">
        <v>80305</v>
      </c>
      <c r="G18" s="17">
        <v>80305</v>
      </c>
    </row>
    <row r="19" spans="1:7" x14ac:dyDescent="0.35">
      <c r="A19" s="19">
        <v>46119</v>
      </c>
      <c r="B19" s="10" t="s">
        <v>62</v>
      </c>
      <c r="C19" s="10" t="s">
        <v>41</v>
      </c>
      <c r="D19" s="10" t="s">
        <v>42</v>
      </c>
      <c r="E19" s="10">
        <v>47368</v>
      </c>
      <c r="F19" s="17">
        <v>80735</v>
      </c>
      <c r="G19" s="17">
        <v>80735</v>
      </c>
    </row>
    <row r="20" spans="1:7" x14ac:dyDescent="0.35">
      <c r="A20" s="19">
        <v>46120</v>
      </c>
      <c r="B20" s="24" t="s">
        <v>63</v>
      </c>
      <c r="C20" s="10" t="s">
        <v>44</v>
      </c>
      <c r="D20" s="10" t="s">
        <v>39</v>
      </c>
      <c r="E20" s="10">
        <v>78656</v>
      </c>
      <c r="F20" s="17">
        <v>57387</v>
      </c>
      <c r="G20" s="17">
        <v>57387</v>
      </c>
    </row>
    <row r="21" spans="1:7" x14ac:dyDescent="0.35">
      <c r="A21" s="19">
        <v>46121</v>
      </c>
      <c r="B21" s="10" t="s">
        <v>64</v>
      </c>
      <c r="C21" s="10" t="s">
        <v>38</v>
      </c>
      <c r="D21" s="10" t="s">
        <v>42</v>
      </c>
      <c r="E21" s="10">
        <v>20000</v>
      </c>
      <c r="F21" s="17">
        <v>57387</v>
      </c>
      <c r="G21" s="17">
        <v>57387</v>
      </c>
    </row>
    <row r="22" spans="1:7" x14ac:dyDescent="0.35">
      <c r="A22" s="19">
        <v>46122</v>
      </c>
      <c r="B22" s="23" t="s">
        <v>65</v>
      </c>
      <c r="C22" s="10" t="s">
        <v>41</v>
      </c>
      <c r="D22" s="10" t="s">
        <v>42</v>
      </c>
      <c r="E22" s="10">
        <v>92859</v>
      </c>
      <c r="F22" s="17">
        <v>58012</v>
      </c>
      <c r="G22" s="17">
        <v>58012</v>
      </c>
    </row>
    <row r="23" spans="1:7" x14ac:dyDescent="0.35">
      <c r="A23" s="19">
        <v>46123</v>
      </c>
      <c r="B23" s="24" t="s">
        <v>66</v>
      </c>
      <c r="C23" s="10" t="s">
        <v>41</v>
      </c>
      <c r="D23" s="10" t="s">
        <v>47</v>
      </c>
      <c r="E23" s="10">
        <v>20000</v>
      </c>
      <c r="F23" s="17">
        <v>49635</v>
      </c>
      <c r="G23" s="17">
        <v>49635</v>
      </c>
    </row>
    <row r="24" spans="1:7" x14ac:dyDescent="0.35">
      <c r="A24" s="19">
        <v>46124</v>
      </c>
      <c r="B24" s="10" t="s">
        <v>67</v>
      </c>
      <c r="C24" s="10" t="s">
        <v>38</v>
      </c>
      <c r="D24" s="10" t="s">
        <v>42</v>
      </c>
      <c r="E24" s="10">
        <v>79973</v>
      </c>
      <c r="F24" s="17">
        <v>49645</v>
      </c>
      <c r="G24" s="17">
        <v>49645</v>
      </c>
    </row>
    <row r="25" spans="1:7" x14ac:dyDescent="0.35">
      <c r="A25" s="19">
        <v>46125</v>
      </c>
      <c r="B25" s="23" t="s">
        <v>68</v>
      </c>
      <c r="C25" s="10" t="s">
        <v>41</v>
      </c>
      <c r="D25" s="10" t="s">
        <v>39</v>
      </c>
      <c r="E25" s="10">
        <v>20000</v>
      </c>
      <c r="F25" s="17">
        <v>63883</v>
      </c>
      <c r="G25" s="17">
        <v>63883</v>
      </c>
    </row>
    <row r="26" spans="1:7" x14ac:dyDescent="0.35">
      <c r="A26" s="19">
        <v>46126</v>
      </c>
      <c r="B26" s="10" t="s">
        <v>69</v>
      </c>
      <c r="C26" s="10" t="s">
        <v>44</v>
      </c>
      <c r="D26" s="10" t="s">
        <v>51</v>
      </c>
      <c r="E26" s="10">
        <v>67572</v>
      </c>
      <c r="F26" s="17">
        <v>50542</v>
      </c>
      <c r="G26" s="17">
        <v>50542</v>
      </c>
    </row>
    <row r="27" spans="1:7" x14ac:dyDescent="0.35">
      <c r="A27" s="19">
        <v>46127</v>
      </c>
      <c r="B27" s="10" t="s">
        <v>70</v>
      </c>
      <c r="C27" s="10" t="s">
        <v>57</v>
      </c>
      <c r="D27" s="10" t="s">
        <v>42</v>
      </c>
      <c r="E27" s="10">
        <v>20000</v>
      </c>
      <c r="F27" s="17">
        <v>44554</v>
      </c>
      <c r="G27" s="17">
        <v>44554</v>
      </c>
    </row>
    <row r="28" spans="1:7" x14ac:dyDescent="0.35">
      <c r="A28" s="19">
        <v>46128</v>
      </c>
      <c r="B28" s="10" t="s">
        <v>71</v>
      </c>
      <c r="C28" s="10" t="s">
        <v>44</v>
      </c>
      <c r="D28" s="10" t="s">
        <v>51</v>
      </c>
      <c r="E28" s="10">
        <v>92817</v>
      </c>
      <c r="F28" s="17">
        <v>58496</v>
      </c>
      <c r="G28" s="17">
        <v>58496</v>
      </c>
    </row>
    <row r="29" spans="1:7" x14ac:dyDescent="0.35">
      <c r="A29" s="19">
        <v>46129</v>
      </c>
      <c r="B29" s="10" t="s">
        <v>72</v>
      </c>
      <c r="C29" s="10" t="s">
        <v>38</v>
      </c>
      <c r="D29" s="10" t="s">
        <v>51</v>
      </c>
      <c r="E29" s="10">
        <v>86076</v>
      </c>
      <c r="F29" s="17">
        <v>86334</v>
      </c>
      <c r="G29" s="17">
        <v>86334</v>
      </c>
    </row>
    <row r="30" spans="1:7" x14ac:dyDescent="0.35">
      <c r="A30" s="19">
        <v>46130</v>
      </c>
      <c r="B30" s="10" t="s">
        <v>73</v>
      </c>
      <c r="C30" s="10" t="s">
        <v>44</v>
      </c>
      <c r="D30" s="10" t="s">
        <v>39</v>
      </c>
      <c r="E30" s="10">
        <v>20000</v>
      </c>
      <c r="F30" s="17">
        <v>41281</v>
      </c>
      <c r="G30" s="17">
        <v>41281</v>
      </c>
    </row>
    <row r="31" spans="1:7" ht="15" thickBot="1" x14ac:dyDescent="0.4">
      <c r="A31" s="20">
        <v>46131</v>
      </c>
      <c r="B31" s="13" t="s">
        <v>74</v>
      </c>
      <c r="C31" s="13" t="s">
        <v>41</v>
      </c>
      <c r="D31" s="13" t="s">
        <v>39</v>
      </c>
      <c r="E31" s="13">
        <v>84534</v>
      </c>
      <c r="F31" s="18">
        <v>74049</v>
      </c>
      <c r="G31" s="18">
        <v>74049</v>
      </c>
    </row>
  </sheetData>
  <autoFilter ref="A1:G31" xr:uid="{1A45CE47-07BC-4DE5-A0E6-E0952185A2C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472C-C096-46A4-A62E-A4545FAF71F2}">
  <dimension ref="A1:G31"/>
  <sheetViews>
    <sheetView zoomScale="190" zoomScaleNormal="190" workbookViewId="0">
      <selection activeCell="E13" sqref="E13"/>
    </sheetView>
  </sheetViews>
  <sheetFormatPr defaultRowHeight="14.5" x14ac:dyDescent="0.35"/>
  <cols>
    <col min="1" max="1" width="9.1796875" bestFit="1" customWidth="1"/>
    <col min="2" max="2" width="15.81640625" customWidth="1"/>
    <col min="3" max="3" width="12.1796875" customWidth="1"/>
    <col min="4" max="4" width="7.90625" customWidth="1"/>
    <col min="5" max="5" width="9.453125" customWidth="1"/>
    <col min="6" max="6" width="10" customWidth="1"/>
    <col min="7" max="7" width="11.08984375" customWidth="1"/>
  </cols>
  <sheetData>
    <row r="1" spans="1:7" x14ac:dyDescent="0.35">
      <c r="A1" s="28" t="s">
        <v>31</v>
      </c>
      <c r="B1" s="28" t="s">
        <v>32</v>
      </c>
      <c r="C1" s="28" t="s">
        <v>33</v>
      </c>
      <c r="D1" s="28" t="s">
        <v>34</v>
      </c>
      <c r="E1" s="28" t="s">
        <v>35</v>
      </c>
      <c r="F1" s="28" t="s">
        <v>36</v>
      </c>
      <c r="G1" s="28" t="s">
        <v>75</v>
      </c>
    </row>
    <row r="2" spans="1:7" x14ac:dyDescent="0.35">
      <c r="A2" s="27">
        <v>46096</v>
      </c>
      <c r="B2" s="26" t="s">
        <v>37</v>
      </c>
      <c r="C2" s="26" t="s">
        <v>38</v>
      </c>
      <c r="D2" s="26" t="s">
        <v>39</v>
      </c>
      <c r="E2" s="26">
        <v>78805</v>
      </c>
      <c r="F2" s="26">
        <v>47568</v>
      </c>
      <c r="G2" s="26">
        <f>Table!$F2-Table!$E2</f>
        <v>-31237</v>
      </c>
    </row>
    <row r="3" spans="1:7" x14ac:dyDescent="0.35">
      <c r="A3" s="27">
        <v>46097</v>
      </c>
      <c r="B3" s="26" t="s">
        <v>40</v>
      </c>
      <c r="C3" s="26" t="s">
        <v>41</v>
      </c>
      <c r="D3" s="26" t="s">
        <v>42</v>
      </c>
      <c r="E3" s="26">
        <v>81218</v>
      </c>
      <c r="F3" s="26">
        <v>71354</v>
      </c>
      <c r="G3" s="26">
        <f>Table!$F3-Table!$E3</f>
        <v>-9864</v>
      </c>
    </row>
    <row r="4" spans="1:7" x14ac:dyDescent="0.35">
      <c r="A4" s="27">
        <v>46098</v>
      </c>
      <c r="B4" s="26" t="s">
        <v>43</v>
      </c>
      <c r="C4" s="26" t="s">
        <v>44</v>
      </c>
      <c r="D4" s="26" t="s">
        <v>42</v>
      </c>
      <c r="E4" s="26">
        <v>36687</v>
      </c>
      <c r="F4" s="26">
        <v>56505</v>
      </c>
      <c r="G4" s="26">
        <f>Table!$F4-Table!$E4</f>
        <v>19818</v>
      </c>
    </row>
    <row r="5" spans="1:7" x14ac:dyDescent="0.35">
      <c r="A5" s="27">
        <v>46099</v>
      </c>
      <c r="B5" s="26" t="s">
        <v>45</v>
      </c>
      <c r="C5" s="26" t="s">
        <v>38</v>
      </c>
      <c r="D5" s="26" t="s">
        <v>42</v>
      </c>
      <c r="E5" s="26">
        <v>20000</v>
      </c>
      <c r="F5" s="26">
        <v>50614</v>
      </c>
      <c r="G5" s="26">
        <f>Table!$F5-Table!$E5</f>
        <v>30614</v>
      </c>
    </row>
    <row r="6" spans="1:7" x14ac:dyDescent="0.35">
      <c r="A6" s="27">
        <v>46100</v>
      </c>
      <c r="B6" s="26" t="s">
        <v>46</v>
      </c>
      <c r="C6" s="26" t="s">
        <v>38</v>
      </c>
      <c r="D6" s="26" t="s">
        <v>47</v>
      </c>
      <c r="E6" s="26">
        <v>89634</v>
      </c>
      <c r="F6" s="26">
        <v>79176</v>
      </c>
      <c r="G6" s="26">
        <f>Table!$F6-Table!$E6</f>
        <v>-10458</v>
      </c>
    </row>
    <row r="7" spans="1:7" x14ac:dyDescent="0.35">
      <c r="A7" s="27">
        <v>46101</v>
      </c>
      <c r="B7" s="26" t="s">
        <v>48</v>
      </c>
      <c r="C7" s="26" t="s">
        <v>44</v>
      </c>
      <c r="D7" s="26" t="s">
        <v>42</v>
      </c>
      <c r="E7" s="26">
        <v>62015</v>
      </c>
      <c r="F7" s="26">
        <v>69434</v>
      </c>
      <c r="G7" s="26">
        <f>Table!$F7-Table!$E7</f>
        <v>7419</v>
      </c>
    </row>
    <row r="8" spans="1:7" x14ac:dyDescent="0.35">
      <c r="A8" s="27">
        <v>46102</v>
      </c>
      <c r="B8" s="26" t="s">
        <v>49</v>
      </c>
      <c r="C8" s="26" t="s">
        <v>44</v>
      </c>
      <c r="D8" s="26" t="s">
        <v>39</v>
      </c>
      <c r="E8" s="26">
        <v>20000</v>
      </c>
      <c r="F8" s="26">
        <v>69434</v>
      </c>
      <c r="G8" s="26">
        <f>Table!$F8-Table!$E8</f>
        <v>49434</v>
      </c>
    </row>
    <row r="9" spans="1:7" x14ac:dyDescent="0.35">
      <c r="A9" s="27">
        <v>46103</v>
      </c>
      <c r="B9" s="26" t="s">
        <v>50</v>
      </c>
      <c r="C9" s="26" t="s">
        <v>38</v>
      </c>
      <c r="D9" s="26" t="s">
        <v>51</v>
      </c>
      <c r="E9" s="26">
        <v>20000</v>
      </c>
      <c r="F9" s="26">
        <v>60910</v>
      </c>
      <c r="G9" s="26">
        <f>Table!$F9-Table!$E9</f>
        <v>40910</v>
      </c>
    </row>
    <row r="10" spans="1:7" x14ac:dyDescent="0.35">
      <c r="A10" s="27">
        <v>46104</v>
      </c>
      <c r="B10" s="26" t="s">
        <v>52</v>
      </c>
      <c r="C10" s="26" t="s">
        <v>41</v>
      </c>
      <c r="D10" s="26" t="s">
        <v>51</v>
      </c>
      <c r="E10" s="26">
        <v>70837</v>
      </c>
      <c r="F10" s="26">
        <v>85222</v>
      </c>
      <c r="G10" s="26">
        <f>Table!$F10-Table!$E10</f>
        <v>14385</v>
      </c>
    </row>
    <row r="11" spans="1:7" x14ac:dyDescent="0.35">
      <c r="A11" s="27">
        <v>46111</v>
      </c>
      <c r="B11" s="26" t="s">
        <v>53</v>
      </c>
      <c r="C11" s="26" t="s">
        <v>38</v>
      </c>
      <c r="D11" s="26" t="s">
        <v>51</v>
      </c>
      <c r="E11" s="26">
        <v>52700</v>
      </c>
      <c r="F11" s="26">
        <v>85222</v>
      </c>
      <c r="G11" s="26">
        <f>Table!$F11-Table!$E11</f>
        <v>32522</v>
      </c>
    </row>
    <row r="12" spans="1:7" x14ac:dyDescent="0.35">
      <c r="A12" s="27">
        <v>46112</v>
      </c>
      <c r="B12" s="26" t="s">
        <v>54</v>
      </c>
      <c r="C12" s="26" t="s">
        <v>41</v>
      </c>
      <c r="D12" s="26" t="s">
        <v>47</v>
      </c>
      <c r="E12" s="26">
        <v>44811</v>
      </c>
      <c r="F12" s="26">
        <v>65279</v>
      </c>
      <c r="G12" s="26">
        <f>Table!$F12-Table!$E12</f>
        <v>20468</v>
      </c>
    </row>
    <row r="13" spans="1:7" x14ac:dyDescent="0.35">
      <c r="A13" s="27">
        <v>46113</v>
      </c>
      <c r="B13" s="26" t="s">
        <v>55</v>
      </c>
      <c r="C13" s="26" t="s">
        <v>44</v>
      </c>
      <c r="D13" s="26" t="s">
        <v>42</v>
      </c>
      <c r="E13" s="26">
        <v>50833</v>
      </c>
      <c r="F13" s="26">
        <v>48220</v>
      </c>
      <c r="G13" s="26">
        <f>Table!$F13-Table!$E13</f>
        <v>-2613</v>
      </c>
    </row>
    <row r="14" spans="1:7" x14ac:dyDescent="0.35">
      <c r="A14" s="27">
        <v>46114</v>
      </c>
      <c r="B14" s="26" t="s">
        <v>56</v>
      </c>
      <c r="C14" s="26" t="s">
        <v>57</v>
      </c>
      <c r="D14" s="26" t="s">
        <v>51</v>
      </c>
      <c r="E14" s="26">
        <v>20000</v>
      </c>
      <c r="F14" s="26">
        <v>77933</v>
      </c>
      <c r="G14" s="26">
        <f>Table!$F14-Table!$E14</f>
        <v>57933</v>
      </c>
    </row>
    <row r="15" spans="1:7" x14ac:dyDescent="0.35">
      <c r="A15" s="27">
        <v>46115</v>
      </c>
      <c r="B15" s="26" t="s">
        <v>58</v>
      </c>
      <c r="C15" s="26" t="s">
        <v>41</v>
      </c>
      <c r="D15" s="26" t="s">
        <v>42</v>
      </c>
      <c r="E15" s="26">
        <v>76197</v>
      </c>
      <c r="F15" s="26">
        <v>81453</v>
      </c>
      <c r="G15" s="26">
        <f>Table!$F15-Table!$E15</f>
        <v>5256</v>
      </c>
    </row>
    <row r="16" spans="1:7" x14ac:dyDescent="0.35">
      <c r="A16" s="27">
        <v>46116</v>
      </c>
      <c r="B16" s="26" t="s">
        <v>59</v>
      </c>
      <c r="C16" s="26" t="s">
        <v>57</v>
      </c>
      <c r="D16" s="26" t="s">
        <v>47</v>
      </c>
      <c r="E16" s="26">
        <v>79576</v>
      </c>
      <c r="F16" s="26">
        <v>81453</v>
      </c>
      <c r="G16" s="26">
        <f>Table!$F16-Table!$E16</f>
        <v>1877</v>
      </c>
    </row>
    <row r="17" spans="1:7" x14ac:dyDescent="0.35">
      <c r="A17" s="27">
        <v>46117</v>
      </c>
      <c r="B17" s="26" t="s">
        <v>60</v>
      </c>
      <c r="C17" s="26" t="s">
        <v>38</v>
      </c>
      <c r="D17" s="26" t="s">
        <v>42</v>
      </c>
      <c r="E17" s="26">
        <v>67533</v>
      </c>
      <c r="F17" s="26">
        <v>60564</v>
      </c>
      <c r="G17" s="26">
        <f>Table!$F17-Table!$E17</f>
        <v>-6969</v>
      </c>
    </row>
    <row r="18" spans="1:7" x14ac:dyDescent="0.35">
      <c r="A18" s="27">
        <v>46118</v>
      </c>
      <c r="B18" s="26" t="s">
        <v>61</v>
      </c>
      <c r="C18" s="26" t="s">
        <v>41</v>
      </c>
      <c r="D18" s="26" t="s">
        <v>39</v>
      </c>
      <c r="E18" s="26">
        <v>92948</v>
      </c>
      <c r="F18" s="26">
        <v>80305</v>
      </c>
      <c r="G18" s="26">
        <f>Table!$F18-Table!$E18</f>
        <v>-12643</v>
      </c>
    </row>
    <row r="19" spans="1:7" x14ac:dyDescent="0.35">
      <c r="A19" s="27">
        <v>46119</v>
      </c>
      <c r="B19" s="26" t="s">
        <v>62</v>
      </c>
      <c r="C19" s="26" t="s">
        <v>41</v>
      </c>
      <c r="D19" s="26" t="s">
        <v>42</v>
      </c>
      <c r="E19" s="26">
        <v>47368</v>
      </c>
      <c r="F19" s="26">
        <v>80735</v>
      </c>
      <c r="G19" s="26">
        <f>Table!$F19-Table!$E19</f>
        <v>33367</v>
      </c>
    </row>
    <row r="20" spans="1:7" x14ac:dyDescent="0.35">
      <c r="A20" s="27">
        <v>46120</v>
      </c>
      <c r="B20" s="26" t="s">
        <v>63</v>
      </c>
      <c r="C20" s="26" t="s">
        <v>44</v>
      </c>
      <c r="D20" s="26" t="s">
        <v>39</v>
      </c>
      <c r="E20" s="26">
        <v>78656</v>
      </c>
      <c r="F20" s="26">
        <v>57387</v>
      </c>
      <c r="G20" s="26">
        <f>Table!$F20-Table!$E20</f>
        <v>-21269</v>
      </c>
    </row>
    <row r="21" spans="1:7" x14ac:dyDescent="0.35">
      <c r="A21" s="27">
        <v>46121</v>
      </c>
      <c r="B21" s="26" t="s">
        <v>64</v>
      </c>
      <c r="C21" s="26" t="s">
        <v>38</v>
      </c>
      <c r="D21" s="26" t="s">
        <v>42</v>
      </c>
      <c r="E21" s="26">
        <v>20000</v>
      </c>
      <c r="F21" s="26">
        <v>57387</v>
      </c>
      <c r="G21" s="26">
        <f>Table!$F21-Table!$E21</f>
        <v>37387</v>
      </c>
    </row>
    <row r="22" spans="1:7" x14ac:dyDescent="0.35">
      <c r="A22" s="27">
        <v>46122</v>
      </c>
      <c r="B22" s="26" t="s">
        <v>65</v>
      </c>
      <c r="C22" s="26" t="s">
        <v>41</v>
      </c>
      <c r="D22" s="26" t="s">
        <v>42</v>
      </c>
      <c r="E22" s="26">
        <v>92859</v>
      </c>
      <c r="F22" s="26">
        <v>58012</v>
      </c>
      <c r="G22" s="26">
        <f>Table!$F22-Table!$E22</f>
        <v>-34847</v>
      </c>
    </row>
    <row r="23" spans="1:7" x14ac:dyDescent="0.35">
      <c r="A23" s="27">
        <v>46123</v>
      </c>
      <c r="B23" s="26" t="s">
        <v>66</v>
      </c>
      <c r="C23" s="26" t="s">
        <v>41</v>
      </c>
      <c r="D23" s="26" t="s">
        <v>47</v>
      </c>
      <c r="E23" s="26">
        <v>20000</v>
      </c>
      <c r="F23" s="26">
        <v>49635</v>
      </c>
      <c r="G23" s="26">
        <f>Table!$F23-Table!$E23</f>
        <v>29635</v>
      </c>
    </row>
    <row r="24" spans="1:7" x14ac:dyDescent="0.35">
      <c r="A24" s="27">
        <v>46124</v>
      </c>
      <c r="B24" s="26" t="s">
        <v>67</v>
      </c>
      <c r="C24" s="26" t="s">
        <v>38</v>
      </c>
      <c r="D24" s="26" t="s">
        <v>42</v>
      </c>
      <c r="E24" s="26">
        <v>79973</v>
      </c>
      <c r="F24" s="26">
        <v>49645</v>
      </c>
      <c r="G24" s="26">
        <f>Table!$F24-Table!$E24</f>
        <v>-30328</v>
      </c>
    </row>
    <row r="25" spans="1:7" x14ac:dyDescent="0.35">
      <c r="A25" s="27">
        <v>46125</v>
      </c>
      <c r="B25" s="26" t="s">
        <v>68</v>
      </c>
      <c r="C25" s="26" t="s">
        <v>41</v>
      </c>
      <c r="D25" s="26" t="s">
        <v>39</v>
      </c>
      <c r="E25" s="26">
        <v>20000</v>
      </c>
      <c r="F25" s="26">
        <v>63883</v>
      </c>
      <c r="G25" s="26">
        <f>Table!$F25-Table!$E25</f>
        <v>43883</v>
      </c>
    </row>
    <row r="26" spans="1:7" x14ac:dyDescent="0.35">
      <c r="A26" s="27">
        <v>46126</v>
      </c>
      <c r="B26" s="26" t="s">
        <v>69</v>
      </c>
      <c r="C26" s="26" t="s">
        <v>44</v>
      </c>
      <c r="D26" s="26" t="s">
        <v>51</v>
      </c>
      <c r="E26" s="26">
        <v>67572</v>
      </c>
      <c r="F26" s="26">
        <v>50542</v>
      </c>
      <c r="G26" s="26">
        <f>Table!$F26-Table!$E26</f>
        <v>-17030</v>
      </c>
    </row>
    <row r="27" spans="1:7" x14ac:dyDescent="0.35">
      <c r="A27" s="27">
        <v>46127</v>
      </c>
      <c r="B27" s="26" t="s">
        <v>70</v>
      </c>
      <c r="C27" s="26" t="s">
        <v>57</v>
      </c>
      <c r="D27" s="26" t="s">
        <v>42</v>
      </c>
      <c r="E27" s="26">
        <v>20000</v>
      </c>
      <c r="F27" s="26">
        <v>44554</v>
      </c>
      <c r="G27" s="26">
        <f>Table!$F27-Table!$E27</f>
        <v>24554</v>
      </c>
    </row>
    <row r="28" spans="1:7" x14ac:dyDescent="0.35">
      <c r="A28" s="27">
        <v>46128</v>
      </c>
      <c r="B28" s="26" t="s">
        <v>71</v>
      </c>
      <c r="C28" s="26" t="s">
        <v>44</v>
      </c>
      <c r="D28" s="26" t="s">
        <v>51</v>
      </c>
      <c r="E28" s="26">
        <v>92817</v>
      </c>
      <c r="F28" s="26">
        <v>58496</v>
      </c>
      <c r="G28" s="26">
        <f>Table!$F28-Table!$E28</f>
        <v>-34321</v>
      </c>
    </row>
    <row r="29" spans="1:7" x14ac:dyDescent="0.35">
      <c r="A29" s="27">
        <v>46129</v>
      </c>
      <c r="B29" s="26" t="s">
        <v>72</v>
      </c>
      <c r="C29" s="26" t="s">
        <v>38</v>
      </c>
      <c r="D29" s="26" t="s">
        <v>51</v>
      </c>
      <c r="E29" s="26">
        <v>86076</v>
      </c>
      <c r="F29" s="26">
        <v>86334</v>
      </c>
      <c r="G29" s="26">
        <f>Table!$F29-Table!$E29</f>
        <v>258</v>
      </c>
    </row>
    <row r="30" spans="1:7" x14ac:dyDescent="0.35">
      <c r="A30" s="27">
        <v>46130</v>
      </c>
      <c r="B30" s="26" t="s">
        <v>73</v>
      </c>
      <c r="C30" s="26" t="s">
        <v>44</v>
      </c>
      <c r="D30" s="26" t="s">
        <v>39</v>
      </c>
      <c r="E30" s="26">
        <v>20000</v>
      </c>
      <c r="F30" s="26">
        <v>41281</v>
      </c>
      <c r="G30" s="26">
        <f>Table!$F30-Table!$E30</f>
        <v>21281</v>
      </c>
    </row>
    <row r="31" spans="1:7" x14ac:dyDescent="0.35">
      <c r="A31" s="27">
        <v>46131</v>
      </c>
      <c r="B31" s="26" t="s">
        <v>74</v>
      </c>
      <c r="C31" s="26" t="s">
        <v>41</v>
      </c>
      <c r="D31" s="26" t="s">
        <v>39</v>
      </c>
      <c r="E31" s="26">
        <v>84534</v>
      </c>
      <c r="F31" s="26">
        <v>74049</v>
      </c>
      <c r="G31" s="26">
        <f>Table!$F31-Table!$E31</f>
        <v>-10485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423D-CA52-4AFE-9043-B15409ECB098}">
  <dimension ref="A1:O387"/>
  <sheetViews>
    <sheetView topLeftCell="H4" zoomScale="250" zoomScaleNormal="250" workbookViewId="0">
      <selection activeCell="J74" sqref="J74"/>
    </sheetView>
  </sheetViews>
  <sheetFormatPr defaultRowHeight="14.5" x14ac:dyDescent="0.35"/>
  <cols>
    <col min="2" max="2" width="10.08984375" bestFit="1" customWidth="1"/>
    <col min="4" max="4" width="10.7265625" customWidth="1"/>
    <col min="6" max="6" width="11.54296875" customWidth="1"/>
    <col min="8" max="8" width="11.36328125" customWidth="1"/>
    <col min="10" max="10" width="12.7265625" customWidth="1"/>
    <col min="11" max="11" width="10.08984375" bestFit="1" customWidth="1"/>
    <col min="12" max="12" width="15.1796875" customWidth="1"/>
    <col min="13" max="13" width="10.08984375" bestFit="1" customWidth="1"/>
    <col min="15" max="15" width="10.54296875" customWidth="1"/>
  </cols>
  <sheetData>
    <row r="1" spans="1:8" x14ac:dyDescent="0.35">
      <c r="A1">
        <v>1</v>
      </c>
      <c r="B1">
        <v>1</v>
      </c>
      <c r="C1">
        <v>1</v>
      </c>
      <c r="D1">
        <v>1</v>
      </c>
      <c r="E1">
        <v>1</v>
      </c>
      <c r="F1">
        <v>15</v>
      </c>
      <c r="G1">
        <v>2</v>
      </c>
      <c r="H1">
        <v>1000</v>
      </c>
    </row>
    <row r="2" spans="1:8" x14ac:dyDescent="0.35">
      <c r="A2">
        <v>2</v>
      </c>
      <c r="B2">
        <v>2</v>
      </c>
      <c r="C2">
        <v>2</v>
      </c>
      <c r="D2">
        <v>2</v>
      </c>
      <c r="E2">
        <v>3</v>
      </c>
      <c r="F2">
        <v>12</v>
      </c>
      <c r="G2">
        <v>4</v>
      </c>
      <c r="H2">
        <v>100</v>
      </c>
    </row>
    <row r="3" spans="1:8" x14ac:dyDescent="0.35">
      <c r="A3">
        <v>3</v>
      </c>
      <c r="B3">
        <v>3</v>
      </c>
      <c r="C3">
        <v>3</v>
      </c>
      <c r="D3">
        <v>3</v>
      </c>
      <c r="E3">
        <v>5</v>
      </c>
      <c r="F3">
        <v>9</v>
      </c>
      <c r="G3">
        <v>8</v>
      </c>
      <c r="H3">
        <v>10.000000000000002</v>
      </c>
    </row>
    <row r="4" spans="1:8" x14ac:dyDescent="0.35">
      <c r="A4">
        <v>4</v>
      </c>
      <c r="B4">
        <v>4</v>
      </c>
      <c r="C4">
        <v>4</v>
      </c>
      <c r="D4">
        <v>4</v>
      </c>
      <c r="E4">
        <v>7</v>
      </c>
      <c r="F4">
        <v>6</v>
      </c>
      <c r="G4">
        <v>16</v>
      </c>
      <c r="H4">
        <v>1.0000000000000002</v>
      </c>
    </row>
    <row r="5" spans="1:8" x14ac:dyDescent="0.35">
      <c r="A5">
        <v>5</v>
      </c>
      <c r="B5">
        <v>5</v>
      </c>
      <c r="C5">
        <v>5</v>
      </c>
      <c r="D5">
        <v>5</v>
      </c>
      <c r="F5">
        <v>3</v>
      </c>
      <c r="G5">
        <v>32</v>
      </c>
    </row>
    <row r="6" spans="1:8" x14ac:dyDescent="0.35">
      <c r="A6">
        <v>6</v>
      </c>
      <c r="B6">
        <v>6</v>
      </c>
      <c r="C6">
        <v>6</v>
      </c>
      <c r="D6">
        <v>6</v>
      </c>
    </row>
    <row r="8" spans="1:8" x14ac:dyDescent="0.35">
      <c r="B8" cm="1">
        <f t="array" ref="B8:F12">_xlfn.SEQUENCE(5,5,1,1)</f>
        <v>1</v>
      </c>
      <c r="C8">
        <v>2</v>
      </c>
      <c r="D8">
        <v>3</v>
      </c>
      <c r="E8">
        <v>4</v>
      </c>
      <c r="F8">
        <v>5</v>
      </c>
    </row>
    <row r="9" spans="1:8" x14ac:dyDescent="0.35">
      <c r="B9">
        <v>6</v>
      </c>
      <c r="C9">
        <v>7</v>
      </c>
      <c r="D9">
        <v>8</v>
      </c>
      <c r="E9">
        <v>9</v>
      </c>
      <c r="F9">
        <v>10</v>
      </c>
    </row>
    <row r="10" spans="1:8" x14ac:dyDescent="0.35">
      <c r="B10">
        <v>11</v>
      </c>
      <c r="C10">
        <v>12</v>
      </c>
      <c r="D10">
        <v>13</v>
      </c>
      <c r="E10">
        <v>14</v>
      </c>
      <c r="F10">
        <v>15</v>
      </c>
    </row>
    <row r="11" spans="1:8" x14ac:dyDescent="0.35">
      <c r="B11">
        <v>16</v>
      </c>
      <c r="C11">
        <v>17</v>
      </c>
      <c r="D11">
        <v>18</v>
      </c>
      <c r="E11">
        <v>19</v>
      </c>
      <c r="F11">
        <v>20</v>
      </c>
    </row>
    <row r="12" spans="1:8" x14ac:dyDescent="0.35">
      <c r="B12">
        <v>21</v>
      </c>
      <c r="C12">
        <v>22</v>
      </c>
      <c r="D12">
        <v>23</v>
      </c>
      <c r="E12">
        <v>24</v>
      </c>
      <c r="F12">
        <v>25</v>
      </c>
    </row>
    <row r="15" spans="1:8" x14ac:dyDescent="0.35">
      <c r="B15" cm="1">
        <f t="array" ref="B15:E19">_xlfn.SEQUENCE(5,4,1,4)</f>
        <v>1</v>
      </c>
      <c r="C15">
        <v>5</v>
      </c>
      <c r="D15">
        <v>9</v>
      </c>
      <c r="E15">
        <v>13</v>
      </c>
    </row>
    <row r="16" spans="1:8" x14ac:dyDescent="0.35">
      <c r="B16">
        <v>17</v>
      </c>
      <c r="C16">
        <v>21</v>
      </c>
      <c r="D16">
        <v>25</v>
      </c>
      <c r="E16">
        <v>29</v>
      </c>
    </row>
    <row r="17" spans="2:15" x14ac:dyDescent="0.35">
      <c r="B17">
        <v>33</v>
      </c>
      <c r="C17">
        <v>37</v>
      </c>
      <c r="D17">
        <v>41</v>
      </c>
      <c r="E17">
        <v>45</v>
      </c>
    </row>
    <row r="18" spans="2:15" x14ac:dyDescent="0.35">
      <c r="B18">
        <v>49</v>
      </c>
      <c r="C18">
        <v>53</v>
      </c>
      <c r="D18">
        <v>57</v>
      </c>
      <c r="E18">
        <v>61</v>
      </c>
    </row>
    <row r="19" spans="2:15" x14ac:dyDescent="0.35">
      <c r="B19">
        <v>65</v>
      </c>
      <c r="C19">
        <v>69</v>
      </c>
      <c r="D19">
        <v>73</v>
      </c>
      <c r="E19">
        <v>77</v>
      </c>
    </row>
    <row r="23" spans="2:15" x14ac:dyDescent="0.35">
      <c r="B23" s="25">
        <v>46113</v>
      </c>
      <c r="D23" s="25">
        <v>46113</v>
      </c>
      <c r="F23" s="25">
        <v>46113</v>
      </c>
      <c r="H23" s="25">
        <v>46113</v>
      </c>
      <c r="J23" s="25">
        <v>46113</v>
      </c>
      <c r="K23" s="25">
        <v>46142</v>
      </c>
      <c r="L23" s="25">
        <v>46142</v>
      </c>
      <c r="M23" s="25">
        <v>46173</v>
      </c>
      <c r="O23" s="25">
        <v>46142</v>
      </c>
    </row>
    <row r="24" spans="2:15" x14ac:dyDescent="0.35">
      <c r="B24" s="25">
        <v>46114</v>
      </c>
      <c r="D24" s="25">
        <v>46114</v>
      </c>
      <c r="F24" s="25">
        <v>46115</v>
      </c>
      <c r="H24" s="25">
        <v>46114</v>
      </c>
      <c r="J24" s="25">
        <v>46143</v>
      </c>
      <c r="K24" s="25">
        <v>46172</v>
      </c>
      <c r="L24" s="25">
        <v>46172</v>
      </c>
      <c r="M24" s="25">
        <v>46203</v>
      </c>
      <c r="O24" s="25">
        <v>46507</v>
      </c>
    </row>
    <row r="25" spans="2:15" x14ac:dyDescent="0.35">
      <c r="B25" s="25">
        <v>46115</v>
      </c>
      <c r="D25" s="25">
        <v>46115</v>
      </c>
      <c r="F25" s="25">
        <v>46117</v>
      </c>
      <c r="H25" s="25">
        <v>46115</v>
      </c>
      <c r="J25" s="25">
        <v>46174</v>
      </c>
      <c r="K25" s="25">
        <v>46203</v>
      </c>
      <c r="L25" s="25">
        <v>46203</v>
      </c>
      <c r="M25" s="25">
        <v>46234</v>
      </c>
      <c r="O25" s="25">
        <v>46873</v>
      </c>
    </row>
    <row r="26" spans="2:15" x14ac:dyDescent="0.35">
      <c r="B26" s="25">
        <v>46116</v>
      </c>
      <c r="D26" s="25">
        <v>46116</v>
      </c>
      <c r="F26" s="25">
        <v>46119</v>
      </c>
      <c r="H26" s="25">
        <v>46118</v>
      </c>
      <c r="J26" s="25">
        <v>46204</v>
      </c>
      <c r="K26" s="25">
        <v>46233</v>
      </c>
      <c r="L26" s="25">
        <v>46233</v>
      </c>
      <c r="M26" s="25">
        <v>46265</v>
      </c>
      <c r="O26" s="25">
        <v>47238</v>
      </c>
    </row>
    <row r="27" spans="2:15" x14ac:dyDescent="0.35">
      <c r="B27" s="25">
        <v>46117</v>
      </c>
      <c r="D27" s="25">
        <v>46117</v>
      </c>
      <c r="F27" s="25">
        <v>46121</v>
      </c>
      <c r="H27" s="25">
        <v>46119</v>
      </c>
      <c r="J27" s="25">
        <v>46235</v>
      </c>
      <c r="K27" s="25">
        <v>46264</v>
      </c>
      <c r="L27" s="25">
        <v>46264</v>
      </c>
      <c r="M27" s="25">
        <v>46295</v>
      </c>
      <c r="O27" s="25">
        <v>47603</v>
      </c>
    </row>
    <row r="28" spans="2:15" x14ac:dyDescent="0.35">
      <c r="B28" s="25">
        <v>46118</v>
      </c>
      <c r="D28" s="25">
        <v>46118</v>
      </c>
      <c r="F28" s="25">
        <v>46123</v>
      </c>
      <c r="H28" s="25">
        <v>46120</v>
      </c>
      <c r="J28" s="25">
        <v>46266</v>
      </c>
      <c r="K28" s="25">
        <v>46295</v>
      </c>
      <c r="L28" s="25">
        <v>46295</v>
      </c>
      <c r="M28" s="25">
        <v>46326</v>
      </c>
      <c r="O28" s="25">
        <v>47968</v>
      </c>
    </row>
    <row r="29" spans="2:15" x14ac:dyDescent="0.35">
      <c r="B29" s="25">
        <v>46119</v>
      </c>
      <c r="D29" s="25">
        <v>46119</v>
      </c>
      <c r="F29" s="25">
        <v>46125</v>
      </c>
      <c r="H29" s="25">
        <v>46121</v>
      </c>
      <c r="J29" s="25">
        <v>46296</v>
      </c>
      <c r="K29" s="25">
        <v>46325</v>
      </c>
      <c r="L29" s="25">
        <v>46325</v>
      </c>
      <c r="M29" s="25">
        <v>46356</v>
      </c>
      <c r="O29" s="25">
        <v>48334</v>
      </c>
    </row>
    <row r="30" spans="2:15" x14ac:dyDescent="0.35">
      <c r="B30" s="25">
        <v>46120</v>
      </c>
      <c r="D30" s="25">
        <v>46120</v>
      </c>
      <c r="F30" s="25">
        <v>46127</v>
      </c>
      <c r="H30" s="25">
        <v>46122</v>
      </c>
      <c r="J30" s="25">
        <v>46327</v>
      </c>
      <c r="K30" s="25">
        <v>46356</v>
      </c>
      <c r="L30" s="25">
        <v>46356</v>
      </c>
      <c r="M30" s="25">
        <v>46387</v>
      </c>
      <c r="O30" s="25">
        <v>48699</v>
      </c>
    </row>
    <row r="31" spans="2:15" x14ac:dyDescent="0.35">
      <c r="B31" s="25">
        <v>46121</v>
      </c>
      <c r="D31" s="25">
        <v>46121</v>
      </c>
      <c r="F31" s="25">
        <v>46129</v>
      </c>
      <c r="H31" s="25">
        <v>46125</v>
      </c>
      <c r="J31" s="25">
        <v>46357</v>
      </c>
      <c r="K31" s="25">
        <v>46386</v>
      </c>
      <c r="L31" s="25">
        <v>46386</v>
      </c>
      <c r="M31" s="25">
        <v>46418</v>
      </c>
      <c r="O31" s="25">
        <v>49064</v>
      </c>
    </row>
    <row r="32" spans="2:15" x14ac:dyDescent="0.35">
      <c r="B32" s="25">
        <v>46122</v>
      </c>
      <c r="D32" s="25">
        <v>46122</v>
      </c>
      <c r="F32" s="25">
        <v>46131</v>
      </c>
      <c r="H32" s="25">
        <v>46126</v>
      </c>
      <c r="J32" s="25">
        <v>46388</v>
      </c>
      <c r="K32" s="25">
        <v>46417</v>
      </c>
      <c r="L32" s="25">
        <v>46417</v>
      </c>
      <c r="M32" s="25">
        <v>46446</v>
      </c>
      <c r="O32" s="25">
        <v>49429</v>
      </c>
    </row>
    <row r="33" spans="2:15" x14ac:dyDescent="0.35">
      <c r="B33" s="25">
        <v>46123</v>
      </c>
      <c r="D33" s="25">
        <v>46123</v>
      </c>
      <c r="F33" s="25">
        <v>46133</v>
      </c>
      <c r="H33" s="25">
        <v>46127</v>
      </c>
      <c r="J33" s="25">
        <v>46419</v>
      </c>
      <c r="K33" s="25">
        <v>46446</v>
      </c>
      <c r="L33" s="25">
        <v>46446</v>
      </c>
      <c r="M33" s="25">
        <v>46477</v>
      </c>
      <c r="O33" s="25">
        <v>49795</v>
      </c>
    </row>
    <row r="34" spans="2:15" x14ac:dyDescent="0.35">
      <c r="B34" s="25">
        <v>46124</v>
      </c>
      <c r="D34" s="25">
        <v>46124</v>
      </c>
      <c r="F34" s="25">
        <v>46135</v>
      </c>
      <c r="H34" s="25">
        <v>46128</v>
      </c>
      <c r="J34" s="25">
        <v>46447</v>
      </c>
      <c r="K34" s="25">
        <v>46476</v>
      </c>
      <c r="L34" s="25">
        <v>46476</v>
      </c>
      <c r="O34" s="25">
        <v>50160</v>
      </c>
    </row>
    <row r="35" spans="2:15" x14ac:dyDescent="0.35">
      <c r="B35" s="25">
        <v>46125</v>
      </c>
      <c r="D35" s="25">
        <v>46125</v>
      </c>
      <c r="F35" s="25">
        <v>46137</v>
      </c>
      <c r="H35" s="25">
        <v>46129</v>
      </c>
      <c r="O35" s="25">
        <v>50525</v>
      </c>
    </row>
    <row r="36" spans="2:15" x14ac:dyDescent="0.35">
      <c r="B36" s="25">
        <v>46126</v>
      </c>
      <c r="D36" s="25">
        <v>46126</v>
      </c>
      <c r="F36" s="25">
        <v>46139</v>
      </c>
      <c r="H36" s="25">
        <v>46132</v>
      </c>
      <c r="O36" s="25">
        <v>50890</v>
      </c>
    </row>
    <row r="37" spans="2:15" x14ac:dyDescent="0.35">
      <c r="B37" s="25">
        <v>46127</v>
      </c>
      <c r="D37" s="25">
        <v>46127</v>
      </c>
      <c r="F37" s="25">
        <v>46141</v>
      </c>
      <c r="H37" s="25">
        <v>46133</v>
      </c>
      <c r="O37" s="25">
        <v>51256</v>
      </c>
    </row>
    <row r="38" spans="2:15" x14ac:dyDescent="0.35">
      <c r="B38" s="25">
        <v>46128</v>
      </c>
      <c r="D38" s="25">
        <v>46128</v>
      </c>
      <c r="F38" s="25">
        <v>46143</v>
      </c>
      <c r="H38" s="25">
        <v>46134</v>
      </c>
      <c r="O38" s="25">
        <v>51621</v>
      </c>
    </row>
    <row r="39" spans="2:15" x14ac:dyDescent="0.35">
      <c r="B39" s="25">
        <v>46129</v>
      </c>
      <c r="D39" s="25">
        <v>46129</v>
      </c>
      <c r="F39" s="25">
        <v>46145</v>
      </c>
      <c r="H39" s="25">
        <v>46135</v>
      </c>
      <c r="O39" s="25">
        <v>51986</v>
      </c>
    </row>
    <row r="40" spans="2:15" x14ac:dyDescent="0.35">
      <c r="B40" s="25">
        <v>46130</v>
      </c>
      <c r="D40" s="25">
        <v>46130</v>
      </c>
      <c r="F40" s="25">
        <v>46147</v>
      </c>
      <c r="H40" s="25">
        <v>46136</v>
      </c>
      <c r="O40" s="25">
        <v>52351</v>
      </c>
    </row>
    <row r="41" spans="2:15" x14ac:dyDescent="0.35">
      <c r="B41" s="25">
        <v>46131</v>
      </c>
      <c r="D41" s="25">
        <v>46131</v>
      </c>
      <c r="F41" s="25">
        <v>46149</v>
      </c>
      <c r="H41" s="25">
        <v>46139</v>
      </c>
      <c r="O41" s="25">
        <v>52717</v>
      </c>
    </row>
    <row r="42" spans="2:15" x14ac:dyDescent="0.35">
      <c r="B42" s="25">
        <v>46132</v>
      </c>
      <c r="D42" s="25">
        <v>46132</v>
      </c>
      <c r="F42" s="25">
        <v>46151</v>
      </c>
      <c r="H42" s="25">
        <v>46140</v>
      </c>
      <c r="O42" s="25">
        <v>53082</v>
      </c>
    </row>
    <row r="43" spans="2:15" x14ac:dyDescent="0.35">
      <c r="B43" s="25">
        <v>46133</v>
      </c>
      <c r="D43" s="25">
        <v>46133</v>
      </c>
      <c r="F43" s="25">
        <v>46153</v>
      </c>
      <c r="H43" s="25">
        <v>46141</v>
      </c>
      <c r="O43" s="25">
        <v>53447</v>
      </c>
    </row>
    <row r="44" spans="2:15" x14ac:dyDescent="0.35">
      <c r="B44" s="25">
        <v>46134</v>
      </c>
      <c r="D44" s="25">
        <v>46134</v>
      </c>
      <c r="F44" s="25">
        <v>46155</v>
      </c>
      <c r="H44" s="25">
        <v>46142</v>
      </c>
      <c r="O44" s="25">
        <v>53812</v>
      </c>
    </row>
    <row r="45" spans="2:15" x14ac:dyDescent="0.35">
      <c r="B45" s="25">
        <v>46135</v>
      </c>
      <c r="D45" s="25">
        <v>46135</v>
      </c>
      <c r="F45" s="25">
        <v>46157</v>
      </c>
      <c r="H45" s="25">
        <v>46143</v>
      </c>
      <c r="O45" s="25">
        <v>54178</v>
      </c>
    </row>
    <row r="46" spans="2:15" x14ac:dyDescent="0.35">
      <c r="B46" s="25">
        <v>46136</v>
      </c>
      <c r="D46" s="25">
        <v>46136</v>
      </c>
      <c r="F46" s="25">
        <v>46159</v>
      </c>
      <c r="H46" s="25">
        <v>46146</v>
      </c>
      <c r="O46" s="25">
        <v>54543</v>
      </c>
    </row>
    <row r="47" spans="2:15" x14ac:dyDescent="0.35">
      <c r="B47" s="25">
        <v>46137</v>
      </c>
      <c r="D47" s="25">
        <v>46137</v>
      </c>
      <c r="F47" s="25">
        <v>46161</v>
      </c>
      <c r="H47" s="25">
        <v>46147</v>
      </c>
    </row>
    <row r="48" spans="2:15" x14ac:dyDescent="0.35">
      <c r="B48" s="25">
        <v>46138</v>
      </c>
      <c r="D48" s="25">
        <v>46138</v>
      </c>
      <c r="F48" s="25">
        <v>46163</v>
      </c>
      <c r="H48" s="25">
        <v>46148</v>
      </c>
    </row>
    <row r="49" spans="2:8" x14ac:dyDescent="0.35">
      <c r="B49" s="25">
        <v>46139</v>
      </c>
      <c r="D49" s="25">
        <v>46139</v>
      </c>
      <c r="F49" s="25">
        <v>46165</v>
      </c>
      <c r="H49" s="25">
        <v>46149</v>
      </c>
    </row>
    <row r="50" spans="2:8" x14ac:dyDescent="0.35">
      <c r="B50" s="25">
        <v>46140</v>
      </c>
      <c r="D50" s="25">
        <v>46140</v>
      </c>
      <c r="F50" s="25">
        <v>46167</v>
      </c>
      <c r="H50" s="25">
        <v>46150</v>
      </c>
    </row>
    <row r="51" spans="2:8" x14ac:dyDescent="0.35">
      <c r="B51" s="25">
        <v>46141</v>
      </c>
      <c r="D51" s="25">
        <v>46141</v>
      </c>
      <c r="F51" s="25">
        <v>46169</v>
      </c>
      <c r="H51" s="25">
        <v>46153</v>
      </c>
    </row>
    <row r="52" spans="2:8" x14ac:dyDescent="0.35">
      <c r="B52" s="25">
        <v>46142</v>
      </c>
      <c r="D52" s="25">
        <v>46142</v>
      </c>
      <c r="F52" s="25">
        <v>46171</v>
      </c>
      <c r="H52" s="25">
        <v>46154</v>
      </c>
    </row>
    <row r="53" spans="2:8" x14ac:dyDescent="0.35">
      <c r="B53" s="25">
        <v>46143</v>
      </c>
      <c r="D53" s="25">
        <v>46143</v>
      </c>
      <c r="F53" s="25">
        <v>46173</v>
      </c>
      <c r="H53" s="25">
        <v>46155</v>
      </c>
    </row>
    <row r="54" spans="2:8" x14ac:dyDescent="0.35">
      <c r="B54" s="25">
        <v>46144</v>
      </c>
      <c r="D54" s="25">
        <v>46144</v>
      </c>
      <c r="F54" s="25">
        <v>46175</v>
      </c>
      <c r="H54" s="25">
        <v>46156</v>
      </c>
    </row>
    <row r="55" spans="2:8" x14ac:dyDescent="0.35">
      <c r="B55" s="25">
        <v>46145</v>
      </c>
      <c r="D55" s="25">
        <v>46145</v>
      </c>
      <c r="F55" s="25">
        <v>46177</v>
      </c>
      <c r="H55" s="25">
        <v>46157</v>
      </c>
    </row>
    <row r="56" spans="2:8" x14ac:dyDescent="0.35">
      <c r="B56" s="25">
        <v>46146</v>
      </c>
      <c r="D56" s="25">
        <v>46146</v>
      </c>
      <c r="F56" s="25">
        <v>46179</v>
      </c>
      <c r="H56" s="25">
        <v>46160</v>
      </c>
    </row>
    <row r="57" spans="2:8" x14ac:dyDescent="0.35">
      <c r="B57" s="25">
        <v>46147</v>
      </c>
      <c r="D57" s="25">
        <v>46147</v>
      </c>
      <c r="F57" s="25">
        <v>46181</v>
      </c>
      <c r="H57" s="25">
        <v>46161</v>
      </c>
    </row>
    <row r="58" spans="2:8" x14ac:dyDescent="0.35">
      <c r="B58" s="25">
        <v>46148</v>
      </c>
      <c r="D58" s="25">
        <v>46148</v>
      </c>
      <c r="F58" s="25">
        <v>46183</v>
      </c>
      <c r="H58" s="25">
        <v>46162</v>
      </c>
    </row>
    <row r="59" spans="2:8" x14ac:dyDescent="0.35">
      <c r="B59" s="25">
        <v>46149</v>
      </c>
      <c r="D59" s="25">
        <v>46149</v>
      </c>
      <c r="F59" s="25">
        <v>46185</v>
      </c>
      <c r="H59" s="25">
        <v>46163</v>
      </c>
    </row>
    <row r="60" spans="2:8" x14ac:dyDescent="0.35">
      <c r="B60" s="25">
        <v>46150</v>
      </c>
      <c r="D60" s="25">
        <v>46150</v>
      </c>
      <c r="F60" s="25">
        <v>46187</v>
      </c>
      <c r="H60" s="25">
        <v>46164</v>
      </c>
    </row>
    <row r="61" spans="2:8" x14ac:dyDescent="0.35">
      <c r="B61" s="25">
        <v>46151</v>
      </c>
      <c r="D61" s="25">
        <v>46151</v>
      </c>
      <c r="F61" s="25">
        <v>46189</v>
      </c>
      <c r="H61" s="25">
        <v>46167</v>
      </c>
    </row>
    <row r="62" spans="2:8" x14ac:dyDescent="0.35">
      <c r="B62" s="25">
        <v>46152</v>
      </c>
      <c r="D62" s="25">
        <v>46152</v>
      </c>
      <c r="F62" s="25">
        <v>46191</v>
      </c>
      <c r="H62" s="25">
        <v>46168</v>
      </c>
    </row>
    <row r="63" spans="2:8" x14ac:dyDescent="0.35">
      <c r="B63" s="25">
        <v>46153</v>
      </c>
      <c r="D63" s="25">
        <v>46153</v>
      </c>
      <c r="F63" s="25">
        <v>46193</v>
      </c>
      <c r="H63" s="25">
        <v>46169</v>
      </c>
    </row>
    <row r="64" spans="2:8" x14ac:dyDescent="0.35">
      <c r="B64" s="25">
        <v>46154</v>
      </c>
      <c r="D64" s="25">
        <v>46154</v>
      </c>
      <c r="F64" s="25">
        <v>46195</v>
      </c>
      <c r="H64" s="25">
        <v>46170</v>
      </c>
    </row>
    <row r="65" spans="2:13" x14ac:dyDescent="0.35">
      <c r="B65" s="25">
        <v>46155</v>
      </c>
      <c r="D65" s="25">
        <v>46155</v>
      </c>
      <c r="F65" s="25">
        <v>46197</v>
      </c>
      <c r="H65" s="25">
        <v>46171</v>
      </c>
    </row>
    <row r="66" spans="2:13" x14ac:dyDescent="0.35">
      <c r="B66" s="25">
        <v>46156</v>
      </c>
      <c r="D66" s="25">
        <v>46156</v>
      </c>
      <c r="F66" s="25">
        <v>46199</v>
      </c>
      <c r="H66" s="25">
        <v>46174</v>
      </c>
    </row>
    <row r="67" spans="2:13" x14ac:dyDescent="0.35">
      <c r="B67" s="25">
        <v>46157</v>
      </c>
      <c r="D67" s="25">
        <v>46157</v>
      </c>
      <c r="F67" s="25">
        <v>46201</v>
      </c>
      <c r="H67" s="25">
        <v>46175</v>
      </c>
    </row>
    <row r="68" spans="2:13" x14ac:dyDescent="0.35">
      <c r="B68" s="25">
        <v>46158</v>
      </c>
      <c r="D68" s="25">
        <v>46158</v>
      </c>
      <c r="F68" s="25">
        <v>46203</v>
      </c>
      <c r="H68" s="25">
        <v>46176</v>
      </c>
    </row>
    <row r="69" spans="2:13" x14ac:dyDescent="0.35">
      <c r="B69" s="25">
        <v>46159</v>
      </c>
      <c r="D69" s="25">
        <v>46159</v>
      </c>
      <c r="F69" s="25">
        <v>46205</v>
      </c>
      <c r="H69" s="25">
        <v>46177</v>
      </c>
    </row>
    <row r="70" spans="2:13" x14ac:dyDescent="0.35">
      <c r="B70" s="25">
        <v>46160</v>
      </c>
      <c r="D70" s="25">
        <v>46160</v>
      </c>
      <c r="F70" s="25">
        <v>46207</v>
      </c>
      <c r="H70" s="25">
        <v>46178</v>
      </c>
    </row>
    <row r="71" spans="2:13" x14ac:dyDescent="0.35">
      <c r="B71" s="25">
        <v>46161</v>
      </c>
      <c r="D71" s="25">
        <v>46161</v>
      </c>
      <c r="F71" s="25">
        <v>46209</v>
      </c>
      <c r="H71" s="25">
        <v>46181</v>
      </c>
    </row>
    <row r="72" spans="2:13" x14ac:dyDescent="0.35">
      <c r="B72" s="25">
        <v>46162</v>
      </c>
      <c r="D72" s="25">
        <v>46162</v>
      </c>
      <c r="F72" s="25">
        <v>46211</v>
      </c>
      <c r="H72" s="25">
        <v>46182</v>
      </c>
    </row>
    <row r="73" spans="2:13" x14ac:dyDescent="0.35">
      <c r="B73" s="25">
        <v>46163</v>
      </c>
      <c r="D73" s="25">
        <v>46163</v>
      </c>
      <c r="F73" s="25">
        <v>46213</v>
      </c>
      <c r="H73" s="25">
        <v>46183</v>
      </c>
      <c r="K73" s="29">
        <v>46115</v>
      </c>
    </row>
    <row r="74" spans="2:13" x14ac:dyDescent="0.35">
      <c r="B74" s="25">
        <v>46164</v>
      </c>
      <c r="D74" s="25">
        <v>46164</v>
      </c>
      <c r="F74" s="25">
        <v>46215</v>
      </c>
      <c r="H74" s="25">
        <v>46184</v>
      </c>
      <c r="J74" s="29">
        <v>46115</v>
      </c>
      <c r="K74" s="29">
        <v>46115</v>
      </c>
      <c r="L74" s="29">
        <v>46115</v>
      </c>
      <c r="M74" t="s">
        <v>77</v>
      </c>
    </row>
    <row r="75" spans="2:13" x14ac:dyDescent="0.35">
      <c r="B75" s="25">
        <v>46165</v>
      </c>
      <c r="D75" s="25">
        <v>46165</v>
      </c>
      <c r="F75" s="25">
        <v>46217</v>
      </c>
      <c r="H75" s="25">
        <v>46185</v>
      </c>
      <c r="K75" s="29">
        <v>46115</v>
      </c>
    </row>
    <row r="76" spans="2:13" x14ac:dyDescent="0.35">
      <c r="B76" s="25">
        <v>46166</v>
      </c>
      <c r="D76" s="25">
        <v>46166</v>
      </c>
      <c r="F76" s="25">
        <v>46219</v>
      </c>
      <c r="H76" s="25">
        <v>46188</v>
      </c>
      <c r="K76" t="s">
        <v>76</v>
      </c>
    </row>
    <row r="77" spans="2:13" x14ac:dyDescent="0.35">
      <c r="B77" s="25">
        <v>46167</v>
      </c>
      <c r="D77" s="25">
        <v>46167</v>
      </c>
      <c r="F77" s="25">
        <v>46221</v>
      </c>
      <c r="H77" s="25">
        <v>46189</v>
      </c>
    </row>
    <row r="78" spans="2:13" x14ac:dyDescent="0.35">
      <c r="B78" s="25">
        <v>46168</v>
      </c>
      <c r="D78" s="25">
        <v>46168</v>
      </c>
      <c r="F78" s="25">
        <v>46223</v>
      </c>
      <c r="H78" s="25">
        <v>46190</v>
      </c>
    </row>
    <row r="79" spans="2:13" x14ac:dyDescent="0.35">
      <c r="B79" s="25">
        <v>46169</v>
      </c>
      <c r="D79" s="25">
        <v>46169</v>
      </c>
      <c r="F79" s="25">
        <v>46225</v>
      </c>
      <c r="H79" s="25">
        <v>46191</v>
      </c>
    </row>
    <row r="80" spans="2:13" x14ac:dyDescent="0.35">
      <c r="B80" s="25">
        <v>46170</v>
      </c>
      <c r="D80" s="25">
        <v>46170</v>
      </c>
      <c r="F80" s="25">
        <v>46227</v>
      </c>
      <c r="H80" s="25">
        <v>46192</v>
      </c>
    </row>
    <row r="81" spans="2:8" x14ac:dyDescent="0.35">
      <c r="B81" s="25">
        <v>46171</v>
      </c>
      <c r="D81" s="25">
        <v>46171</v>
      </c>
      <c r="F81" s="25">
        <v>46229</v>
      </c>
      <c r="H81" s="25">
        <v>46195</v>
      </c>
    </row>
    <row r="82" spans="2:8" x14ac:dyDescent="0.35">
      <c r="B82" s="25">
        <v>46172</v>
      </c>
      <c r="D82" s="25">
        <v>46172</v>
      </c>
      <c r="F82" s="25">
        <v>46231</v>
      </c>
      <c r="H82" s="25">
        <v>46196</v>
      </c>
    </row>
    <row r="83" spans="2:8" x14ac:dyDescent="0.35">
      <c r="B83" s="25">
        <v>46173</v>
      </c>
      <c r="D83" s="25">
        <v>46173</v>
      </c>
      <c r="F83" s="25">
        <v>46233</v>
      </c>
      <c r="H83" s="25">
        <v>46197</v>
      </c>
    </row>
    <row r="84" spans="2:8" x14ac:dyDescent="0.35">
      <c r="B84" s="25">
        <v>46174</v>
      </c>
      <c r="D84" s="25">
        <v>46174</v>
      </c>
      <c r="F84" s="25">
        <v>46235</v>
      </c>
      <c r="H84" s="25">
        <v>46198</v>
      </c>
    </row>
    <row r="85" spans="2:8" x14ac:dyDescent="0.35">
      <c r="B85" s="25">
        <v>46175</v>
      </c>
      <c r="D85" s="25">
        <v>46175</v>
      </c>
      <c r="F85" s="25">
        <v>46237</v>
      </c>
      <c r="H85" s="25">
        <v>46199</v>
      </c>
    </row>
    <row r="86" spans="2:8" x14ac:dyDescent="0.35">
      <c r="B86" s="25">
        <v>46176</v>
      </c>
      <c r="D86" s="25">
        <v>46176</v>
      </c>
      <c r="F86" s="25">
        <v>46239</v>
      </c>
      <c r="H86" s="25">
        <v>46202</v>
      </c>
    </row>
    <row r="87" spans="2:8" x14ac:dyDescent="0.35">
      <c r="B87" s="25">
        <v>46177</v>
      </c>
      <c r="D87" s="25">
        <v>46177</v>
      </c>
      <c r="F87" s="25">
        <v>46241</v>
      </c>
      <c r="H87" s="25">
        <v>46203</v>
      </c>
    </row>
    <row r="88" spans="2:8" x14ac:dyDescent="0.35">
      <c r="B88" s="25">
        <v>46178</v>
      </c>
      <c r="D88" s="25">
        <v>46178</v>
      </c>
      <c r="F88" s="25">
        <v>46243</v>
      </c>
      <c r="H88" s="25">
        <v>46204</v>
      </c>
    </row>
    <row r="89" spans="2:8" x14ac:dyDescent="0.35">
      <c r="B89" s="25">
        <v>46179</v>
      </c>
      <c r="D89" s="25">
        <v>46179</v>
      </c>
      <c r="F89" s="25">
        <v>46245</v>
      </c>
      <c r="H89" s="25">
        <v>46205</v>
      </c>
    </row>
    <row r="90" spans="2:8" x14ac:dyDescent="0.35">
      <c r="B90" s="25">
        <v>46180</v>
      </c>
      <c r="D90" s="25">
        <v>46180</v>
      </c>
      <c r="F90" s="25">
        <v>46247</v>
      </c>
      <c r="H90" s="25">
        <v>46206</v>
      </c>
    </row>
    <row r="91" spans="2:8" x14ac:dyDescent="0.35">
      <c r="B91" s="25">
        <v>46181</v>
      </c>
      <c r="D91" s="25">
        <v>46181</v>
      </c>
      <c r="F91" s="25">
        <v>46249</v>
      </c>
      <c r="H91" s="25">
        <v>46209</v>
      </c>
    </row>
    <row r="92" spans="2:8" x14ac:dyDescent="0.35">
      <c r="B92" s="25">
        <v>46182</v>
      </c>
      <c r="D92" s="25">
        <v>46182</v>
      </c>
      <c r="F92" s="25">
        <v>46251</v>
      </c>
      <c r="H92" s="25">
        <v>46210</v>
      </c>
    </row>
    <row r="93" spans="2:8" x14ac:dyDescent="0.35">
      <c r="B93" s="25">
        <v>46183</v>
      </c>
      <c r="D93" s="25">
        <v>46183</v>
      </c>
      <c r="F93" s="25">
        <v>46253</v>
      </c>
      <c r="H93" s="25">
        <v>46211</v>
      </c>
    </row>
    <row r="94" spans="2:8" x14ac:dyDescent="0.35">
      <c r="B94" s="25">
        <v>46184</v>
      </c>
      <c r="D94" s="25">
        <v>46184</v>
      </c>
      <c r="F94" s="25">
        <v>46255</v>
      </c>
      <c r="H94" s="25">
        <v>46212</v>
      </c>
    </row>
    <row r="95" spans="2:8" x14ac:dyDescent="0.35">
      <c r="B95" s="25">
        <v>46185</v>
      </c>
      <c r="D95" s="25">
        <v>46185</v>
      </c>
      <c r="F95" s="25">
        <v>46257</v>
      </c>
      <c r="H95" s="25">
        <v>46213</v>
      </c>
    </row>
    <row r="96" spans="2:8" x14ac:dyDescent="0.35">
      <c r="B96" s="25">
        <v>46186</v>
      </c>
      <c r="D96" s="25">
        <v>46186</v>
      </c>
      <c r="F96" s="25">
        <v>46259</v>
      </c>
      <c r="H96" s="25">
        <v>46216</v>
      </c>
    </row>
    <row r="97" spans="2:8" x14ac:dyDescent="0.35">
      <c r="B97" s="25">
        <v>46187</v>
      </c>
      <c r="D97" s="25">
        <v>46187</v>
      </c>
      <c r="F97" s="25">
        <v>46261</v>
      </c>
      <c r="H97" s="25">
        <v>46217</v>
      </c>
    </row>
    <row r="98" spans="2:8" x14ac:dyDescent="0.35">
      <c r="B98" s="25">
        <v>46188</v>
      </c>
      <c r="D98" s="25">
        <v>46188</v>
      </c>
      <c r="F98" s="25">
        <v>46263</v>
      </c>
      <c r="H98" s="25">
        <v>46218</v>
      </c>
    </row>
    <row r="99" spans="2:8" x14ac:dyDescent="0.35">
      <c r="B99" s="25">
        <v>46189</v>
      </c>
      <c r="D99" s="25">
        <v>46189</v>
      </c>
      <c r="F99" s="25">
        <v>46265</v>
      </c>
      <c r="H99" s="25">
        <v>46219</v>
      </c>
    </row>
    <row r="100" spans="2:8" x14ac:dyDescent="0.35">
      <c r="B100" s="25">
        <v>46190</v>
      </c>
      <c r="D100" s="25">
        <v>46190</v>
      </c>
      <c r="F100" s="25">
        <v>46267</v>
      </c>
      <c r="H100" s="25">
        <v>46220</v>
      </c>
    </row>
    <row r="101" spans="2:8" x14ac:dyDescent="0.35">
      <c r="B101" s="25">
        <v>46191</v>
      </c>
      <c r="D101" s="25">
        <v>46191</v>
      </c>
      <c r="F101" s="25">
        <v>46269</v>
      </c>
      <c r="H101" s="25">
        <v>46223</v>
      </c>
    </row>
    <row r="102" spans="2:8" x14ac:dyDescent="0.35">
      <c r="B102" s="25">
        <v>46192</v>
      </c>
      <c r="D102" s="25">
        <v>46192</v>
      </c>
      <c r="F102" s="25">
        <v>46271</v>
      </c>
      <c r="H102" s="25">
        <v>46224</v>
      </c>
    </row>
    <row r="103" spans="2:8" x14ac:dyDescent="0.35">
      <c r="B103" s="25">
        <v>46193</v>
      </c>
      <c r="D103" s="25">
        <v>46193</v>
      </c>
      <c r="F103" s="25">
        <v>46273</v>
      </c>
      <c r="H103" s="25">
        <v>46225</v>
      </c>
    </row>
    <row r="104" spans="2:8" x14ac:dyDescent="0.35">
      <c r="B104" s="25">
        <v>46194</v>
      </c>
      <c r="D104" s="25">
        <v>46194</v>
      </c>
      <c r="F104" s="25">
        <v>46275</v>
      </c>
      <c r="H104" s="25">
        <v>46226</v>
      </c>
    </row>
    <row r="105" spans="2:8" x14ac:dyDescent="0.35">
      <c r="B105" s="25">
        <v>46195</v>
      </c>
      <c r="D105" s="25">
        <v>46195</v>
      </c>
      <c r="F105" s="25">
        <v>46277</v>
      </c>
      <c r="H105" s="25">
        <v>46227</v>
      </c>
    </row>
    <row r="106" spans="2:8" x14ac:dyDescent="0.35">
      <c r="B106" s="25">
        <v>46196</v>
      </c>
      <c r="D106" s="25">
        <v>46196</v>
      </c>
      <c r="F106" s="25">
        <v>46279</v>
      </c>
      <c r="H106" s="25">
        <v>46230</v>
      </c>
    </row>
    <row r="107" spans="2:8" x14ac:dyDescent="0.35">
      <c r="B107" s="25">
        <v>46197</v>
      </c>
      <c r="D107" s="25">
        <v>46197</v>
      </c>
      <c r="F107" s="25">
        <v>46281</v>
      </c>
      <c r="H107" s="25">
        <v>46231</v>
      </c>
    </row>
    <row r="108" spans="2:8" x14ac:dyDescent="0.35">
      <c r="B108" s="25">
        <v>46198</v>
      </c>
      <c r="D108" s="25">
        <v>46198</v>
      </c>
      <c r="F108" s="25">
        <v>46283</v>
      </c>
      <c r="H108" s="25">
        <v>46232</v>
      </c>
    </row>
    <row r="109" spans="2:8" x14ac:dyDescent="0.35">
      <c r="B109" s="25">
        <v>46199</v>
      </c>
      <c r="D109" s="25">
        <v>46199</v>
      </c>
      <c r="F109" s="25">
        <v>46285</v>
      </c>
      <c r="H109" s="25">
        <v>46233</v>
      </c>
    </row>
    <row r="110" spans="2:8" x14ac:dyDescent="0.35">
      <c r="B110" s="25">
        <v>46200</v>
      </c>
      <c r="D110" s="25">
        <v>46200</v>
      </c>
      <c r="F110" s="25">
        <v>46287</v>
      </c>
      <c r="H110" s="25">
        <v>46234</v>
      </c>
    </row>
    <row r="111" spans="2:8" x14ac:dyDescent="0.35">
      <c r="B111" s="25">
        <v>46201</v>
      </c>
      <c r="D111" s="25">
        <v>46201</v>
      </c>
      <c r="F111" s="25">
        <v>46289</v>
      </c>
      <c r="H111" s="25">
        <v>46237</v>
      </c>
    </row>
    <row r="112" spans="2:8" x14ac:dyDescent="0.35">
      <c r="B112" s="25">
        <v>46202</v>
      </c>
      <c r="D112" s="25">
        <v>46202</v>
      </c>
      <c r="F112" s="25">
        <v>46291</v>
      </c>
      <c r="H112" s="25">
        <v>46238</v>
      </c>
    </row>
    <row r="113" spans="2:8" x14ac:dyDescent="0.35">
      <c r="B113" s="25">
        <v>46203</v>
      </c>
      <c r="D113" s="25">
        <v>46203</v>
      </c>
      <c r="F113" s="25">
        <v>46293</v>
      </c>
      <c r="H113" s="25">
        <v>46239</v>
      </c>
    </row>
    <row r="114" spans="2:8" x14ac:dyDescent="0.35">
      <c r="B114" s="25">
        <v>46204</v>
      </c>
      <c r="D114" s="25">
        <v>46204</v>
      </c>
      <c r="F114" s="25">
        <v>46295</v>
      </c>
      <c r="H114" s="25">
        <v>46240</v>
      </c>
    </row>
    <row r="115" spans="2:8" x14ac:dyDescent="0.35">
      <c r="B115" s="25">
        <v>46205</v>
      </c>
      <c r="D115" s="25">
        <v>46205</v>
      </c>
      <c r="F115" s="25">
        <v>46297</v>
      </c>
      <c r="H115" s="25">
        <v>46241</v>
      </c>
    </row>
    <row r="116" spans="2:8" x14ac:dyDescent="0.35">
      <c r="B116" s="25">
        <v>46206</v>
      </c>
      <c r="D116" s="25">
        <v>46206</v>
      </c>
      <c r="F116" s="25">
        <v>46299</v>
      </c>
      <c r="H116" s="25">
        <v>46244</v>
      </c>
    </row>
    <row r="117" spans="2:8" x14ac:dyDescent="0.35">
      <c r="B117" s="25">
        <v>46207</v>
      </c>
      <c r="D117" s="25">
        <v>46207</v>
      </c>
      <c r="F117" s="25">
        <v>46301</v>
      </c>
      <c r="H117" s="25">
        <v>46245</v>
      </c>
    </row>
    <row r="118" spans="2:8" x14ac:dyDescent="0.35">
      <c r="B118" s="25">
        <v>46208</v>
      </c>
      <c r="D118" s="25">
        <v>46208</v>
      </c>
      <c r="F118" s="25">
        <v>46303</v>
      </c>
      <c r="H118" s="25">
        <v>46246</v>
      </c>
    </row>
    <row r="119" spans="2:8" x14ac:dyDescent="0.35">
      <c r="B119" s="25">
        <v>46209</v>
      </c>
      <c r="D119" s="25">
        <v>46209</v>
      </c>
      <c r="F119" s="25">
        <v>46305</v>
      </c>
      <c r="H119" s="25">
        <v>46247</v>
      </c>
    </row>
    <row r="120" spans="2:8" x14ac:dyDescent="0.35">
      <c r="B120" s="25">
        <v>46210</v>
      </c>
      <c r="D120" s="25">
        <v>46210</v>
      </c>
      <c r="F120" s="25">
        <v>46307</v>
      </c>
      <c r="H120" s="25">
        <v>46248</v>
      </c>
    </row>
    <row r="121" spans="2:8" x14ac:dyDescent="0.35">
      <c r="B121" s="25">
        <v>46211</v>
      </c>
      <c r="D121" s="25">
        <v>46211</v>
      </c>
      <c r="F121" s="25">
        <v>46309</v>
      </c>
      <c r="H121" s="25">
        <v>46251</v>
      </c>
    </row>
    <row r="122" spans="2:8" x14ac:dyDescent="0.35">
      <c r="B122" s="25">
        <v>46212</v>
      </c>
      <c r="D122" s="25">
        <v>46212</v>
      </c>
      <c r="F122" s="25">
        <v>46311</v>
      </c>
      <c r="H122" s="25">
        <v>46252</v>
      </c>
    </row>
    <row r="123" spans="2:8" x14ac:dyDescent="0.35">
      <c r="B123" s="25">
        <v>46213</v>
      </c>
      <c r="D123" s="25">
        <v>46213</v>
      </c>
      <c r="F123" s="25">
        <v>46313</v>
      </c>
      <c r="H123" s="25">
        <v>46253</v>
      </c>
    </row>
    <row r="124" spans="2:8" x14ac:dyDescent="0.35">
      <c r="B124" s="25">
        <v>46214</v>
      </c>
      <c r="D124" s="25">
        <v>46214</v>
      </c>
      <c r="F124" s="25">
        <v>46315</v>
      </c>
      <c r="H124" s="25">
        <v>46254</v>
      </c>
    </row>
    <row r="125" spans="2:8" x14ac:dyDescent="0.35">
      <c r="B125" s="25">
        <v>46215</v>
      </c>
      <c r="D125" s="25">
        <v>46215</v>
      </c>
      <c r="F125" s="25">
        <v>46317</v>
      </c>
      <c r="H125" s="25">
        <v>46255</v>
      </c>
    </row>
    <row r="126" spans="2:8" x14ac:dyDescent="0.35">
      <c r="B126" s="25">
        <v>46216</v>
      </c>
      <c r="D126" s="25">
        <v>46216</v>
      </c>
      <c r="F126" s="25">
        <v>46319</v>
      </c>
      <c r="H126" s="25">
        <v>46258</v>
      </c>
    </row>
    <row r="127" spans="2:8" x14ac:dyDescent="0.35">
      <c r="B127" s="25">
        <v>46217</v>
      </c>
      <c r="D127" s="25">
        <v>46217</v>
      </c>
      <c r="F127" s="25">
        <v>46321</v>
      </c>
      <c r="H127" s="25">
        <v>46259</v>
      </c>
    </row>
    <row r="128" spans="2:8" x14ac:dyDescent="0.35">
      <c r="B128" s="25">
        <v>46218</v>
      </c>
      <c r="D128" s="25">
        <v>46218</v>
      </c>
      <c r="F128" s="25">
        <v>46323</v>
      </c>
      <c r="H128" s="25">
        <v>46260</v>
      </c>
    </row>
    <row r="129" spans="2:8" x14ac:dyDescent="0.35">
      <c r="B129" s="25">
        <v>46219</v>
      </c>
      <c r="D129" s="25">
        <v>46219</v>
      </c>
      <c r="F129" s="25">
        <v>46325</v>
      </c>
      <c r="H129" s="25">
        <v>46261</v>
      </c>
    </row>
    <row r="130" spans="2:8" x14ac:dyDescent="0.35">
      <c r="B130" s="25">
        <v>46220</v>
      </c>
      <c r="D130" s="25">
        <v>46220</v>
      </c>
      <c r="F130" s="25">
        <v>46327</v>
      </c>
      <c r="H130" s="25">
        <v>46262</v>
      </c>
    </row>
    <row r="131" spans="2:8" x14ac:dyDescent="0.35">
      <c r="B131" s="25">
        <v>46221</v>
      </c>
      <c r="D131" s="25">
        <v>46221</v>
      </c>
      <c r="F131" s="25">
        <v>46329</v>
      </c>
      <c r="H131" s="25">
        <v>46265</v>
      </c>
    </row>
    <row r="132" spans="2:8" x14ac:dyDescent="0.35">
      <c r="B132" s="25">
        <v>46222</v>
      </c>
      <c r="D132" s="25">
        <v>46222</v>
      </c>
      <c r="F132" s="25">
        <v>46331</v>
      </c>
      <c r="H132" s="25">
        <v>46266</v>
      </c>
    </row>
    <row r="133" spans="2:8" x14ac:dyDescent="0.35">
      <c r="B133" s="25">
        <v>46223</v>
      </c>
      <c r="D133" s="25">
        <v>46223</v>
      </c>
      <c r="F133" s="25">
        <v>46333</v>
      </c>
      <c r="H133" s="25">
        <v>46267</v>
      </c>
    </row>
    <row r="134" spans="2:8" x14ac:dyDescent="0.35">
      <c r="B134" s="25">
        <v>46224</v>
      </c>
      <c r="D134" s="25">
        <v>46224</v>
      </c>
      <c r="F134" s="25">
        <v>46335</v>
      </c>
      <c r="H134" s="25">
        <v>46268</v>
      </c>
    </row>
    <row r="135" spans="2:8" x14ac:dyDescent="0.35">
      <c r="B135" s="25">
        <v>46225</v>
      </c>
      <c r="D135" s="25">
        <v>46225</v>
      </c>
      <c r="F135" s="25">
        <v>46337</v>
      </c>
      <c r="H135" s="25">
        <v>46269</v>
      </c>
    </row>
    <row r="136" spans="2:8" x14ac:dyDescent="0.35">
      <c r="B136" s="25">
        <v>46226</v>
      </c>
      <c r="D136" s="25">
        <v>46226</v>
      </c>
      <c r="F136" s="25">
        <v>46339</v>
      </c>
      <c r="H136" s="25">
        <v>46272</v>
      </c>
    </row>
    <row r="137" spans="2:8" x14ac:dyDescent="0.35">
      <c r="B137" s="25">
        <v>46227</v>
      </c>
      <c r="D137" s="25">
        <v>46227</v>
      </c>
      <c r="F137" s="25">
        <v>46341</v>
      </c>
      <c r="H137" s="25">
        <v>46273</v>
      </c>
    </row>
    <row r="138" spans="2:8" x14ac:dyDescent="0.35">
      <c r="B138" s="25">
        <v>46228</v>
      </c>
      <c r="D138" s="25">
        <v>46228</v>
      </c>
      <c r="F138" s="25">
        <v>46343</v>
      </c>
      <c r="H138" s="25">
        <v>46274</v>
      </c>
    </row>
    <row r="139" spans="2:8" x14ac:dyDescent="0.35">
      <c r="B139" s="25">
        <v>46229</v>
      </c>
      <c r="D139" s="25">
        <v>46229</v>
      </c>
      <c r="F139" s="25">
        <v>46345</v>
      </c>
      <c r="H139" s="25">
        <v>46275</v>
      </c>
    </row>
    <row r="140" spans="2:8" x14ac:dyDescent="0.35">
      <c r="B140" s="25">
        <v>46230</v>
      </c>
      <c r="D140" s="25">
        <v>46230</v>
      </c>
      <c r="F140" s="25">
        <v>46347</v>
      </c>
      <c r="H140" s="25">
        <v>46276</v>
      </c>
    </row>
    <row r="141" spans="2:8" x14ac:dyDescent="0.35">
      <c r="B141" s="25">
        <v>46231</v>
      </c>
      <c r="D141" s="25">
        <v>46231</v>
      </c>
      <c r="F141" s="25">
        <v>46349</v>
      </c>
      <c r="H141" s="25">
        <v>46279</v>
      </c>
    </row>
    <row r="142" spans="2:8" x14ac:dyDescent="0.35">
      <c r="B142" s="25">
        <v>46232</v>
      </c>
      <c r="D142" s="25">
        <v>46232</v>
      </c>
      <c r="F142" s="25">
        <v>46351</v>
      </c>
      <c r="H142" s="25">
        <v>46280</v>
      </c>
    </row>
    <row r="143" spans="2:8" x14ac:dyDescent="0.35">
      <c r="B143" s="25">
        <v>46233</v>
      </c>
      <c r="D143" s="25">
        <v>46233</v>
      </c>
      <c r="F143" s="25">
        <v>46353</v>
      </c>
      <c r="H143" s="25">
        <v>46281</v>
      </c>
    </row>
    <row r="144" spans="2:8" x14ac:dyDescent="0.35">
      <c r="B144" s="25">
        <v>46234</v>
      </c>
      <c r="D144" s="25">
        <v>46234</v>
      </c>
      <c r="F144" s="25">
        <v>46355</v>
      </c>
      <c r="H144" s="25">
        <v>46282</v>
      </c>
    </row>
    <row r="145" spans="2:8" x14ac:dyDescent="0.35">
      <c r="B145" s="25">
        <v>46235</v>
      </c>
      <c r="D145" s="25">
        <v>46235</v>
      </c>
      <c r="F145" s="25">
        <v>46357</v>
      </c>
      <c r="H145" s="25">
        <v>46283</v>
      </c>
    </row>
    <row r="146" spans="2:8" x14ac:dyDescent="0.35">
      <c r="B146" s="25">
        <v>46236</v>
      </c>
      <c r="D146" s="25">
        <v>46236</v>
      </c>
      <c r="F146" s="25">
        <v>46359</v>
      </c>
      <c r="H146" s="25">
        <v>46286</v>
      </c>
    </row>
    <row r="147" spans="2:8" x14ac:dyDescent="0.35">
      <c r="B147" s="25">
        <v>46237</v>
      </c>
      <c r="D147" s="25">
        <v>46237</v>
      </c>
      <c r="F147" s="25">
        <v>46361</v>
      </c>
      <c r="H147" s="25">
        <v>46287</v>
      </c>
    </row>
    <row r="148" spans="2:8" x14ac:dyDescent="0.35">
      <c r="B148" s="25">
        <v>46238</v>
      </c>
      <c r="D148" s="25">
        <v>46238</v>
      </c>
      <c r="F148" s="25">
        <v>46363</v>
      </c>
      <c r="H148" s="25">
        <v>46288</v>
      </c>
    </row>
    <row r="149" spans="2:8" x14ac:dyDescent="0.35">
      <c r="B149" s="25">
        <v>46239</v>
      </c>
      <c r="D149" s="25">
        <v>46239</v>
      </c>
      <c r="F149" s="25">
        <v>46365</v>
      </c>
      <c r="H149" s="25">
        <v>46289</v>
      </c>
    </row>
    <row r="150" spans="2:8" x14ac:dyDescent="0.35">
      <c r="B150" s="25">
        <v>46240</v>
      </c>
      <c r="D150" s="25">
        <v>46240</v>
      </c>
      <c r="F150" s="25">
        <v>46367</v>
      </c>
      <c r="H150" s="25">
        <v>46290</v>
      </c>
    </row>
    <row r="151" spans="2:8" x14ac:dyDescent="0.35">
      <c r="B151" s="25">
        <v>46241</v>
      </c>
      <c r="D151" s="25">
        <v>46241</v>
      </c>
      <c r="F151" s="25">
        <v>46369</v>
      </c>
      <c r="H151" s="25">
        <v>46293</v>
      </c>
    </row>
    <row r="152" spans="2:8" x14ac:dyDescent="0.35">
      <c r="B152" s="25">
        <v>46242</v>
      </c>
      <c r="D152" s="25">
        <v>46242</v>
      </c>
      <c r="F152" s="25">
        <v>46371</v>
      </c>
      <c r="H152" s="25">
        <v>46294</v>
      </c>
    </row>
    <row r="153" spans="2:8" x14ac:dyDescent="0.35">
      <c r="B153" s="25">
        <v>46243</v>
      </c>
      <c r="D153" s="25">
        <v>46243</v>
      </c>
      <c r="F153" s="25">
        <v>46373</v>
      </c>
      <c r="H153" s="25">
        <v>46295</v>
      </c>
    </row>
    <row r="154" spans="2:8" x14ac:dyDescent="0.35">
      <c r="B154" s="25">
        <v>46244</v>
      </c>
      <c r="D154" s="25">
        <v>46244</v>
      </c>
      <c r="F154" s="25">
        <v>46375</v>
      </c>
      <c r="H154" s="25">
        <v>46296</v>
      </c>
    </row>
    <row r="155" spans="2:8" x14ac:dyDescent="0.35">
      <c r="B155" s="25">
        <v>46245</v>
      </c>
      <c r="D155" s="25">
        <v>46245</v>
      </c>
      <c r="F155" s="25">
        <v>46377</v>
      </c>
      <c r="H155" s="25">
        <v>46297</v>
      </c>
    </row>
    <row r="156" spans="2:8" x14ac:dyDescent="0.35">
      <c r="B156" s="25">
        <v>46246</v>
      </c>
      <c r="D156" s="25">
        <v>46246</v>
      </c>
      <c r="F156" s="25">
        <v>46379</v>
      </c>
      <c r="H156" s="25">
        <v>46300</v>
      </c>
    </row>
    <row r="157" spans="2:8" x14ac:dyDescent="0.35">
      <c r="B157" s="25">
        <v>46247</v>
      </c>
      <c r="D157" s="25">
        <v>46247</v>
      </c>
      <c r="F157" s="25">
        <v>46381</v>
      </c>
      <c r="H157" s="25">
        <v>46301</v>
      </c>
    </row>
    <row r="158" spans="2:8" x14ac:dyDescent="0.35">
      <c r="B158" s="25">
        <v>46248</v>
      </c>
      <c r="D158" s="25">
        <v>46248</v>
      </c>
      <c r="F158" s="25">
        <v>46383</v>
      </c>
      <c r="H158" s="25">
        <v>46302</v>
      </c>
    </row>
    <row r="159" spans="2:8" x14ac:dyDescent="0.35">
      <c r="B159" s="25">
        <v>46249</v>
      </c>
      <c r="D159" s="25">
        <v>46249</v>
      </c>
      <c r="F159" s="25">
        <v>46385</v>
      </c>
      <c r="H159" s="25">
        <v>46303</v>
      </c>
    </row>
    <row r="160" spans="2:8" x14ac:dyDescent="0.35">
      <c r="B160" s="25">
        <v>46250</v>
      </c>
      <c r="D160" s="25">
        <v>46250</v>
      </c>
      <c r="F160" s="25">
        <v>46387</v>
      </c>
      <c r="H160" s="25">
        <v>46304</v>
      </c>
    </row>
    <row r="161" spans="2:8" x14ac:dyDescent="0.35">
      <c r="B161" s="25">
        <v>46251</v>
      </c>
      <c r="D161" s="25">
        <v>46251</v>
      </c>
      <c r="F161" s="25">
        <v>46389</v>
      </c>
      <c r="H161" s="25">
        <v>46307</v>
      </c>
    </row>
    <row r="162" spans="2:8" x14ac:dyDescent="0.35">
      <c r="B162" s="25">
        <v>46252</v>
      </c>
      <c r="D162" s="25">
        <v>46252</v>
      </c>
      <c r="F162" s="25">
        <v>46391</v>
      </c>
      <c r="H162" s="25">
        <v>46308</v>
      </c>
    </row>
    <row r="163" spans="2:8" x14ac:dyDescent="0.35">
      <c r="B163" s="25">
        <v>46253</v>
      </c>
      <c r="D163" s="25">
        <v>46253</v>
      </c>
      <c r="F163" s="25">
        <v>46393</v>
      </c>
      <c r="H163" s="25">
        <v>46309</v>
      </c>
    </row>
    <row r="164" spans="2:8" x14ac:dyDescent="0.35">
      <c r="B164" s="25">
        <v>46254</v>
      </c>
      <c r="D164" s="25">
        <v>46254</v>
      </c>
      <c r="F164" s="25">
        <v>46395</v>
      </c>
      <c r="H164" s="25">
        <v>46310</v>
      </c>
    </row>
    <row r="165" spans="2:8" x14ac:dyDescent="0.35">
      <c r="B165" s="25">
        <v>46255</v>
      </c>
      <c r="D165" s="25">
        <v>46255</v>
      </c>
      <c r="F165" s="25">
        <v>46397</v>
      </c>
      <c r="H165" s="25">
        <v>46311</v>
      </c>
    </row>
    <row r="166" spans="2:8" x14ac:dyDescent="0.35">
      <c r="B166" s="25">
        <v>46256</v>
      </c>
      <c r="D166" s="25">
        <v>46256</v>
      </c>
      <c r="F166" s="25">
        <v>46399</v>
      </c>
      <c r="H166" s="25">
        <v>46314</v>
      </c>
    </row>
    <row r="167" spans="2:8" x14ac:dyDescent="0.35">
      <c r="B167" s="25">
        <v>46257</v>
      </c>
      <c r="D167" s="25">
        <v>46257</v>
      </c>
      <c r="F167" s="25">
        <v>46401</v>
      </c>
      <c r="H167" s="25">
        <v>46315</v>
      </c>
    </row>
    <row r="168" spans="2:8" x14ac:dyDescent="0.35">
      <c r="B168" s="25">
        <v>46258</v>
      </c>
      <c r="D168" s="25">
        <v>46258</v>
      </c>
      <c r="F168" s="25">
        <v>46403</v>
      </c>
      <c r="H168" s="25">
        <v>46316</v>
      </c>
    </row>
    <row r="169" spans="2:8" x14ac:dyDescent="0.35">
      <c r="B169" s="25">
        <v>46259</v>
      </c>
      <c r="D169" s="25">
        <v>46259</v>
      </c>
      <c r="F169" s="25">
        <v>46405</v>
      </c>
      <c r="H169" s="25">
        <v>46317</v>
      </c>
    </row>
    <row r="170" spans="2:8" x14ac:dyDescent="0.35">
      <c r="B170" s="25">
        <v>46260</v>
      </c>
      <c r="D170" s="25">
        <v>46260</v>
      </c>
      <c r="F170" s="25">
        <v>46407</v>
      </c>
      <c r="H170" s="25">
        <v>46318</v>
      </c>
    </row>
    <row r="171" spans="2:8" x14ac:dyDescent="0.35">
      <c r="B171" s="25">
        <v>46261</v>
      </c>
      <c r="D171" s="25">
        <v>46261</v>
      </c>
      <c r="F171" s="25">
        <v>46409</v>
      </c>
      <c r="H171" s="25">
        <v>46321</v>
      </c>
    </row>
    <row r="172" spans="2:8" x14ac:dyDescent="0.35">
      <c r="B172" s="25">
        <v>46262</v>
      </c>
      <c r="D172" s="25">
        <v>46262</v>
      </c>
      <c r="F172" s="25">
        <v>46411</v>
      </c>
      <c r="H172" s="25">
        <v>46322</v>
      </c>
    </row>
    <row r="173" spans="2:8" x14ac:dyDescent="0.35">
      <c r="B173" s="25">
        <v>46263</v>
      </c>
      <c r="D173" s="25">
        <v>46263</v>
      </c>
      <c r="F173" s="25">
        <v>46413</v>
      </c>
      <c r="H173" s="25">
        <v>46323</v>
      </c>
    </row>
    <row r="174" spans="2:8" x14ac:dyDescent="0.35">
      <c r="B174" s="25">
        <v>46264</v>
      </c>
      <c r="D174" s="25">
        <v>46264</v>
      </c>
      <c r="F174" s="25">
        <v>46415</v>
      </c>
      <c r="H174" s="25">
        <v>46324</v>
      </c>
    </row>
    <row r="175" spans="2:8" x14ac:dyDescent="0.35">
      <c r="B175" s="25">
        <v>46265</v>
      </c>
      <c r="D175" s="25">
        <v>46265</v>
      </c>
      <c r="F175" s="25">
        <v>46417</v>
      </c>
      <c r="H175" s="25">
        <v>46325</v>
      </c>
    </row>
    <row r="176" spans="2:8" x14ac:dyDescent="0.35">
      <c r="B176" s="25">
        <v>46266</v>
      </c>
      <c r="D176" s="25">
        <v>46266</v>
      </c>
      <c r="F176" s="25">
        <v>46419</v>
      </c>
      <c r="H176" s="25">
        <v>46328</v>
      </c>
    </row>
    <row r="177" spans="2:8" x14ac:dyDescent="0.35">
      <c r="B177" s="25">
        <v>46267</v>
      </c>
      <c r="D177" s="25">
        <v>46267</v>
      </c>
      <c r="F177" s="25">
        <v>46421</v>
      </c>
      <c r="H177" s="25">
        <v>46329</v>
      </c>
    </row>
    <row r="178" spans="2:8" x14ac:dyDescent="0.35">
      <c r="B178" s="25">
        <v>46268</v>
      </c>
      <c r="D178" s="25">
        <v>46268</v>
      </c>
      <c r="F178" s="25">
        <v>46423</v>
      </c>
      <c r="H178" s="25">
        <v>46330</v>
      </c>
    </row>
    <row r="179" spans="2:8" x14ac:dyDescent="0.35">
      <c r="B179" s="25">
        <v>46269</v>
      </c>
      <c r="D179" s="25">
        <v>46269</v>
      </c>
      <c r="F179" s="25">
        <v>46425</v>
      </c>
      <c r="H179" s="25">
        <v>46331</v>
      </c>
    </row>
    <row r="180" spans="2:8" x14ac:dyDescent="0.35">
      <c r="B180" s="25">
        <v>46270</v>
      </c>
      <c r="D180" s="25">
        <v>46270</v>
      </c>
      <c r="F180" s="25">
        <v>46427</v>
      </c>
      <c r="H180" s="25">
        <v>46332</v>
      </c>
    </row>
    <row r="181" spans="2:8" x14ac:dyDescent="0.35">
      <c r="B181" s="25">
        <v>46271</v>
      </c>
      <c r="D181" s="25">
        <v>46271</v>
      </c>
      <c r="F181" s="25">
        <v>46429</v>
      </c>
      <c r="H181" s="25">
        <v>46335</v>
      </c>
    </row>
    <row r="182" spans="2:8" x14ac:dyDescent="0.35">
      <c r="B182" s="25">
        <v>46272</v>
      </c>
      <c r="D182" s="25">
        <v>46272</v>
      </c>
      <c r="F182" s="25">
        <v>46431</v>
      </c>
      <c r="H182" s="25">
        <v>46336</v>
      </c>
    </row>
    <row r="183" spans="2:8" x14ac:dyDescent="0.35">
      <c r="B183" s="25">
        <v>46273</v>
      </c>
      <c r="D183" s="25">
        <v>46273</v>
      </c>
      <c r="F183" s="25">
        <v>46433</v>
      </c>
      <c r="H183" s="25">
        <v>46337</v>
      </c>
    </row>
    <row r="184" spans="2:8" x14ac:dyDescent="0.35">
      <c r="B184" s="25">
        <v>46274</v>
      </c>
      <c r="D184" s="25">
        <v>46274</v>
      </c>
      <c r="F184" s="25">
        <v>46435</v>
      </c>
      <c r="H184" s="25">
        <v>46338</v>
      </c>
    </row>
    <row r="185" spans="2:8" x14ac:dyDescent="0.35">
      <c r="B185" s="25">
        <v>46275</v>
      </c>
      <c r="D185" s="25">
        <v>46275</v>
      </c>
      <c r="F185" s="25">
        <v>46437</v>
      </c>
      <c r="H185" s="25">
        <v>46339</v>
      </c>
    </row>
    <row r="186" spans="2:8" x14ac:dyDescent="0.35">
      <c r="B186" s="25">
        <v>46276</v>
      </c>
      <c r="D186" s="25">
        <v>46276</v>
      </c>
      <c r="F186" s="25">
        <v>46439</v>
      </c>
      <c r="H186" s="25">
        <v>46342</v>
      </c>
    </row>
    <row r="187" spans="2:8" x14ac:dyDescent="0.35">
      <c r="B187" s="25">
        <v>46277</v>
      </c>
      <c r="D187" s="25">
        <v>46277</v>
      </c>
      <c r="F187" s="25">
        <v>46441</v>
      </c>
      <c r="H187" s="25">
        <v>46343</v>
      </c>
    </row>
    <row r="188" spans="2:8" x14ac:dyDescent="0.35">
      <c r="B188" s="25">
        <v>46278</v>
      </c>
      <c r="D188" s="25">
        <v>46278</v>
      </c>
      <c r="F188" s="25">
        <v>46443</v>
      </c>
      <c r="H188" s="25">
        <v>46344</v>
      </c>
    </row>
    <row r="189" spans="2:8" x14ac:dyDescent="0.35">
      <c r="B189" s="25">
        <v>46279</v>
      </c>
      <c r="D189" s="25">
        <v>46279</v>
      </c>
      <c r="F189" s="25">
        <v>46445</v>
      </c>
      <c r="H189" s="25">
        <v>46345</v>
      </c>
    </row>
    <row r="190" spans="2:8" x14ac:dyDescent="0.35">
      <c r="B190" s="25">
        <v>46280</v>
      </c>
      <c r="D190" s="25">
        <v>46280</v>
      </c>
      <c r="F190" s="25">
        <v>46447</v>
      </c>
      <c r="H190" s="25">
        <v>46346</v>
      </c>
    </row>
    <row r="191" spans="2:8" x14ac:dyDescent="0.35">
      <c r="B191" s="25">
        <v>46281</v>
      </c>
      <c r="D191" s="25">
        <v>46281</v>
      </c>
      <c r="F191" s="25">
        <v>46449</v>
      </c>
      <c r="H191" s="25">
        <v>46349</v>
      </c>
    </row>
    <row r="192" spans="2:8" x14ac:dyDescent="0.35">
      <c r="B192" s="25">
        <v>46282</v>
      </c>
      <c r="D192" s="25">
        <v>46282</v>
      </c>
      <c r="F192" s="25">
        <v>46451</v>
      </c>
      <c r="H192" s="25">
        <v>46350</v>
      </c>
    </row>
    <row r="193" spans="2:8" x14ac:dyDescent="0.35">
      <c r="B193" s="25">
        <v>46283</v>
      </c>
      <c r="D193" s="25">
        <v>46283</v>
      </c>
      <c r="F193" s="25">
        <v>46453</v>
      </c>
      <c r="H193" s="25">
        <v>46351</v>
      </c>
    </row>
    <row r="194" spans="2:8" x14ac:dyDescent="0.35">
      <c r="B194" s="25">
        <v>46284</v>
      </c>
      <c r="D194" s="25">
        <v>46284</v>
      </c>
      <c r="F194" s="25">
        <v>46455</v>
      </c>
      <c r="H194" s="25">
        <v>46352</v>
      </c>
    </row>
    <row r="195" spans="2:8" x14ac:dyDescent="0.35">
      <c r="B195" s="25">
        <v>46285</v>
      </c>
      <c r="D195" s="25">
        <v>46285</v>
      </c>
      <c r="F195" s="25">
        <v>46457</v>
      </c>
      <c r="H195" s="25">
        <v>46353</v>
      </c>
    </row>
    <row r="196" spans="2:8" x14ac:dyDescent="0.35">
      <c r="B196" s="25">
        <v>46286</v>
      </c>
      <c r="D196" s="25">
        <v>46286</v>
      </c>
      <c r="F196" s="25">
        <v>46459</v>
      </c>
      <c r="H196" s="25">
        <v>46356</v>
      </c>
    </row>
    <row r="197" spans="2:8" x14ac:dyDescent="0.35">
      <c r="B197" s="25">
        <v>46287</v>
      </c>
      <c r="D197" s="25">
        <v>46287</v>
      </c>
      <c r="F197" s="25">
        <v>46461</v>
      </c>
      <c r="H197" s="25">
        <v>46357</v>
      </c>
    </row>
    <row r="198" spans="2:8" x14ac:dyDescent="0.35">
      <c r="B198" s="25">
        <v>46288</v>
      </c>
      <c r="D198" s="25">
        <v>46288</v>
      </c>
      <c r="F198" s="25">
        <v>46463</v>
      </c>
      <c r="H198" s="25">
        <v>46358</v>
      </c>
    </row>
    <row r="199" spans="2:8" x14ac:dyDescent="0.35">
      <c r="B199" s="25">
        <v>46289</v>
      </c>
      <c r="D199" s="25">
        <v>46289</v>
      </c>
      <c r="F199" s="25">
        <v>46465</v>
      </c>
      <c r="H199" s="25">
        <v>46359</v>
      </c>
    </row>
    <row r="200" spans="2:8" x14ac:dyDescent="0.35">
      <c r="B200" s="25">
        <v>46290</v>
      </c>
      <c r="D200" s="25">
        <v>46290</v>
      </c>
      <c r="F200" s="25">
        <v>46467</v>
      </c>
      <c r="H200" s="25">
        <v>46360</v>
      </c>
    </row>
    <row r="201" spans="2:8" x14ac:dyDescent="0.35">
      <c r="B201" s="25">
        <v>46291</v>
      </c>
      <c r="D201" s="25">
        <v>46291</v>
      </c>
      <c r="F201" s="25">
        <v>46469</v>
      </c>
      <c r="H201" s="25">
        <v>46363</v>
      </c>
    </row>
    <row r="202" spans="2:8" x14ac:dyDescent="0.35">
      <c r="B202" s="25">
        <v>46292</v>
      </c>
      <c r="D202" s="25">
        <v>46292</v>
      </c>
      <c r="F202" s="25">
        <v>46471</v>
      </c>
      <c r="H202" s="25">
        <v>46364</v>
      </c>
    </row>
    <row r="203" spans="2:8" x14ac:dyDescent="0.35">
      <c r="B203" s="25">
        <v>46293</v>
      </c>
      <c r="D203" s="25">
        <v>46293</v>
      </c>
      <c r="F203" s="25">
        <v>46473</v>
      </c>
      <c r="H203" s="25">
        <v>46365</v>
      </c>
    </row>
    <row r="204" spans="2:8" x14ac:dyDescent="0.35">
      <c r="B204" s="25">
        <v>46294</v>
      </c>
      <c r="D204" s="25">
        <v>46294</v>
      </c>
      <c r="F204" s="25">
        <v>46475</v>
      </c>
      <c r="H204" s="25">
        <v>46366</v>
      </c>
    </row>
    <row r="205" spans="2:8" x14ac:dyDescent="0.35">
      <c r="B205" s="25">
        <v>46295</v>
      </c>
      <c r="D205" s="25">
        <v>46295</v>
      </c>
      <c r="F205" s="25">
        <v>46477</v>
      </c>
      <c r="H205" s="25">
        <v>46367</v>
      </c>
    </row>
    <row r="206" spans="2:8" x14ac:dyDescent="0.35">
      <c r="B206" s="25">
        <v>46296</v>
      </c>
      <c r="D206" s="25">
        <v>46296</v>
      </c>
      <c r="H206" s="25">
        <v>46370</v>
      </c>
    </row>
    <row r="207" spans="2:8" x14ac:dyDescent="0.35">
      <c r="B207" s="25">
        <v>46297</v>
      </c>
      <c r="D207" s="25">
        <v>46297</v>
      </c>
      <c r="H207" s="25">
        <v>46371</v>
      </c>
    </row>
    <row r="208" spans="2:8" x14ac:dyDescent="0.35">
      <c r="B208" s="25">
        <v>46298</v>
      </c>
      <c r="D208" s="25">
        <v>46298</v>
      </c>
      <c r="H208" s="25">
        <v>46372</v>
      </c>
    </row>
    <row r="209" spans="2:8" x14ac:dyDescent="0.35">
      <c r="B209" s="25">
        <v>46299</v>
      </c>
      <c r="D209" s="25">
        <v>46299</v>
      </c>
      <c r="H209" s="25">
        <v>46373</v>
      </c>
    </row>
    <row r="210" spans="2:8" x14ac:dyDescent="0.35">
      <c r="B210" s="25">
        <v>46300</v>
      </c>
      <c r="D210" s="25">
        <v>46300</v>
      </c>
      <c r="H210" s="25">
        <v>46374</v>
      </c>
    </row>
    <row r="211" spans="2:8" x14ac:dyDescent="0.35">
      <c r="B211" s="25">
        <v>46301</v>
      </c>
      <c r="D211" s="25">
        <v>46301</v>
      </c>
      <c r="H211" s="25">
        <v>46377</v>
      </c>
    </row>
    <row r="212" spans="2:8" x14ac:dyDescent="0.35">
      <c r="B212" s="25">
        <v>46302</v>
      </c>
      <c r="D212" s="25">
        <v>46302</v>
      </c>
      <c r="H212" s="25">
        <v>46378</v>
      </c>
    </row>
    <row r="213" spans="2:8" x14ac:dyDescent="0.35">
      <c r="B213" s="25">
        <v>46303</v>
      </c>
      <c r="D213" s="25">
        <v>46303</v>
      </c>
      <c r="H213" s="25">
        <v>46379</v>
      </c>
    </row>
    <row r="214" spans="2:8" x14ac:dyDescent="0.35">
      <c r="B214" s="25">
        <v>46304</v>
      </c>
      <c r="D214" s="25">
        <v>46304</v>
      </c>
      <c r="H214" s="25">
        <v>46380</v>
      </c>
    </row>
    <row r="215" spans="2:8" x14ac:dyDescent="0.35">
      <c r="B215" s="25">
        <v>46305</v>
      </c>
      <c r="D215" s="25">
        <v>46305</v>
      </c>
      <c r="H215" s="25">
        <v>46381</v>
      </c>
    </row>
    <row r="216" spans="2:8" x14ac:dyDescent="0.35">
      <c r="B216" s="25">
        <v>46306</v>
      </c>
      <c r="D216" s="25">
        <v>46306</v>
      </c>
      <c r="H216" s="25">
        <v>46384</v>
      </c>
    </row>
    <row r="217" spans="2:8" x14ac:dyDescent="0.35">
      <c r="B217" s="25">
        <v>46307</v>
      </c>
      <c r="D217" s="25">
        <v>46307</v>
      </c>
      <c r="H217" s="25">
        <v>46385</v>
      </c>
    </row>
    <row r="218" spans="2:8" x14ac:dyDescent="0.35">
      <c r="B218" s="25">
        <v>46308</v>
      </c>
      <c r="D218" s="25">
        <v>46308</v>
      </c>
      <c r="H218" s="25">
        <v>46386</v>
      </c>
    </row>
    <row r="219" spans="2:8" x14ac:dyDescent="0.35">
      <c r="B219" s="25">
        <v>46309</v>
      </c>
      <c r="D219" s="25">
        <v>46309</v>
      </c>
      <c r="H219" s="25">
        <v>46387</v>
      </c>
    </row>
    <row r="220" spans="2:8" x14ac:dyDescent="0.35">
      <c r="B220" s="25">
        <v>46310</v>
      </c>
      <c r="D220" s="25">
        <v>46310</v>
      </c>
      <c r="H220" s="25">
        <v>46388</v>
      </c>
    </row>
    <row r="221" spans="2:8" x14ac:dyDescent="0.35">
      <c r="B221" s="25">
        <v>46311</v>
      </c>
      <c r="D221" s="25">
        <v>46311</v>
      </c>
      <c r="H221" s="25">
        <v>46391</v>
      </c>
    </row>
    <row r="222" spans="2:8" x14ac:dyDescent="0.35">
      <c r="B222" s="25">
        <v>46312</v>
      </c>
      <c r="D222" s="25">
        <v>46312</v>
      </c>
      <c r="H222" s="25">
        <v>46392</v>
      </c>
    </row>
    <row r="223" spans="2:8" x14ac:dyDescent="0.35">
      <c r="B223" s="25">
        <v>46313</v>
      </c>
      <c r="D223" s="25">
        <v>46313</v>
      </c>
      <c r="H223" s="25">
        <v>46393</v>
      </c>
    </row>
    <row r="224" spans="2:8" x14ac:dyDescent="0.35">
      <c r="B224" s="25">
        <v>46314</v>
      </c>
      <c r="D224" s="25">
        <v>46314</v>
      </c>
      <c r="H224" s="25">
        <v>46394</v>
      </c>
    </row>
    <row r="225" spans="2:8" x14ac:dyDescent="0.35">
      <c r="B225" s="25">
        <v>46315</v>
      </c>
      <c r="D225" s="25">
        <v>46315</v>
      </c>
      <c r="H225" s="25">
        <v>46395</v>
      </c>
    </row>
    <row r="226" spans="2:8" x14ac:dyDescent="0.35">
      <c r="B226" s="25">
        <v>46316</v>
      </c>
      <c r="D226" s="25">
        <v>46316</v>
      </c>
      <c r="H226" s="25">
        <v>46398</v>
      </c>
    </row>
    <row r="227" spans="2:8" x14ac:dyDescent="0.35">
      <c r="B227" s="25">
        <v>46317</v>
      </c>
      <c r="D227" s="25">
        <v>46317</v>
      </c>
      <c r="H227" s="25">
        <v>46399</v>
      </c>
    </row>
    <row r="228" spans="2:8" x14ac:dyDescent="0.35">
      <c r="B228" s="25">
        <v>46318</v>
      </c>
      <c r="D228" s="25">
        <v>46318</v>
      </c>
      <c r="H228" s="25">
        <v>46400</v>
      </c>
    </row>
    <row r="229" spans="2:8" x14ac:dyDescent="0.35">
      <c r="B229" s="25">
        <v>46319</v>
      </c>
      <c r="D229" s="25">
        <v>46319</v>
      </c>
      <c r="H229" s="25">
        <v>46401</v>
      </c>
    </row>
    <row r="230" spans="2:8" x14ac:dyDescent="0.35">
      <c r="B230" s="25">
        <v>46320</v>
      </c>
      <c r="D230" s="25">
        <v>46320</v>
      </c>
      <c r="H230" s="25">
        <v>46402</v>
      </c>
    </row>
    <row r="231" spans="2:8" x14ac:dyDescent="0.35">
      <c r="B231" s="25">
        <v>46321</v>
      </c>
      <c r="D231" s="25">
        <v>46321</v>
      </c>
      <c r="H231" s="25">
        <v>46405</v>
      </c>
    </row>
    <row r="232" spans="2:8" x14ac:dyDescent="0.35">
      <c r="B232" s="25">
        <v>46322</v>
      </c>
      <c r="D232" s="25">
        <v>46322</v>
      </c>
      <c r="H232" s="25">
        <v>46406</v>
      </c>
    </row>
    <row r="233" spans="2:8" x14ac:dyDescent="0.35">
      <c r="B233" s="25">
        <v>46323</v>
      </c>
      <c r="D233" s="25">
        <v>46323</v>
      </c>
      <c r="H233" s="25">
        <v>46407</v>
      </c>
    </row>
    <row r="234" spans="2:8" x14ac:dyDescent="0.35">
      <c r="B234" s="25">
        <v>46324</v>
      </c>
      <c r="D234" s="25">
        <v>46324</v>
      </c>
      <c r="H234" s="25">
        <v>46408</v>
      </c>
    </row>
    <row r="235" spans="2:8" x14ac:dyDescent="0.35">
      <c r="B235" s="25">
        <v>46325</v>
      </c>
      <c r="D235" s="25">
        <v>46325</v>
      </c>
      <c r="H235" s="25">
        <v>46409</v>
      </c>
    </row>
    <row r="236" spans="2:8" x14ac:dyDescent="0.35">
      <c r="B236" s="25">
        <v>46326</v>
      </c>
      <c r="D236" s="25">
        <v>46326</v>
      </c>
      <c r="H236" s="25">
        <v>46412</v>
      </c>
    </row>
    <row r="237" spans="2:8" x14ac:dyDescent="0.35">
      <c r="B237" s="25">
        <v>46327</v>
      </c>
      <c r="D237" s="25">
        <v>46327</v>
      </c>
      <c r="H237" s="25">
        <v>46413</v>
      </c>
    </row>
    <row r="238" spans="2:8" x14ac:dyDescent="0.35">
      <c r="B238" s="25">
        <v>46328</v>
      </c>
      <c r="D238" s="25">
        <v>46328</v>
      </c>
      <c r="H238" s="25">
        <v>46414</v>
      </c>
    </row>
    <row r="239" spans="2:8" x14ac:dyDescent="0.35">
      <c r="B239" s="25">
        <v>46329</v>
      </c>
      <c r="D239" s="25">
        <v>46329</v>
      </c>
      <c r="H239" s="25">
        <v>46415</v>
      </c>
    </row>
    <row r="240" spans="2:8" x14ac:dyDescent="0.35">
      <c r="B240" s="25">
        <v>46330</v>
      </c>
      <c r="D240" s="25">
        <v>46330</v>
      </c>
      <c r="H240" s="25">
        <v>46416</v>
      </c>
    </row>
    <row r="241" spans="2:8" x14ac:dyDescent="0.35">
      <c r="B241" s="25">
        <v>46331</v>
      </c>
      <c r="D241" s="25">
        <v>46331</v>
      </c>
      <c r="H241" s="25">
        <v>46419</v>
      </c>
    </row>
    <row r="242" spans="2:8" x14ac:dyDescent="0.35">
      <c r="B242" s="25">
        <v>46332</v>
      </c>
      <c r="D242" s="25">
        <v>46332</v>
      </c>
      <c r="H242" s="25">
        <v>46420</v>
      </c>
    </row>
    <row r="243" spans="2:8" x14ac:dyDescent="0.35">
      <c r="B243" s="25">
        <v>46333</v>
      </c>
      <c r="D243" s="25">
        <v>46333</v>
      </c>
      <c r="H243" s="25">
        <v>46421</v>
      </c>
    </row>
    <row r="244" spans="2:8" x14ac:dyDescent="0.35">
      <c r="B244" s="25">
        <v>46334</v>
      </c>
      <c r="D244" s="25">
        <v>46334</v>
      </c>
      <c r="H244" s="25">
        <v>46422</v>
      </c>
    </row>
    <row r="245" spans="2:8" x14ac:dyDescent="0.35">
      <c r="B245" s="25">
        <v>46335</v>
      </c>
      <c r="D245" s="25">
        <v>46335</v>
      </c>
      <c r="H245" s="25">
        <v>46423</v>
      </c>
    </row>
    <row r="246" spans="2:8" x14ac:dyDescent="0.35">
      <c r="B246" s="25">
        <v>46336</v>
      </c>
      <c r="D246" s="25">
        <v>46336</v>
      </c>
      <c r="H246" s="25">
        <v>46426</v>
      </c>
    </row>
    <row r="247" spans="2:8" x14ac:dyDescent="0.35">
      <c r="B247" s="25">
        <v>46337</v>
      </c>
      <c r="D247" s="25">
        <v>46337</v>
      </c>
      <c r="H247" s="25">
        <v>46427</v>
      </c>
    </row>
    <row r="248" spans="2:8" x14ac:dyDescent="0.35">
      <c r="B248" s="25">
        <v>46338</v>
      </c>
      <c r="D248" s="25">
        <v>46338</v>
      </c>
      <c r="H248" s="25">
        <v>46428</v>
      </c>
    </row>
    <row r="249" spans="2:8" x14ac:dyDescent="0.35">
      <c r="B249" s="25">
        <v>46339</v>
      </c>
      <c r="D249" s="25">
        <v>46339</v>
      </c>
      <c r="H249" s="25">
        <v>46429</v>
      </c>
    </row>
    <row r="250" spans="2:8" x14ac:dyDescent="0.35">
      <c r="B250" s="25">
        <v>46340</v>
      </c>
      <c r="D250" s="25">
        <v>46340</v>
      </c>
      <c r="H250" s="25">
        <v>46430</v>
      </c>
    </row>
    <row r="251" spans="2:8" x14ac:dyDescent="0.35">
      <c r="B251" s="25">
        <v>46341</v>
      </c>
      <c r="D251" s="25">
        <v>46341</v>
      </c>
      <c r="H251" s="25">
        <v>46433</v>
      </c>
    </row>
    <row r="252" spans="2:8" x14ac:dyDescent="0.35">
      <c r="B252" s="25">
        <v>46342</v>
      </c>
      <c r="D252" s="25">
        <v>46342</v>
      </c>
      <c r="H252" s="25">
        <v>46434</v>
      </c>
    </row>
    <row r="253" spans="2:8" x14ac:dyDescent="0.35">
      <c r="B253" s="25">
        <v>46343</v>
      </c>
      <c r="D253" s="25">
        <v>46343</v>
      </c>
      <c r="H253" s="25">
        <v>46435</v>
      </c>
    </row>
    <row r="254" spans="2:8" x14ac:dyDescent="0.35">
      <c r="B254" s="25">
        <v>46344</v>
      </c>
      <c r="D254" s="25">
        <v>46344</v>
      </c>
      <c r="H254" s="25">
        <v>46436</v>
      </c>
    </row>
    <row r="255" spans="2:8" x14ac:dyDescent="0.35">
      <c r="B255" s="25">
        <v>46345</v>
      </c>
      <c r="D255" s="25">
        <v>46345</v>
      </c>
      <c r="H255" s="25">
        <v>46437</v>
      </c>
    </row>
    <row r="256" spans="2:8" x14ac:dyDescent="0.35">
      <c r="B256" s="25">
        <v>46346</v>
      </c>
      <c r="D256" s="25">
        <v>46346</v>
      </c>
      <c r="H256" s="25">
        <v>46440</v>
      </c>
    </row>
    <row r="257" spans="2:8" x14ac:dyDescent="0.35">
      <c r="B257" s="25">
        <v>46347</v>
      </c>
      <c r="D257" s="25">
        <v>46347</v>
      </c>
      <c r="H257" s="25">
        <v>46441</v>
      </c>
    </row>
    <row r="258" spans="2:8" x14ac:dyDescent="0.35">
      <c r="B258" s="25">
        <v>46348</v>
      </c>
      <c r="D258" s="25">
        <v>46348</v>
      </c>
      <c r="H258" s="25">
        <v>46442</v>
      </c>
    </row>
    <row r="259" spans="2:8" x14ac:dyDescent="0.35">
      <c r="B259" s="25">
        <v>46349</v>
      </c>
      <c r="D259" s="25">
        <v>46349</v>
      </c>
      <c r="H259" s="25">
        <v>46443</v>
      </c>
    </row>
    <row r="260" spans="2:8" x14ac:dyDescent="0.35">
      <c r="B260" s="25">
        <v>46350</v>
      </c>
      <c r="D260" s="25">
        <v>46350</v>
      </c>
      <c r="H260" s="25">
        <v>46444</v>
      </c>
    </row>
    <row r="261" spans="2:8" x14ac:dyDescent="0.35">
      <c r="B261" s="25">
        <v>46351</v>
      </c>
      <c r="D261" s="25">
        <v>46351</v>
      </c>
      <c r="H261" s="25">
        <v>46447</v>
      </c>
    </row>
    <row r="262" spans="2:8" x14ac:dyDescent="0.35">
      <c r="B262" s="25">
        <v>46352</v>
      </c>
      <c r="D262" s="25">
        <v>46352</v>
      </c>
      <c r="H262" s="25">
        <v>46448</v>
      </c>
    </row>
    <row r="263" spans="2:8" x14ac:dyDescent="0.35">
      <c r="B263" s="25">
        <v>46353</v>
      </c>
      <c r="D263" s="25">
        <v>46353</v>
      </c>
      <c r="H263" s="25">
        <v>46449</v>
      </c>
    </row>
    <row r="264" spans="2:8" x14ac:dyDescent="0.35">
      <c r="B264" s="25">
        <v>46354</v>
      </c>
      <c r="D264" s="25">
        <v>46354</v>
      </c>
      <c r="H264" s="25">
        <v>46450</v>
      </c>
    </row>
    <row r="265" spans="2:8" x14ac:dyDescent="0.35">
      <c r="B265" s="25">
        <v>46355</v>
      </c>
      <c r="D265" s="25">
        <v>46355</v>
      </c>
      <c r="H265" s="25">
        <v>46451</v>
      </c>
    </row>
    <row r="266" spans="2:8" x14ac:dyDescent="0.35">
      <c r="B266" s="25">
        <v>46356</v>
      </c>
      <c r="D266" s="25">
        <v>46356</v>
      </c>
      <c r="H266" s="25">
        <v>46454</v>
      </c>
    </row>
    <row r="267" spans="2:8" x14ac:dyDescent="0.35">
      <c r="B267" s="25">
        <v>46357</v>
      </c>
      <c r="D267" s="25">
        <v>46357</v>
      </c>
      <c r="H267" s="25">
        <v>46455</v>
      </c>
    </row>
    <row r="268" spans="2:8" x14ac:dyDescent="0.35">
      <c r="B268" s="25">
        <v>46358</v>
      </c>
      <c r="D268" s="25">
        <v>46358</v>
      </c>
      <c r="H268" s="25">
        <v>46456</v>
      </c>
    </row>
    <row r="269" spans="2:8" x14ac:dyDescent="0.35">
      <c r="B269" s="25">
        <v>46359</v>
      </c>
      <c r="D269" s="25">
        <v>46359</v>
      </c>
      <c r="H269" s="25">
        <v>46457</v>
      </c>
    </row>
    <row r="270" spans="2:8" x14ac:dyDescent="0.35">
      <c r="B270" s="25">
        <v>46360</v>
      </c>
      <c r="D270" s="25">
        <v>46360</v>
      </c>
      <c r="H270" s="25">
        <v>46458</v>
      </c>
    </row>
    <row r="271" spans="2:8" x14ac:dyDescent="0.35">
      <c r="B271" s="25">
        <v>46361</v>
      </c>
      <c r="D271" s="25">
        <v>46361</v>
      </c>
      <c r="H271" s="25">
        <v>46461</v>
      </c>
    </row>
    <row r="272" spans="2:8" x14ac:dyDescent="0.35">
      <c r="B272" s="25">
        <v>46362</v>
      </c>
      <c r="D272" s="25">
        <v>46362</v>
      </c>
      <c r="H272" s="25">
        <v>46462</v>
      </c>
    </row>
    <row r="273" spans="2:8" x14ac:dyDescent="0.35">
      <c r="B273" s="25">
        <v>46363</v>
      </c>
      <c r="D273" s="25">
        <v>46363</v>
      </c>
      <c r="H273" s="25">
        <v>46463</v>
      </c>
    </row>
    <row r="274" spans="2:8" x14ac:dyDescent="0.35">
      <c r="B274" s="25">
        <v>46364</v>
      </c>
      <c r="D274" s="25">
        <v>46364</v>
      </c>
      <c r="H274" s="25">
        <v>46464</v>
      </c>
    </row>
    <row r="275" spans="2:8" x14ac:dyDescent="0.35">
      <c r="B275" s="25">
        <v>46365</v>
      </c>
      <c r="D275" s="25">
        <v>46365</v>
      </c>
      <c r="H275" s="25">
        <v>46465</v>
      </c>
    </row>
    <row r="276" spans="2:8" x14ac:dyDescent="0.35">
      <c r="B276" s="25">
        <v>46366</v>
      </c>
      <c r="D276" s="25">
        <v>46366</v>
      </c>
      <c r="H276" s="25">
        <v>46468</v>
      </c>
    </row>
    <row r="277" spans="2:8" x14ac:dyDescent="0.35">
      <c r="B277" s="25">
        <v>46367</v>
      </c>
      <c r="D277" s="25">
        <v>46367</v>
      </c>
      <c r="H277" s="25">
        <v>46469</v>
      </c>
    </row>
    <row r="278" spans="2:8" x14ac:dyDescent="0.35">
      <c r="B278" s="25">
        <v>46368</v>
      </c>
      <c r="D278" s="25">
        <v>46368</v>
      </c>
      <c r="H278" s="25">
        <v>46470</v>
      </c>
    </row>
    <row r="279" spans="2:8" x14ac:dyDescent="0.35">
      <c r="B279" s="25">
        <v>46369</v>
      </c>
      <c r="D279" s="25">
        <v>46369</v>
      </c>
      <c r="H279" s="25">
        <v>46471</v>
      </c>
    </row>
    <row r="280" spans="2:8" x14ac:dyDescent="0.35">
      <c r="B280" s="25">
        <v>46370</v>
      </c>
      <c r="D280" s="25">
        <v>46370</v>
      </c>
      <c r="H280" s="25">
        <v>46472</v>
      </c>
    </row>
    <row r="281" spans="2:8" x14ac:dyDescent="0.35">
      <c r="B281" s="25">
        <v>46371</v>
      </c>
      <c r="D281" s="25">
        <v>46371</v>
      </c>
      <c r="H281" s="25">
        <v>46475</v>
      </c>
    </row>
    <row r="282" spans="2:8" x14ac:dyDescent="0.35">
      <c r="B282" s="25">
        <v>46372</v>
      </c>
      <c r="D282" s="25">
        <v>46372</v>
      </c>
      <c r="H282" s="25">
        <v>46476</v>
      </c>
    </row>
    <row r="283" spans="2:8" x14ac:dyDescent="0.35">
      <c r="B283" s="25">
        <v>46373</v>
      </c>
      <c r="D283" s="25">
        <v>46373</v>
      </c>
      <c r="H283" s="25">
        <v>46477</v>
      </c>
    </row>
    <row r="284" spans="2:8" x14ac:dyDescent="0.35">
      <c r="B284" s="25">
        <v>46374</v>
      </c>
      <c r="D284" s="25">
        <v>46374</v>
      </c>
    </row>
    <row r="285" spans="2:8" x14ac:dyDescent="0.35">
      <c r="B285" s="25">
        <v>46375</v>
      </c>
      <c r="D285" s="25">
        <v>46375</v>
      </c>
    </row>
    <row r="286" spans="2:8" x14ac:dyDescent="0.35">
      <c r="B286" s="25">
        <v>46376</v>
      </c>
      <c r="D286" s="25">
        <v>46376</v>
      </c>
    </row>
    <row r="287" spans="2:8" x14ac:dyDescent="0.35">
      <c r="B287" s="25">
        <v>46377</v>
      </c>
      <c r="D287" s="25">
        <v>46377</v>
      </c>
    </row>
    <row r="288" spans="2:8" x14ac:dyDescent="0.35">
      <c r="B288" s="25">
        <v>46378</v>
      </c>
      <c r="D288" s="25">
        <v>46378</v>
      </c>
    </row>
    <row r="289" spans="2:4" x14ac:dyDescent="0.35">
      <c r="B289" s="25">
        <v>46379</v>
      </c>
      <c r="D289" s="25">
        <v>46379</v>
      </c>
    </row>
    <row r="290" spans="2:4" x14ac:dyDescent="0.35">
      <c r="B290" s="25">
        <v>46380</v>
      </c>
      <c r="D290" s="25">
        <v>46380</v>
      </c>
    </row>
    <row r="291" spans="2:4" x14ac:dyDescent="0.35">
      <c r="B291" s="25">
        <v>46381</v>
      </c>
      <c r="D291" s="25">
        <v>46381</v>
      </c>
    </row>
    <row r="292" spans="2:4" x14ac:dyDescent="0.35">
      <c r="B292" s="25">
        <v>46382</v>
      </c>
      <c r="D292" s="25">
        <v>46382</v>
      </c>
    </row>
    <row r="293" spans="2:4" x14ac:dyDescent="0.35">
      <c r="B293" s="25">
        <v>46383</v>
      </c>
      <c r="D293" s="25">
        <v>46383</v>
      </c>
    </row>
    <row r="294" spans="2:4" x14ac:dyDescent="0.35">
      <c r="B294" s="25">
        <v>46384</v>
      </c>
      <c r="D294" s="25">
        <v>46384</v>
      </c>
    </row>
    <row r="295" spans="2:4" x14ac:dyDescent="0.35">
      <c r="B295" s="25">
        <v>46385</v>
      </c>
      <c r="D295" s="25">
        <v>46385</v>
      </c>
    </row>
    <row r="296" spans="2:4" x14ac:dyDescent="0.35">
      <c r="B296" s="25">
        <v>46386</v>
      </c>
      <c r="D296" s="25">
        <v>46386</v>
      </c>
    </row>
    <row r="297" spans="2:4" x14ac:dyDescent="0.35">
      <c r="B297" s="25">
        <v>46387</v>
      </c>
      <c r="D297" s="25">
        <v>46387</v>
      </c>
    </row>
    <row r="298" spans="2:4" x14ac:dyDescent="0.35">
      <c r="B298" s="25">
        <v>46388</v>
      </c>
      <c r="D298" s="25">
        <v>46388</v>
      </c>
    </row>
    <row r="299" spans="2:4" x14ac:dyDescent="0.35">
      <c r="B299" s="25">
        <v>46389</v>
      </c>
      <c r="D299" s="25">
        <v>46389</v>
      </c>
    </row>
    <row r="300" spans="2:4" x14ac:dyDescent="0.35">
      <c r="B300" s="25">
        <v>46390</v>
      </c>
      <c r="D300" s="25">
        <v>46390</v>
      </c>
    </row>
    <row r="301" spans="2:4" x14ac:dyDescent="0.35">
      <c r="B301" s="25">
        <v>46391</v>
      </c>
      <c r="D301" s="25">
        <v>46391</v>
      </c>
    </row>
    <row r="302" spans="2:4" x14ac:dyDescent="0.35">
      <c r="B302" s="25">
        <v>46392</v>
      </c>
      <c r="D302" s="25">
        <v>46392</v>
      </c>
    </row>
    <row r="303" spans="2:4" x14ac:dyDescent="0.35">
      <c r="B303" s="25">
        <v>46393</v>
      </c>
      <c r="D303" s="25">
        <v>46393</v>
      </c>
    </row>
    <row r="304" spans="2:4" x14ac:dyDescent="0.35">
      <c r="B304" s="25">
        <v>46394</v>
      </c>
      <c r="D304" s="25">
        <v>46394</v>
      </c>
    </row>
    <row r="305" spans="2:4" x14ac:dyDescent="0.35">
      <c r="B305" s="25">
        <v>46395</v>
      </c>
      <c r="D305" s="25">
        <v>46395</v>
      </c>
    </row>
    <row r="306" spans="2:4" x14ac:dyDescent="0.35">
      <c r="B306" s="25">
        <v>46396</v>
      </c>
      <c r="D306" s="25">
        <v>46396</v>
      </c>
    </row>
    <row r="307" spans="2:4" x14ac:dyDescent="0.35">
      <c r="B307" s="25">
        <v>46397</v>
      </c>
      <c r="D307" s="25">
        <v>46397</v>
      </c>
    </row>
    <row r="308" spans="2:4" x14ac:dyDescent="0.35">
      <c r="B308" s="25">
        <v>46398</v>
      </c>
      <c r="D308" s="25">
        <v>46398</v>
      </c>
    </row>
    <row r="309" spans="2:4" x14ac:dyDescent="0.35">
      <c r="B309" s="25">
        <v>46399</v>
      </c>
      <c r="D309" s="25">
        <v>46399</v>
      </c>
    </row>
    <row r="310" spans="2:4" x14ac:dyDescent="0.35">
      <c r="B310" s="25">
        <v>46400</v>
      </c>
      <c r="D310" s="25">
        <v>46400</v>
      </c>
    </row>
    <row r="311" spans="2:4" x14ac:dyDescent="0.35">
      <c r="B311" s="25">
        <v>46401</v>
      </c>
      <c r="D311" s="25">
        <v>46401</v>
      </c>
    </row>
    <row r="312" spans="2:4" x14ac:dyDescent="0.35">
      <c r="B312" s="25">
        <v>46402</v>
      </c>
      <c r="D312" s="25">
        <v>46402</v>
      </c>
    </row>
    <row r="313" spans="2:4" x14ac:dyDescent="0.35">
      <c r="B313" s="25">
        <v>46403</v>
      </c>
      <c r="D313" s="25">
        <v>46403</v>
      </c>
    </row>
    <row r="314" spans="2:4" x14ac:dyDescent="0.35">
      <c r="B314" s="25">
        <v>46404</v>
      </c>
      <c r="D314" s="25">
        <v>46404</v>
      </c>
    </row>
    <row r="315" spans="2:4" x14ac:dyDescent="0.35">
      <c r="B315" s="25">
        <v>46405</v>
      </c>
      <c r="D315" s="25">
        <v>46405</v>
      </c>
    </row>
    <row r="316" spans="2:4" x14ac:dyDescent="0.35">
      <c r="B316" s="25">
        <v>46406</v>
      </c>
      <c r="D316" s="25">
        <v>46406</v>
      </c>
    </row>
    <row r="317" spans="2:4" x14ac:dyDescent="0.35">
      <c r="B317" s="25">
        <v>46407</v>
      </c>
      <c r="D317" s="25">
        <v>46407</v>
      </c>
    </row>
    <row r="318" spans="2:4" x14ac:dyDescent="0.35">
      <c r="B318" s="25">
        <v>46408</v>
      </c>
      <c r="D318" s="25">
        <v>46408</v>
      </c>
    </row>
    <row r="319" spans="2:4" x14ac:dyDescent="0.35">
      <c r="B319" s="25">
        <v>46409</v>
      </c>
      <c r="D319" s="25">
        <v>46409</v>
      </c>
    </row>
    <row r="320" spans="2:4" x14ac:dyDescent="0.35">
      <c r="B320" s="25">
        <v>46410</v>
      </c>
      <c r="D320" s="25">
        <v>46410</v>
      </c>
    </row>
    <row r="321" spans="2:4" x14ac:dyDescent="0.35">
      <c r="B321" s="25">
        <v>46411</v>
      </c>
      <c r="D321" s="25">
        <v>46411</v>
      </c>
    </row>
    <row r="322" spans="2:4" x14ac:dyDescent="0.35">
      <c r="B322" s="25">
        <v>46412</v>
      </c>
      <c r="D322" s="25">
        <v>46412</v>
      </c>
    </row>
    <row r="323" spans="2:4" x14ac:dyDescent="0.35">
      <c r="B323" s="25">
        <v>46413</v>
      </c>
      <c r="D323" s="25">
        <v>46413</v>
      </c>
    </row>
    <row r="324" spans="2:4" x14ac:dyDescent="0.35">
      <c r="B324" s="25">
        <v>46414</v>
      </c>
      <c r="D324" s="25">
        <v>46414</v>
      </c>
    </row>
    <row r="325" spans="2:4" x14ac:dyDescent="0.35">
      <c r="B325" s="25">
        <v>46415</v>
      </c>
      <c r="D325" s="25">
        <v>46415</v>
      </c>
    </row>
    <row r="326" spans="2:4" x14ac:dyDescent="0.35">
      <c r="B326" s="25">
        <v>46416</v>
      </c>
      <c r="D326" s="25">
        <v>46416</v>
      </c>
    </row>
    <row r="327" spans="2:4" x14ac:dyDescent="0.35">
      <c r="B327" s="25">
        <v>46417</v>
      </c>
      <c r="D327" s="25">
        <v>46417</v>
      </c>
    </row>
    <row r="328" spans="2:4" x14ac:dyDescent="0.35">
      <c r="B328" s="25">
        <v>46418</v>
      </c>
      <c r="D328" s="25">
        <v>46418</v>
      </c>
    </row>
    <row r="329" spans="2:4" x14ac:dyDescent="0.35">
      <c r="B329" s="25">
        <v>46419</v>
      </c>
      <c r="D329" s="25">
        <v>46419</v>
      </c>
    </row>
    <row r="330" spans="2:4" x14ac:dyDescent="0.35">
      <c r="B330" s="25">
        <v>46420</v>
      </c>
      <c r="D330" s="25">
        <v>46420</v>
      </c>
    </row>
    <row r="331" spans="2:4" x14ac:dyDescent="0.35">
      <c r="B331" s="25">
        <v>46421</v>
      </c>
      <c r="D331" s="25">
        <v>46421</v>
      </c>
    </row>
    <row r="332" spans="2:4" x14ac:dyDescent="0.35">
      <c r="B332" s="25">
        <v>46422</v>
      </c>
      <c r="D332" s="25">
        <v>46422</v>
      </c>
    </row>
    <row r="333" spans="2:4" x14ac:dyDescent="0.35">
      <c r="B333" s="25">
        <v>46423</v>
      </c>
      <c r="D333" s="25">
        <v>46423</v>
      </c>
    </row>
    <row r="334" spans="2:4" x14ac:dyDescent="0.35">
      <c r="B334" s="25">
        <v>46424</v>
      </c>
      <c r="D334" s="25">
        <v>46424</v>
      </c>
    </row>
    <row r="335" spans="2:4" x14ac:dyDescent="0.35">
      <c r="B335" s="25">
        <v>46425</v>
      </c>
      <c r="D335" s="25">
        <v>46425</v>
      </c>
    </row>
    <row r="336" spans="2:4" x14ac:dyDescent="0.35">
      <c r="B336" s="25">
        <v>46426</v>
      </c>
      <c r="D336" s="25">
        <v>46426</v>
      </c>
    </row>
    <row r="337" spans="2:4" x14ac:dyDescent="0.35">
      <c r="B337" s="25">
        <v>46427</v>
      </c>
      <c r="D337" s="25">
        <v>46427</v>
      </c>
    </row>
    <row r="338" spans="2:4" x14ac:dyDescent="0.35">
      <c r="B338" s="25">
        <v>46428</v>
      </c>
      <c r="D338" s="25">
        <v>46428</v>
      </c>
    </row>
    <row r="339" spans="2:4" x14ac:dyDescent="0.35">
      <c r="B339" s="25">
        <v>46429</v>
      </c>
      <c r="D339" s="25">
        <v>46429</v>
      </c>
    </row>
    <row r="340" spans="2:4" x14ac:dyDescent="0.35">
      <c r="B340" s="25">
        <v>46430</v>
      </c>
      <c r="D340" s="25">
        <v>46430</v>
      </c>
    </row>
    <row r="341" spans="2:4" x14ac:dyDescent="0.35">
      <c r="B341" s="25">
        <v>46431</v>
      </c>
      <c r="D341" s="25">
        <v>46431</v>
      </c>
    </row>
    <row r="342" spans="2:4" x14ac:dyDescent="0.35">
      <c r="B342" s="25">
        <v>46432</v>
      </c>
      <c r="D342" s="25">
        <v>46432</v>
      </c>
    </row>
    <row r="343" spans="2:4" x14ac:dyDescent="0.35">
      <c r="B343" s="25">
        <v>46433</v>
      </c>
      <c r="D343" s="25">
        <v>46433</v>
      </c>
    </row>
    <row r="344" spans="2:4" x14ac:dyDescent="0.35">
      <c r="B344" s="25">
        <v>46434</v>
      </c>
      <c r="D344" s="25">
        <v>46434</v>
      </c>
    </row>
    <row r="345" spans="2:4" x14ac:dyDescent="0.35">
      <c r="B345" s="25">
        <v>46435</v>
      </c>
      <c r="D345" s="25">
        <v>46435</v>
      </c>
    </row>
    <row r="346" spans="2:4" x14ac:dyDescent="0.35">
      <c r="B346" s="25">
        <v>46436</v>
      </c>
      <c r="D346" s="25">
        <v>46436</v>
      </c>
    </row>
    <row r="347" spans="2:4" x14ac:dyDescent="0.35">
      <c r="B347" s="25">
        <v>46437</v>
      </c>
      <c r="D347" s="25">
        <v>46437</v>
      </c>
    </row>
    <row r="348" spans="2:4" x14ac:dyDescent="0.35">
      <c r="B348" s="25">
        <v>46438</v>
      </c>
      <c r="D348" s="25">
        <v>46438</v>
      </c>
    </row>
    <row r="349" spans="2:4" x14ac:dyDescent="0.35">
      <c r="B349" s="25">
        <v>46439</v>
      </c>
      <c r="D349" s="25">
        <v>46439</v>
      </c>
    </row>
    <row r="350" spans="2:4" x14ac:dyDescent="0.35">
      <c r="B350" s="25">
        <v>46440</v>
      </c>
      <c r="D350" s="25">
        <v>46440</v>
      </c>
    </row>
    <row r="351" spans="2:4" x14ac:dyDescent="0.35">
      <c r="B351" s="25">
        <v>46441</v>
      </c>
      <c r="D351" s="25">
        <v>46441</v>
      </c>
    </row>
    <row r="352" spans="2:4" x14ac:dyDescent="0.35">
      <c r="B352" s="25">
        <v>46442</v>
      </c>
      <c r="D352" s="25">
        <v>46442</v>
      </c>
    </row>
    <row r="353" spans="2:4" x14ac:dyDescent="0.35">
      <c r="B353" s="25">
        <v>46443</v>
      </c>
      <c r="D353" s="25">
        <v>46443</v>
      </c>
    </row>
    <row r="354" spans="2:4" x14ac:dyDescent="0.35">
      <c r="B354" s="25">
        <v>46444</v>
      </c>
      <c r="D354" s="25">
        <v>46444</v>
      </c>
    </row>
    <row r="355" spans="2:4" x14ac:dyDescent="0.35">
      <c r="B355" s="25">
        <v>46445</v>
      </c>
      <c r="D355" s="25">
        <v>46445</v>
      </c>
    </row>
    <row r="356" spans="2:4" x14ac:dyDescent="0.35">
      <c r="B356" s="25">
        <v>46446</v>
      </c>
      <c r="D356" s="25">
        <v>46446</v>
      </c>
    </row>
    <row r="357" spans="2:4" x14ac:dyDescent="0.35">
      <c r="B357" s="25">
        <v>46447</v>
      </c>
      <c r="D357" s="25">
        <v>46447</v>
      </c>
    </row>
    <row r="358" spans="2:4" x14ac:dyDescent="0.35">
      <c r="B358" s="25">
        <v>46448</v>
      </c>
      <c r="D358" s="25">
        <v>46448</v>
      </c>
    </row>
    <row r="359" spans="2:4" x14ac:dyDescent="0.35">
      <c r="B359" s="25">
        <v>46449</v>
      </c>
      <c r="D359" s="25">
        <v>46449</v>
      </c>
    </row>
    <row r="360" spans="2:4" x14ac:dyDescent="0.35">
      <c r="B360" s="25">
        <v>46450</v>
      </c>
      <c r="D360" s="25">
        <v>46450</v>
      </c>
    </row>
    <row r="361" spans="2:4" x14ac:dyDescent="0.35">
      <c r="B361" s="25">
        <v>46451</v>
      </c>
      <c r="D361" s="25">
        <v>46451</v>
      </c>
    </row>
    <row r="362" spans="2:4" x14ac:dyDescent="0.35">
      <c r="B362" s="25">
        <v>46452</v>
      </c>
      <c r="D362" s="25">
        <v>46452</v>
      </c>
    </row>
    <row r="363" spans="2:4" x14ac:dyDescent="0.35">
      <c r="B363" s="25">
        <v>46453</v>
      </c>
      <c r="D363" s="25">
        <v>46453</v>
      </c>
    </row>
    <row r="364" spans="2:4" x14ac:dyDescent="0.35">
      <c r="B364" s="25">
        <v>46454</v>
      </c>
      <c r="D364" s="25">
        <v>46454</v>
      </c>
    </row>
    <row r="365" spans="2:4" x14ac:dyDescent="0.35">
      <c r="B365" s="25">
        <v>46455</v>
      </c>
      <c r="D365" s="25">
        <v>46455</v>
      </c>
    </row>
    <row r="366" spans="2:4" x14ac:dyDescent="0.35">
      <c r="B366" s="25">
        <v>46456</v>
      </c>
      <c r="D366" s="25">
        <v>46456</v>
      </c>
    </row>
    <row r="367" spans="2:4" x14ac:dyDescent="0.35">
      <c r="B367" s="25">
        <v>46457</v>
      </c>
      <c r="D367" s="25">
        <v>46457</v>
      </c>
    </row>
    <row r="368" spans="2:4" x14ac:dyDescent="0.35">
      <c r="B368" s="25">
        <v>46458</v>
      </c>
      <c r="D368" s="25">
        <v>46458</v>
      </c>
    </row>
    <row r="369" spans="2:4" x14ac:dyDescent="0.35">
      <c r="B369" s="25">
        <v>46459</v>
      </c>
      <c r="D369" s="25">
        <v>46459</v>
      </c>
    </row>
    <row r="370" spans="2:4" x14ac:dyDescent="0.35">
      <c r="B370" s="25">
        <v>46460</v>
      </c>
      <c r="D370" s="25">
        <v>46460</v>
      </c>
    </row>
    <row r="371" spans="2:4" x14ac:dyDescent="0.35">
      <c r="B371" s="25">
        <v>46461</v>
      </c>
      <c r="D371" s="25">
        <v>46461</v>
      </c>
    </row>
    <row r="372" spans="2:4" x14ac:dyDescent="0.35">
      <c r="B372" s="25">
        <v>46462</v>
      </c>
      <c r="D372" s="25">
        <v>46462</v>
      </c>
    </row>
    <row r="373" spans="2:4" x14ac:dyDescent="0.35">
      <c r="B373" s="25">
        <v>46463</v>
      </c>
      <c r="D373" s="25">
        <v>46463</v>
      </c>
    </row>
    <row r="374" spans="2:4" x14ac:dyDescent="0.35">
      <c r="B374" s="25">
        <v>46464</v>
      </c>
      <c r="D374" s="25">
        <v>46464</v>
      </c>
    </row>
    <row r="375" spans="2:4" x14ac:dyDescent="0.35">
      <c r="B375" s="25">
        <v>46465</v>
      </c>
      <c r="D375" s="25">
        <v>46465</v>
      </c>
    </row>
    <row r="376" spans="2:4" x14ac:dyDescent="0.35">
      <c r="B376" s="25">
        <v>46466</v>
      </c>
      <c r="D376" s="25">
        <v>46466</v>
      </c>
    </row>
    <row r="377" spans="2:4" x14ac:dyDescent="0.35">
      <c r="B377" s="25">
        <v>46467</v>
      </c>
      <c r="D377" s="25">
        <v>46467</v>
      </c>
    </row>
    <row r="378" spans="2:4" x14ac:dyDescent="0.35">
      <c r="B378" s="25">
        <v>46468</v>
      </c>
      <c r="D378" s="25">
        <v>46468</v>
      </c>
    </row>
    <row r="379" spans="2:4" x14ac:dyDescent="0.35">
      <c r="B379" s="25">
        <v>46469</v>
      </c>
      <c r="D379" s="25">
        <v>46469</v>
      </c>
    </row>
    <row r="380" spans="2:4" x14ac:dyDescent="0.35">
      <c r="B380" s="25">
        <v>46470</v>
      </c>
      <c r="D380" s="25">
        <v>46470</v>
      </c>
    </row>
    <row r="381" spans="2:4" x14ac:dyDescent="0.35">
      <c r="B381" s="25">
        <v>46471</v>
      </c>
      <c r="D381" s="25">
        <v>46471</v>
      </c>
    </row>
    <row r="382" spans="2:4" x14ac:dyDescent="0.35">
      <c r="B382" s="25">
        <v>46472</v>
      </c>
      <c r="D382" s="25">
        <v>46472</v>
      </c>
    </row>
    <row r="383" spans="2:4" x14ac:dyDescent="0.35">
      <c r="B383" s="25">
        <v>46473</v>
      </c>
      <c r="D383" s="25">
        <v>46473</v>
      </c>
    </row>
    <row r="384" spans="2:4" x14ac:dyDescent="0.35">
      <c r="B384" s="25">
        <v>46474</v>
      </c>
      <c r="D384" s="25">
        <v>46474</v>
      </c>
    </row>
    <row r="385" spans="2:4" x14ac:dyDescent="0.35">
      <c r="B385" s="25">
        <v>46475</v>
      </c>
      <c r="D385" s="25">
        <v>46475</v>
      </c>
    </row>
    <row r="386" spans="2:4" x14ac:dyDescent="0.35">
      <c r="B386" s="25">
        <v>46476</v>
      </c>
      <c r="D386" s="25">
        <v>46476</v>
      </c>
    </row>
    <row r="387" spans="2:4" x14ac:dyDescent="0.35">
      <c r="B387" s="25">
        <v>46477</v>
      </c>
      <c r="D387" s="25">
        <v>46477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BE68-773B-4674-98C6-8BBEB2952B7D}">
  <dimension ref="A1:E12"/>
  <sheetViews>
    <sheetView zoomScale="265" zoomScaleNormal="265" workbookViewId="0">
      <selection activeCell="E8" sqref="E8"/>
    </sheetView>
  </sheetViews>
  <sheetFormatPr defaultRowHeight="14.5" x14ac:dyDescent="0.35"/>
  <cols>
    <col min="1" max="1" width="10.1796875" bestFit="1" customWidth="1"/>
    <col min="2" max="2" width="14.36328125" bestFit="1" customWidth="1"/>
    <col min="3" max="3" width="11.6328125" customWidth="1"/>
    <col min="4" max="4" width="11.7265625" customWidth="1"/>
    <col min="5" max="5" width="14" customWidth="1"/>
  </cols>
  <sheetData>
    <row r="1" spans="1:5" x14ac:dyDescent="0.35">
      <c r="A1" s="14" t="s">
        <v>31</v>
      </c>
      <c r="B1" s="15" t="s">
        <v>32</v>
      </c>
      <c r="D1" s="14" t="s">
        <v>31</v>
      </c>
      <c r="E1" s="15" t="s">
        <v>32</v>
      </c>
    </row>
    <row r="2" spans="1:5" x14ac:dyDescent="0.35">
      <c r="A2" s="19">
        <v>46096</v>
      </c>
      <c r="B2" s="10" t="s">
        <v>37</v>
      </c>
      <c r="D2" s="19">
        <v>46096</v>
      </c>
      <c r="E2" s="10" t="s">
        <v>37</v>
      </c>
    </row>
    <row r="3" spans="1:5" x14ac:dyDescent="0.35">
      <c r="A3" s="19">
        <v>46097</v>
      </c>
      <c r="B3" s="10" t="s">
        <v>40</v>
      </c>
      <c r="D3" s="19">
        <v>46097</v>
      </c>
      <c r="E3" s="10" t="s">
        <v>40</v>
      </c>
    </row>
    <row r="4" spans="1:5" x14ac:dyDescent="0.35">
      <c r="A4" s="19">
        <v>46098</v>
      </c>
      <c r="B4" s="10" t="s">
        <v>43</v>
      </c>
      <c r="D4" s="19">
        <v>46098</v>
      </c>
      <c r="E4" s="10" t="s">
        <v>43</v>
      </c>
    </row>
    <row r="5" spans="1:5" x14ac:dyDescent="0.35">
      <c r="A5" s="19">
        <v>46099</v>
      </c>
      <c r="B5" s="10" t="s">
        <v>45</v>
      </c>
      <c r="D5" s="19">
        <v>46099</v>
      </c>
      <c r="E5" s="10" t="s">
        <v>45</v>
      </c>
    </row>
    <row r="7" spans="1:5" x14ac:dyDescent="0.35">
      <c r="C7" s="21">
        <v>46097</v>
      </c>
    </row>
    <row r="8" spans="1:5" x14ac:dyDescent="0.35">
      <c r="C8" s="22" t="s">
        <v>43</v>
      </c>
    </row>
    <row r="9" spans="1:5" x14ac:dyDescent="0.35">
      <c r="C9" s="21">
        <v>46097</v>
      </c>
    </row>
    <row r="10" spans="1:5" x14ac:dyDescent="0.35">
      <c r="C10" s="22" t="s">
        <v>43</v>
      </c>
    </row>
    <row r="11" spans="1:5" x14ac:dyDescent="0.35">
      <c r="C11" s="22" t="s">
        <v>40</v>
      </c>
    </row>
    <row r="12" spans="1:5" x14ac:dyDescent="0.35">
      <c r="C12" s="21">
        <v>46099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Data Entry</vt:lpstr>
      <vt:lpstr>Arthmatic</vt:lpstr>
      <vt:lpstr>Conditional Formatting</vt:lpstr>
      <vt:lpstr>Find , Replace</vt:lpstr>
      <vt:lpstr>CleaR</vt:lpstr>
      <vt:lpstr>filter</vt:lpstr>
      <vt:lpstr>Table</vt:lpstr>
      <vt:lpstr>Fill</vt:lpstr>
      <vt:lpstr>Clipboard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Tanu Singhal</cp:lastModifiedBy>
  <dcterms:created xsi:type="dcterms:W3CDTF">2026-02-11T12:17:55Z</dcterms:created>
  <dcterms:modified xsi:type="dcterms:W3CDTF">2026-04-18T11:26:27Z</dcterms:modified>
</cp:coreProperties>
</file>