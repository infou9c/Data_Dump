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bookViews>
    <workbookView xWindow="-110" yWindow="-110" windowWidth="19420" windowHeight="11020" xr2:uid="{33C463D9-387F-4404-BBA2-C3606B047B85}"/>
  </bookViews>
  <sheets>
    <sheet name="invoice" sheetId="1" r:id="rId1"/>
    <sheet name="Database" sheetId="4" r:id="rId2"/>
    <sheet name="Promp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0" i="1"/>
  <c r="M19" i="1"/>
  <c r="M18" i="1"/>
  <c r="M17" i="1"/>
  <c r="G14" i="1"/>
  <c r="G15" i="1"/>
  <c r="G16" i="1"/>
  <c r="G17" i="1"/>
  <c r="G18" i="1"/>
  <c r="G19" i="1"/>
  <c r="G20" i="1"/>
  <c r="G21" i="1"/>
  <c r="G22" i="1"/>
  <c r="G23" i="1"/>
  <c r="G24" i="1"/>
  <c r="G13" i="1"/>
  <c r="G26" i="1" l="1"/>
  <c r="G28" i="1" l="1"/>
  <c r="M23" i="1" s="1"/>
  <c r="M21" i="1"/>
  <c r="G29" i="1" l="1"/>
  <c r="M24" i="1" s="1"/>
  <c r="B31" i="1" a="1"/>
  <c r="B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<sst xmlns="http://schemas.openxmlformats.org/spreadsheetml/2006/main" count="46" uniqueCount="39">
  <si>
    <t>Item No</t>
  </si>
  <si>
    <t>Description</t>
  </si>
  <si>
    <t>Unit Price</t>
  </si>
  <si>
    <t>Qty</t>
  </si>
  <si>
    <t>Amount</t>
  </si>
  <si>
    <t>INVOICE</t>
  </si>
  <si>
    <t>Invoice No :</t>
  </si>
  <si>
    <t>Date :</t>
  </si>
  <si>
    <t>Custumer :</t>
  </si>
  <si>
    <t>Address :</t>
  </si>
  <si>
    <t>Phone:</t>
  </si>
  <si>
    <t>343, Xyz</t>
  </si>
  <si>
    <t>Abc Ltd.</t>
  </si>
  <si>
    <t>Phone 720xxxxx56</t>
  </si>
  <si>
    <t>Fax 234xxx45444</t>
  </si>
  <si>
    <t>Abc@gmail com</t>
  </si>
  <si>
    <t>Subtotal :</t>
  </si>
  <si>
    <t>Tax Rate</t>
  </si>
  <si>
    <t>Sales Tax</t>
  </si>
  <si>
    <t>Tax Rate :</t>
  </si>
  <si>
    <t>Sales Tax :</t>
  </si>
  <si>
    <t>TOTAL :</t>
  </si>
  <si>
    <t>Total due in 90 days. Overdue accounts subject to a service charge of 1.5% per month.</t>
  </si>
  <si>
    <t>Please make all checks payable to Elegant Embrace.</t>
  </si>
  <si>
    <t>Discount %</t>
  </si>
  <si>
    <t>d13 and e13 cell ko multiply kar ke f13 cell me jitne percent discount hai wo minus karna hai formula batao</t>
  </si>
  <si>
    <t>Agar E13 cell blank ho, toh amount blank dikhana hai. Iske liye kya formula use karein</t>
  </si>
  <si>
    <t>g29 cell me subtotal hai aur g30 me tax rate percentage me likha hai ( jaise 10%, 5% ).. sales tax nikalna hai formula batao</t>
  </si>
  <si>
    <t>excel me numbers ko English words me convert karna hai jaise 10.20 ko tan rupees and twenty paise only.. vba code do</t>
  </si>
  <si>
    <t>excel invoice sheet ki a1:h38 range ko as pdf C:\Users\Deep\Desktop\New folder me c4 cell me jo invoice number hai us name se save karna hai iska vba code do</t>
  </si>
  <si>
    <t>invoice no</t>
  </si>
  <si>
    <t>customer name</t>
  </si>
  <si>
    <t>phone</t>
  </si>
  <si>
    <t>date</t>
  </si>
  <si>
    <t>Subtotal</t>
  </si>
  <si>
    <t>TOTAL</t>
  </si>
  <si>
    <t>ramesh kumar</t>
  </si>
  <si>
    <t>84754xxxx3</t>
  </si>
  <si>
    <t>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</si>
</sst>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b/>
      <sz val="7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20"/>
      <color rgb="FFEE0000"/>
      <name val="Aptos Narrow"/>
      <family val="2"/>
      <scheme val="minor"/>
    </font>
    <font>
      <sz val="20"/>
      <color theme="1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3" borderId="0" xfId="0" applyFill="1"/>
    <xf numFmtId="0" fontId="1" fillId="3" borderId="4" xfId="0" applyFont="1" applyFill="1" applyBorder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0" fontId="1" fillId="3" borderId="9" xfId="0" applyFont="1" applyFill="1" applyBorder="1" applyAlignment="1">
      <alignment horizontal="right"/>
    </xf>
    <xf numFmtId="0" fontId="0" fillId="3" borderId="2" xfId="0" applyFill="1" applyBorder="1"/>
    <xf numFmtId="0" fontId="0" fillId="3" borderId="10" xfId="0" applyFill="1" applyBorder="1"/>
    <xf numFmtId="0" fontId="0" fillId="3" borderId="0" xfId="0" applyFill="1" applyBorder="1"/>
    <xf numFmtId="0" fontId="1" fillId="3" borderId="7" xfId="0" applyFont="1" applyFill="1" applyBorder="1" applyAlignment="1">
      <alignment horizontal="right"/>
    </xf>
    <xf numFmtId="0" fontId="0" fillId="3" borderId="3" xfId="0" applyFill="1" applyBorder="1"/>
    <xf numFmtId="0" fontId="0" fillId="3" borderId="8" xfId="0" applyFill="1" applyBorder="1"/>
    <xf numFmtId="0" fontId="4" fillId="3" borderId="0" xfId="1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5" fillId="4" borderId="11" xfId="0" applyFont="1" applyFill="1" applyBorder="1" applyAlignment="1">
      <alignment horizontal="left" vertical="center"/>
    </xf>
    <xf numFmtId="0" fontId="2" fillId="4" borderId="12" xfId="0" applyFont="1" applyFill="1" applyBorder="1"/>
    <xf numFmtId="0" fontId="2" fillId="4" borderId="13" xfId="0" applyFont="1" applyFill="1" applyBorder="1"/>
    <xf numFmtId="0" fontId="6" fillId="4" borderId="1" xfId="0" applyFont="1" applyFill="1" applyBorder="1"/>
    <xf numFmtId="0" fontId="3" fillId="3" borderId="1" xfId="0" applyNumberFormat="1" applyFont="1" applyFill="1" applyBorder="1"/>
    <xf numFmtId="9" fontId="0" fillId="3" borderId="1" xfId="0" applyNumberFormat="1" applyFill="1" applyBorder="1"/>
    <xf numFmtId="0" fontId="3" fillId="3" borderId="1" xfId="0" applyFont="1" applyFill="1" applyBorder="1" applyAlignment="1">
      <alignment horizontal="left"/>
    </xf>
    <xf numFmtId="14" fontId="0" fillId="3" borderId="2" xfId="0" applyNumberFormat="1" applyFill="1" applyBorder="1"/>
    <xf numFmtId="0" fontId="2" fillId="0" borderId="0" xfId="0" applyFont="1"/>
    <xf numFmtId="9" fontId="2" fillId="0" borderId="0" xfId="0" applyNumberFormat="1" applyFont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0" xfId="0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2" fillId="3" borderId="17" xfId="0" applyFont="1" applyFill="1" applyBorder="1"/>
    <xf numFmtId="0" fontId="3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2" fillId="3" borderId="19" xfId="0" applyFont="1" applyFill="1" applyBorder="1"/>
    <xf numFmtId="0" fontId="2" fillId="3" borderId="3" xfId="0" applyFont="1" applyFill="1" applyBorder="1"/>
    <xf numFmtId="0" fontId="0" fillId="3" borderId="20" xfId="0" applyFill="1" applyBorder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650875</xdr:colOff>
      <xdr:row>0</xdr:row>
      <xdr:rowOff>0</xdr:rowOff>
    </xdr:from>
    <xdr:to>
      <xdr:col>11</xdr:col>
      <xdr:colOff>1663989</xdr:colOff>
      <xdr:row>1</xdr:row>
      <xdr:rowOff>1016000</xdr:rowOff>
    </xdr:to>
    <xdr:sp macro="[0]!CopyInvoiceData" textlink="">
      <xdr:nvSpPr>
        <xdr:cNvPr id="5" name="Rectangle 4">
          <a:extLst>
            <a:ext uri="{FF2B5EF4-FFF2-40B4-BE49-F238E27FC236}">
              <a16:creationId xmlns:a16="http://schemas.microsoft.com/office/drawing/2014/main" id="{752F448B-82B9-CBF9-5216-D9367500CDFB}"/>
            </a:ext>
          </a:extLst>
        </xdr:cNvPr>
        <xdr:cNvSpPr/>
      </xdr:nvSpPr>
      <xdr:spPr>
        <a:xfrm>
          <a:off x="11953875" y="333375"/>
          <a:ext cx="4854864" cy="1349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5400" b="1"/>
            <a:t>Save data</a:t>
          </a:r>
        </a:p>
      </xdr:txBody>
    </xdr:sp>
    <xdr:clientData/>
  </xdr:twoCellAnchor>
  <xdr:twoCellAnchor>
    <xdr:from>
      <xdr:col>8</xdr:col>
      <xdr:colOff>650875</xdr:colOff>
      <xdr:row>2</xdr:row>
      <xdr:rowOff>125557</xdr:rowOff>
    </xdr:from>
    <xdr:to>
      <xdr:col>11</xdr:col>
      <xdr:colOff>1663989</xdr:colOff>
      <xdr:row>6</xdr:row>
      <xdr:rowOff>137102</xdr:rowOff>
    </xdr:to>
    <xdr:sp macro="[0]!SaveInvoiceAsPDF" textlink="">
      <xdr:nvSpPr>
        <xdr:cNvPr id="6" name="Rectangle 5">
          <a:extLst>
            <a:ext uri="{FF2B5EF4-FFF2-40B4-BE49-F238E27FC236}">
              <a16:creationId xmlns:a16="http://schemas.microsoft.com/office/drawing/2014/main" id="{DD307A73-4E36-80CF-7F4F-FBF91699936C}"/>
            </a:ext>
          </a:extLst>
        </xdr:cNvPr>
        <xdr:cNvSpPr/>
      </xdr:nvSpPr>
      <xdr:spPr>
        <a:xfrm>
          <a:off x="11953875" y="1982932"/>
          <a:ext cx="4854864" cy="1345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5400" b="1"/>
            <a:t>Save as</a:t>
          </a:r>
          <a:r>
            <a:rPr lang="en-IN" sz="5400" b="1" baseline="0"/>
            <a:t> PDF</a:t>
          </a:r>
          <a:endParaRPr lang="en-IN" sz="5400" b="1"/>
        </a:p>
      </xdr:txBody>
    </xdr:sp>
    <xdr:clientData/>
  </xdr:twoCellAnchor>
  <xdr:twoCellAnchor>
    <xdr:from>
      <xdr:col>8</xdr:col>
      <xdr:colOff>673966</xdr:colOff>
      <xdr:row>7</xdr:row>
      <xdr:rowOff>114012</xdr:rowOff>
    </xdr:from>
    <xdr:to>
      <xdr:col>11</xdr:col>
      <xdr:colOff>1687080</xdr:colOff>
      <xdr:row>11</xdr:row>
      <xdr:rowOff>125557</xdr:rowOff>
    </xdr:to>
    <xdr:sp macro="[0]!ClearInvoiceData" textlink="">
      <xdr:nvSpPr>
        <xdr:cNvPr id="7" name="Rectangle 6">
          <a:extLst>
            <a:ext uri="{FF2B5EF4-FFF2-40B4-BE49-F238E27FC236}">
              <a16:creationId xmlns:a16="http://schemas.microsoft.com/office/drawing/2014/main" id="{50858B8D-B844-13F0-1164-8E713E5DF2AA}"/>
            </a:ext>
          </a:extLst>
        </xdr:cNvPr>
        <xdr:cNvSpPr/>
      </xdr:nvSpPr>
      <xdr:spPr>
        <a:xfrm>
          <a:off x="11976966" y="3638262"/>
          <a:ext cx="4854864" cy="1345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5400" b="1"/>
            <a:t>Clear invoice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DFAA84-C6DF-4044-B2B7-5689A3F0A252}" name="Table2" displayName="Table2" ref="A1:H2" totalsRowShown="0">
  <autoFilter ref="A1:H2" xr:uid="{B5DFAA84-C6DF-4044-B2B7-5689A3F0A252}"/>
  <tableColumns count="8">
    <tableColumn id="1" xr3:uid="{ECE31E8F-C76B-4C84-9082-834BB51400ED}" name="invoice no"/>
    <tableColumn id="2" xr3:uid="{54EDC164-FF24-4B2B-ACF7-8DD6638DB498}" name="customer name"/>
    <tableColumn id="3" xr3:uid="{F4FBCE95-A239-4B68-B85B-EA4F82A174AB}" name="phone"/>
    <tableColumn id="4" xr3:uid="{0F8E6205-7A03-4D91-BA1C-EE8803D2667F}" name="date"/>
    <tableColumn id="5" xr3:uid="{7C584028-B3F8-41F6-BF87-605F3A774E5E}" name="Subtotal"/>
    <tableColumn id="6" xr3:uid="{EBD2B91E-B2DE-4A5A-8645-6AC4CEF8B69B}" name="Tax Rate"/>
    <tableColumn id="7" xr3:uid="{A25812D5-F51B-4D3B-83E7-F69F2A40333C}" name="Sales Tax"/>
    <tableColumn id="8" xr3:uid="{10F36127-7B32-4E73-9D37-251135FC2BE4}" name="TOTAL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%20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F91A-E5CB-4004-A37F-1BF1CDAA5D0F}">
  <sheetPr codeName="Sheet1">
    <pageSetUpPr fitToPage="1"/>
  </sheetPr>
  <dimension ref="A1:U38"/>
  <sheetViews>
    <sheetView tabSelected="1" zoomScale="40" zoomScaleNormal="40" zoomScalePageLayoutView="40" workbookViewId="0">
      <selection activeCell="B31" sqref="B31:G31"/>
    </sheetView>
  </sheetViews>
  <sheetFormatPr defaultRowHeight="26" x14ac:dyDescent="0.6"/>
  <cols>
    <col min="1" max="1" width="2.69921875" style="1" customWidth="1"/>
    <col min="2" max="2" width="11.796875" style="1" customWidth="1"/>
    <col min="3" max="3" width="20" style="1" customWidth="1"/>
    <col min="4" max="4" width="9.046875" style="1" customWidth="1"/>
    <col min="5" max="5" width="9.44921875" style="1" customWidth="1"/>
    <col min="6" max="6" width="9.796875" style="1" customWidth="1"/>
    <col min="7" max="7" width="13.75" style="1" customWidth="1"/>
    <col min="8" max="8" width="3.796875" style="1" customWidth="1"/>
    <col min="11" max="11" width="12.796875" customWidth="1"/>
    <col min="12" max="12" width="15.046875" customWidth="1"/>
  </cols>
  <sheetData>
    <row r="1" spans="1:21" ht="26.5" thickBot="1" x14ac:dyDescent="0.65">
      <c r="A1" s="26"/>
      <c r="B1" s="27"/>
      <c r="C1" s="27"/>
      <c r="D1" s="27"/>
      <c r="E1" s="27"/>
      <c r="F1" s="27"/>
      <c r="G1" s="27"/>
      <c r="H1" s="28"/>
    </row>
    <row r="2" spans="1:21" ht="94" thickBot="1" x14ac:dyDescent="0.65">
      <c r="A2" s="29"/>
      <c r="B2" s="16" t="s">
        <v>5</v>
      </c>
      <c r="C2" s="17"/>
      <c r="D2" s="17"/>
      <c r="E2" s="17"/>
      <c r="F2" s="17"/>
      <c r="G2" s="18"/>
      <c r="H2" s="30"/>
    </row>
    <row r="3" spans="1:21" ht="26.5" thickBot="1" x14ac:dyDescent="0.65">
      <c r="A3" s="29"/>
      <c r="B3" s="8"/>
      <c r="C3" s="8"/>
      <c r="D3" s="8"/>
      <c r="E3" s="8"/>
      <c r="F3" s="8"/>
      <c r="G3" s="8"/>
      <c r="H3" s="30"/>
    </row>
    <row r="4" spans="1:21" x14ac:dyDescent="0.6">
      <c r="A4" s="29"/>
      <c r="B4" s="2" t="s">
        <v>6</v>
      </c>
      <c r="C4" s="3"/>
      <c r="D4" s="4"/>
      <c r="E4" s="8"/>
      <c r="F4" s="8"/>
      <c r="G4" s="8"/>
      <c r="H4" s="30"/>
    </row>
    <row r="5" spans="1:21" ht="26.5" thickBot="1" x14ac:dyDescent="0.65">
      <c r="A5" s="29"/>
      <c r="B5" s="5" t="s">
        <v>7</v>
      </c>
      <c r="C5" s="23"/>
      <c r="D5" s="7"/>
      <c r="E5" s="8"/>
      <c r="F5" s="8" t="s">
        <v>11</v>
      </c>
      <c r="G5" s="8"/>
      <c r="H5" s="30"/>
    </row>
    <row r="6" spans="1:21" ht="26.5" thickBot="1" x14ac:dyDescent="0.65">
      <c r="A6" s="29"/>
      <c r="B6" s="31"/>
      <c r="C6" s="8"/>
      <c r="D6" s="8"/>
      <c r="E6" s="8"/>
      <c r="F6" s="8" t="s">
        <v>12</v>
      </c>
      <c r="G6" s="8"/>
      <c r="H6" s="30"/>
    </row>
    <row r="7" spans="1:21" x14ac:dyDescent="0.6">
      <c r="A7" s="29"/>
      <c r="B7" s="2" t="s">
        <v>8</v>
      </c>
      <c r="C7" s="3"/>
      <c r="D7" s="4"/>
      <c r="E7" s="8"/>
      <c r="F7" s="8" t="s">
        <v>13</v>
      </c>
      <c r="G7" s="8"/>
      <c r="H7" s="30"/>
    </row>
    <row r="8" spans="1:21" x14ac:dyDescent="0.6">
      <c r="A8" s="29"/>
      <c r="B8" s="9" t="s">
        <v>9</v>
      </c>
      <c r="C8" s="10"/>
      <c r="D8" s="11"/>
      <c r="E8" s="8"/>
      <c r="F8" s="8" t="s">
        <v>14</v>
      </c>
      <c r="G8" s="8"/>
      <c r="H8" s="30"/>
    </row>
    <row r="9" spans="1:21" ht="26.5" thickBot="1" x14ac:dyDescent="0.65">
      <c r="A9" s="29"/>
      <c r="B9" s="5" t="s">
        <v>10</v>
      </c>
      <c r="C9" s="6"/>
      <c r="D9" s="7"/>
      <c r="E9" s="8"/>
      <c r="F9" s="12" t="s">
        <v>15</v>
      </c>
      <c r="G9" s="8"/>
      <c r="H9" s="30"/>
    </row>
    <row r="10" spans="1:21" x14ac:dyDescent="0.6">
      <c r="A10" s="29"/>
      <c r="B10" s="8"/>
      <c r="C10" s="8"/>
      <c r="D10" s="8"/>
      <c r="E10" s="8"/>
      <c r="F10" s="8"/>
      <c r="G10" s="8"/>
      <c r="H10" s="30"/>
    </row>
    <row r="11" spans="1:21" x14ac:dyDescent="0.6">
      <c r="A11" s="29"/>
      <c r="B11" s="8"/>
      <c r="C11" s="8"/>
      <c r="D11" s="8"/>
      <c r="E11" s="8"/>
      <c r="F11" s="8"/>
      <c r="G11" s="8"/>
      <c r="H11" s="30"/>
    </row>
    <row r="12" spans="1:21" x14ac:dyDescent="0.6">
      <c r="A12" s="29"/>
      <c r="B12" s="19" t="s">
        <v>0</v>
      </c>
      <c r="C12" s="19" t="s">
        <v>1</v>
      </c>
      <c r="D12" s="19" t="s">
        <v>2</v>
      </c>
      <c r="E12" s="19" t="s">
        <v>3</v>
      </c>
      <c r="F12" s="19" t="s">
        <v>24</v>
      </c>
      <c r="G12" s="19" t="s">
        <v>4</v>
      </c>
      <c r="H12" s="30"/>
    </row>
    <row r="13" spans="1:21" x14ac:dyDescent="0.6">
      <c r="A13" s="29"/>
      <c r="B13" s="22"/>
      <c r="C13" s="13"/>
      <c r="D13" s="13"/>
      <c r="E13" s="13"/>
      <c r="F13" s="20"/>
      <c r="G13" s="13" t="str">
        <f>IF(D13*E13 - (D13*E13*F13/100) = 0, "", D13*E13 - (D13*E13*F13/100))</f>
        <v/>
      </c>
      <c r="H13" s="30"/>
    </row>
    <row r="14" spans="1:21" x14ac:dyDescent="0.6">
      <c r="A14" s="29"/>
      <c r="B14" s="22"/>
      <c r="C14" s="13"/>
      <c r="D14" s="13"/>
      <c r="E14" s="13"/>
      <c r="F14" s="20"/>
      <c r="G14" s="13" t="str">
        <f t="shared" ref="G14:G24" si="0">IF(D14*E14 - (D14*E14*F14/100) = 0, "", D14*E14 - (D14*E14*F14/100))</f>
        <v/>
      </c>
      <c r="H14" s="30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spans="1:21" x14ac:dyDescent="0.6">
      <c r="A15" s="29"/>
      <c r="B15" s="22"/>
      <c r="C15" s="13"/>
      <c r="D15" s="13"/>
      <c r="E15" s="13"/>
      <c r="F15" s="20"/>
      <c r="G15" s="13" t="str">
        <f t="shared" si="0"/>
        <v/>
      </c>
      <c r="H15" s="30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spans="1:21" x14ac:dyDescent="0.6">
      <c r="A16" s="29"/>
      <c r="B16" s="22"/>
      <c r="C16" s="13"/>
      <c r="D16" s="13"/>
      <c r="E16" s="13"/>
      <c r="F16" s="20"/>
      <c r="G16" s="13" t="str">
        <f t="shared" si="0"/>
        <v/>
      </c>
      <c r="H16" s="30"/>
      <c r="K16" s="24"/>
      <c r="L16" s="24"/>
      <c r="M16" s="24"/>
      <c r="N16" s="24"/>
      <c r="O16" s="24"/>
      <c r="P16" s="24"/>
      <c r="Q16" s="24"/>
      <c r="R16" s="39"/>
      <c r="S16" s="39"/>
      <c r="T16" s="39"/>
      <c r="U16" s="39"/>
    </row>
    <row r="17" spans="1:21" x14ac:dyDescent="0.6">
      <c r="A17" s="29"/>
      <c r="B17" s="22"/>
      <c r="C17" s="13"/>
      <c r="D17" s="13"/>
      <c r="E17" s="13"/>
      <c r="F17" s="13"/>
      <c r="G17" s="13" t="str">
        <f t="shared" si="0"/>
        <v/>
      </c>
      <c r="H17" s="30"/>
      <c r="K17" s="24"/>
      <c r="L17" s="24" t="s">
        <v>30</v>
      </c>
      <c r="M17" s="24">
        <f>C4</f>
        <v>0</v>
      </c>
      <c r="N17" s="24"/>
      <c r="O17" s="24"/>
      <c r="P17" s="24"/>
      <c r="Q17" s="24"/>
      <c r="R17" s="39"/>
      <c r="S17" s="39"/>
      <c r="T17" s="39"/>
      <c r="U17" s="39"/>
    </row>
    <row r="18" spans="1:21" x14ac:dyDescent="0.6">
      <c r="A18" s="29"/>
      <c r="B18" s="22"/>
      <c r="C18" s="13"/>
      <c r="D18" s="13"/>
      <c r="E18" s="13"/>
      <c r="F18" s="13"/>
      <c r="G18" s="13" t="str">
        <f t="shared" si="0"/>
        <v/>
      </c>
      <c r="H18" s="30"/>
      <c r="K18" s="24"/>
      <c r="L18" s="24" t="s">
        <v>31</v>
      </c>
      <c r="M18" s="24">
        <f>C7</f>
        <v>0</v>
      </c>
      <c r="N18" s="24"/>
      <c r="O18" s="24"/>
      <c r="P18" s="24"/>
      <c r="Q18" s="24"/>
      <c r="R18" s="39"/>
      <c r="S18" s="39"/>
      <c r="T18" s="39"/>
      <c r="U18" s="39"/>
    </row>
    <row r="19" spans="1:21" x14ac:dyDescent="0.6">
      <c r="A19" s="29"/>
      <c r="B19" s="22"/>
      <c r="C19" s="13"/>
      <c r="D19" s="13"/>
      <c r="E19" s="13"/>
      <c r="F19" s="13"/>
      <c r="G19" s="13" t="str">
        <f t="shared" si="0"/>
        <v/>
      </c>
      <c r="H19" s="30"/>
      <c r="K19" s="24"/>
      <c r="L19" s="24" t="s">
        <v>32</v>
      </c>
      <c r="M19" s="24">
        <f>C9</f>
        <v>0</v>
      </c>
      <c r="N19" s="24"/>
      <c r="O19" s="24"/>
      <c r="P19" s="24"/>
      <c r="Q19" s="24"/>
      <c r="R19" s="39"/>
      <c r="S19" s="39"/>
      <c r="T19" s="39"/>
      <c r="U19" s="39"/>
    </row>
    <row r="20" spans="1:21" x14ac:dyDescent="0.6">
      <c r="A20" s="29"/>
      <c r="B20" s="22"/>
      <c r="C20" s="13"/>
      <c r="D20" s="13"/>
      <c r="E20" s="13"/>
      <c r="F20" s="13"/>
      <c r="G20" s="13" t="str">
        <f t="shared" si="0"/>
        <v/>
      </c>
      <c r="H20" s="30"/>
      <c r="K20" s="24"/>
      <c r="L20" s="24" t="s">
        <v>33</v>
      </c>
      <c r="M20" s="24">
        <f>C5</f>
        <v>0</v>
      </c>
      <c r="N20" s="24"/>
      <c r="O20" s="24"/>
      <c r="P20" s="24"/>
      <c r="Q20" s="24"/>
      <c r="R20" s="39"/>
      <c r="S20" s="39"/>
      <c r="T20" s="39"/>
      <c r="U20" s="39"/>
    </row>
    <row r="21" spans="1:21" x14ac:dyDescent="0.6">
      <c r="A21" s="29"/>
      <c r="B21" s="22"/>
      <c r="C21" s="13"/>
      <c r="D21" s="13"/>
      <c r="E21" s="13"/>
      <c r="F21" s="13"/>
      <c r="G21" s="13" t="str">
        <f t="shared" si="0"/>
        <v/>
      </c>
      <c r="H21" s="30"/>
      <c r="K21" s="24"/>
      <c r="L21" s="24" t="s">
        <v>16</v>
      </c>
      <c r="M21" s="24">
        <f>G26</f>
        <v>0</v>
      </c>
      <c r="N21" s="24"/>
      <c r="O21" s="24"/>
      <c r="P21" s="24"/>
      <c r="Q21" s="24"/>
      <c r="R21" s="39"/>
      <c r="S21" s="39"/>
      <c r="T21" s="39"/>
      <c r="U21" s="39"/>
    </row>
    <row r="22" spans="1:21" x14ac:dyDescent="0.6">
      <c r="A22" s="29"/>
      <c r="B22" s="22"/>
      <c r="C22" s="13"/>
      <c r="D22" s="13"/>
      <c r="E22" s="13"/>
      <c r="F22" s="13"/>
      <c r="G22" s="13" t="str">
        <f t="shared" si="0"/>
        <v/>
      </c>
      <c r="H22" s="30"/>
      <c r="K22" s="24"/>
      <c r="L22" s="24" t="s">
        <v>19</v>
      </c>
      <c r="M22" s="25">
        <f>G27</f>
        <v>0.08</v>
      </c>
      <c r="N22" s="24"/>
      <c r="O22" s="24"/>
      <c r="P22" s="24"/>
      <c r="Q22" s="24"/>
      <c r="R22" s="39"/>
      <c r="S22" s="39"/>
      <c r="T22" s="39"/>
      <c r="U22" s="39"/>
    </row>
    <row r="23" spans="1:21" x14ac:dyDescent="0.6">
      <c r="A23" s="29"/>
      <c r="B23" s="22"/>
      <c r="C23" s="13"/>
      <c r="D23" s="13"/>
      <c r="E23" s="13"/>
      <c r="F23" s="13"/>
      <c r="G23" s="13" t="str">
        <f t="shared" si="0"/>
        <v/>
      </c>
      <c r="H23" s="30"/>
      <c r="K23" s="24"/>
      <c r="L23" s="24" t="s">
        <v>38</v>
      </c>
      <c r="M23" s="24">
        <f>G28</f>
        <v>0</v>
      </c>
      <c r="N23" s="24"/>
      <c r="O23" s="24"/>
      <c r="P23" s="24"/>
      <c r="Q23" s="24"/>
      <c r="R23" s="39"/>
      <c r="S23" s="39"/>
      <c r="T23" s="39"/>
      <c r="U23" s="39"/>
    </row>
    <row r="24" spans="1:21" x14ac:dyDescent="0.6">
      <c r="A24" s="29"/>
      <c r="B24" s="22"/>
      <c r="C24" s="13"/>
      <c r="D24" s="13"/>
      <c r="E24" s="13"/>
      <c r="F24" s="13"/>
      <c r="G24" s="13" t="str">
        <f t="shared" si="0"/>
        <v/>
      </c>
      <c r="H24" s="30"/>
      <c r="K24" s="24"/>
      <c r="L24" s="24" t="s">
        <v>21</v>
      </c>
      <c r="M24" s="24">
        <f>G29</f>
        <v>0</v>
      </c>
      <c r="N24" s="24"/>
      <c r="O24" s="24"/>
      <c r="P24" s="24"/>
      <c r="Q24" s="24"/>
      <c r="R24" s="39"/>
      <c r="S24" s="39"/>
      <c r="T24" s="39"/>
      <c r="U24" s="39"/>
    </row>
    <row r="25" spans="1:21" x14ac:dyDescent="0.6">
      <c r="A25" s="29"/>
      <c r="B25" s="8"/>
      <c r="C25" s="8"/>
      <c r="D25" s="8"/>
      <c r="E25" s="8"/>
      <c r="F25" s="8"/>
      <c r="G25" s="8"/>
      <c r="H25" s="30"/>
      <c r="K25" s="24"/>
      <c r="L25" s="24"/>
      <c r="M25" s="24"/>
      <c r="N25" s="24"/>
      <c r="O25" s="24"/>
      <c r="P25" s="24"/>
      <c r="Q25" s="24"/>
      <c r="R25" s="39"/>
      <c r="S25" s="39"/>
      <c r="T25" s="39"/>
      <c r="U25" s="39"/>
    </row>
    <row r="26" spans="1:21" x14ac:dyDescent="0.6">
      <c r="A26" s="29"/>
      <c r="B26" s="8"/>
      <c r="C26" s="8"/>
      <c r="D26" s="8"/>
      <c r="E26" s="8"/>
      <c r="F26" s="14" t="s">
        <v>16</v>
      </c>
      <c r="G26" s="15">
        <f>SUM(G13:G24)</f>
        <v>0</v>
      </c>
      <c r="H26" s="30"/>
      <c r="K26" s="24"/>
      <c r="L26" s="24"/>
      <c r="M26" s="24"/>
      <c r="N26" s="24"/>
      <c r="O26" s="24"/>
      <c r="P26" s="24"/>
      <c r="Q26" s="24"/>
      <c r="R26" s="39"/>
      <c r="S26" s="39"/>
      <c r="T26" s="39"/>
      <c r="U26" s="39"/>
    </row>
    <row r="27" spans="1:21" x14ac:dyDescent="0.6">
      <c r="A27" s="29"/>
      <c r="B27" s="8"/>
      <c r="C27" s="8"/>
      <c r="D27" s="8"/>
      <c r="E27" s="8"/>
      <c r="F27" s="14" t="s">
        <v>19</v>
      </c>
      <c r="G27" s="21">
        <v>0.08</v>
      </c>
      <c r="H27" s="30"/>
      <c r="K27" s="24"/>
      <c r="L27" s="24"/>
      <c r="M27" s="24"/>
      <c r="N27" s="24"/>
      <c r="O27" s="24"/>
      <c r="P27" s="24"/>
      <c r="Q27" s="24"/>
      <c r="R27" s="39"/>
      <c r="S27" s="39"/>
      <c r="T27" s="39"/>
      <c r="U27" s="39"/>
    </row>
    <row r="28" spans="1:21" x14ac:dyDescent="0.6">
      <c r="A28" s="29"/>
      <c r="B28" s="8"/>
      <c r="C28" s="8"/>
      <c r="D28" s="8"/>
      <c r="E28" s="8"/>
      <c r="F28" s="14" t="s">
        <v>20</v>
      </c>
      <c r="G28" s="15">
        <f>G26 * G27</f>
        <v>0</v>
      </c>
      <c r="H28" s="30"/>
      <c r="K28" s="24"/>
      <c r="L28" s="24"/>
      <c r="M28" s="24"/>
      <c r="N28" s="24"/>
      <c r="O28" s="24"/>
      <c r="P28" s="24"/>
      <c r="Q28" s="24"/>
      <c r="R28" s="39"/>
      <c r="S28" s="39"/>
      <c r="T28" s="39"/>
      <c r="U28" s="39"/>
    </row>
    <row r="29" spans="1:21" x14ac:dyDescent="0.6">
      <c r="A29" s="29"/>
      <c r="B29" s="8"/>
      <c r="C29" s="8"/>
      <c r="D29" s="8"/>
      <c r="E29" s="8"/>
      <c r="F29" s="14" t="s">
        <v>21</v>
      </c>
      <c r="G29" s="15">
        <f>G26-G28</f>
        <v>0</v>
      </c>
      <c r="H29" s="30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</row>
    <row r="30" spans="1:21" x14ac:dyDescent="0.6">
      <c r="A30" s="29"/>
      <c r="B30" s="8"/>
      <c r="C30" s="8"/>
      <c r="D30" s="8"/>
      <c r="E30" s="8"/>
      <c r="F30" s="8"/>
      <c r="G30" s="8"/>
      <c r="H30" s="30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 spans="1:21" x14ac:dyDescent="0.6">
      <c r="A31" s="29"/>
      <c r="B31" s="32" t="str" cm="1">
        <f t="array" ref="B31">ConvertToWords(G29)</f>
        <v>Only</v>
      </c>
      <c r="C31" s="32"/>
      <c r="D31" s="32"/>
      <c r="E31" s="32"/>
      <c r="F31" s="32"/>
      <c r="G31" s="32"/>
      <c r="H31" s="30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</row>
    <row r="32" spans="1:21" x14ac:dyDescent="0.6">
      <c r="A32" s="29"/>
      <c r="B32" s="8"/>
      <c r="C32" s="8"/>
      <c r="D32" s="8"/>
      <c r="E32" s="8"/>
      <c r="F32" s="8"/>
      <c r="G32" s="8"/>
      <c r="H32" s="30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 spans="1:21" x14ac:dyDescent="0.6">
      <c r="A33" s="33"/>
      <c r="B33" s="34" t="s">
        <v>23</v>
      </c>
      <c r="C33" s="34"/>
      <c r="D33" s="34"/>
      <c r="E33" s="34"/>
      <c r="F33" s="34"/>
      <c r="G33" s="34"/>
      <c r="H33" s="30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</row>
    <row r="34" spans="1:21" x14ac:dyDescent="0.6">
      <c r="A34" s="33"/>
      <c r="B34" s="34" t="s">
        <v>22</v>
      </c>
      <c r="C34" s="34"/>
      <c r="D34" s="34"/>
      <c r="E34" s="34"/>
      <c r="F34" s="34"/>
      <c r="G34" s="34"/>
      <c r="H34" s="30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</row>
    <row r="35" spans="1:21" x14ac:dyDescent="0.6">
      <c r="A35" s="29"/>
      <c r="B35" s="8"/>
      <c r="C35" s="8"/>
      <c r="D35" s="8"/>
      <c r="E35" s="8"/>
      <c r="F35" s="8"/>
      <c r="G35" s="8"/>
      <c r="H35" s="30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</row>
    <row r="36" spans="1:21" x14ac:dyDescent="0.6">
      <c r="A36" s="33"/>
      <c r="B36" s="35"/>
      <c r="C36" s="35"/>
      <c r="D36" s="35"/>
      <c r="E36" s="35"/>
      <c r="F36" s="35"/>
      <c r="G36" s="35"/>
      <c r="H36" s="30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</row>
    <row r="37" spans="1:21" x14ac:dyDescent="0.6">
      <c r="A37" s="36"/>
      <c r="B37" s="37"/>
      <c r="C37" s="37"/>
      <c r="D37" s="37"/>
      <c r="E37" s="37"/>
      <c r="F37" s="37"/>
      <c r="G37" s="37"/>
      <c r="H37" s="38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1:21" x14ac:dyDescent="0.6"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</row>
  </sheetData>
  <mergeCells count="3">
    <mergeCell ref="B33:G33"/>
    <mergeCell ref="B34:G34"/>
    <mergeCell ref="B31:G31"/>
  </mergeCells>
  <hyperlinks>
    <hyperlink ref="F9" r:id="rId1" xr:uid="{9233FF04-D46E-44AD-9ECF-A7C1937A1C1F}"/>
  </hyperlinks>
  <pageMargins left="0.39" right="0.35" top="0.52" bottom="0.21" header="0.14000000000000001" footer="0"/>
  <pageSetup paperSize="9" scale="36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7910-BCA2-441D-B179-709E4D9C6903}">
  <sheetPr codeName="Sheet4"/>
  <dimension ref="A1:H2"/>
  <sheetViews>
    <sheetView zoomScale="70" zoomScaleNormal="70" workbookViewId="0">
      <selection activeCell="C11" sqref="C11"/>
    </sheetView>
  </sheetViews>
  <sheetFormatPr defaultRowHeight="26" x14ac:dyDescent="0.6"/>
  <cols>
    <col min="1" max="1" width="14.8984375" customWidth="1"/>
    <col min="2" max="2" width="17.3984375" customWidth="1"/>
    <col min="3" max="8" width="14.8984375" customWidth="1"/>
  </cols>
  <sheetData>
    <row r="1" spans="1:8" x14ac:dyDescent="0.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17</v>
      </c>
      <c r="G1" t="s">
        <v>18</v>
      </c>
      <c r="H1" t="s">
        <v>35</v>
      </c>
    </row>
    <row r="2" spans="1:8" x14ac:dyDescent="0.6">
      <c r="A2">
        <v>1</v>
      </c>
      <c r="B2" t="s">
        <v>36</v>
      </c>
      <c r="C2" t="s">
        <v>37</v>
      </c>
      <c r="D2">
        <v>45728</v>
      </c>
      <c r="E2">
        <v>694785</v>
      </c>
      <c r="F2">
        <v>0.08</v>
      </c>
      <c r="G2">
        <v>55582.8</v>
      </c>
      <c r="H2">
        <v>639202.19999999995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3D44-AC5B-4747-9F2F-5D678CFBAC29}">
  <sheetPr codeName="Sheet3"/>
  <dimension ref="A1:A5"/>
  <sheetViews>
    <sheetView tabSelected="1" zoomScale="70" zoomScaleNormal="70" workbookViewId="0">
      <selection activeCell="B31" sqref="B31:G31"/>
    </sheetView>
  </sheetViews>
  <sheetFormatPr defaultRowHeight="26" x14ac:dyDescent="0.6"/>
  <sheetData>
    <row r="1" spans="1:1" x14ac:dyDescent="0.6">
      <c r="A1" t="s">
        <v>25</v>
      </c>
    </row>
    <row r="2" spans="1:1" x14ac:dyDescent="0.6">
      <c r="A2" t="s">
        <v>26</v>
      </c>
    </row>
    <row r="3" spans="1:1" x14ac:dyDescent="0.6">
      <c r="A3" t="s">
        <v>27</v>
      </c>
    </row>
    <row r="4" spans="1:1" x14ac:dyDescent="0.6">
      <c r="A4" t="s">
        <v>28</v>
      </c>
    </row>
    <row r="5" spans="1:1" x14ac:dyDescent="0.6">
      <c r="A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Database</vt:lpstr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deepak nehra</cp:lastModifiedBy>
  <cp:lastPrinted>2025-03-25T05:06:29Z</cp:lastPrinted>
  <dcterms:created xsi:type="dcterms:W3CDTF">2025-03-24T18:50:34Z</dcterms:created>
  <dcterms:modified xsi:type="dcterms:W3CDTF">2025-03-25T06:26:42Z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2026-05-08T21:42:32Z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61996c66-daad-41de-959d-548e15d8a100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