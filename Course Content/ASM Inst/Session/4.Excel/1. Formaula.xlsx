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https://oneharman-my.sharepoint.com/personal/dhaval_gandhi_harman_com/Documents/AI/ASM Inst/Session/4.Excel/"/>
    </mc:Choice>
  </mc:AlternateContent>
  <bookViews>
    <workbookView xWindow="-120" yWindow="-120" windowWidth="19440" windowHeight="10320" firstSheet="3" activeTab="6" xr2:uid="{339924D3-1C5C-4AE8-A3B6-EB720C018786}"/>
  </bookViews>
  <sheets>
    <sheet name="1.Basic Formaula" sheetId="2" r:id="rId1"/>
    <sheet name="Sol-1" sheetId="5" r:id="rId2"/>
    <sheet name="2.Vlookup" sheetId="4" r:id="rId3"/>
    <sheet name="Sol-2" sheetId="6" r:id="rId4"/>
    <sheet name="3.Image-Table" sheetId="8" r:id="rId5"/>
    <sheet name="Sol-3" sheetId="9" r:id="rId6"/>
    <sheet name="4.Email" sheetId="10" r:id="rId7"/>
    <sheet name="Sol-4" sheetId="12" r:id="rId8"/>
    <sheet name="5.Data Analysis" sheetId="15" r:id="rId9"/>
    <sheet name="Sol-5" sheetId="14" r:id="rId10"/>
  </sheets>
  <definedNames>
    <definedName name="_xlnm._FilterDatabase" localSheetId="6" hidden="1">'4.Email'!$A$2:$F$22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0" l="1"/>
  <c r="G4" i="10"/>
  <c r="G5" i="10"/>
  <c r="G6" i="10"/>
  <c r="G7" i="10"/>
  <c r="G8" i="10"/>
  <c r="G9" i="10"/>
  <c r="G10" i="10"/>
  <c r="G11" i="10"/>
  <c r="G12" i="10"/>
  <c r="G13" i="10"/>
  <c r="G14" i="10"/>
  <c r="G15" i="10"/>
  <c r="G16" i="10"/>
  <c r="G17" i="10"/>
  <c r="G18" i="10"/>
  <c r="G19" i="10"/>
  <c r="G20" i="10"/>
  <c r="G21" i="10"/>
  <c r="G22" i="10"/>
  <c r="C46" i="6"/>
  <c r="C30" i="6"/>
  <c r="C14" i="6"/>
  <c r="I2" i="5"/>
  <c r="I3" i="5"/>
  <c r="I4" i="5"/>
  <c r="I5" i="5"/>
  <c r="I6" i="5"/>
</calcChain>
</file>

<file path=xl/sharedStrings.xml><?xml version="1.0" encoding="utf-8"?>
<sst xmlns="http://schemas.openxmlformats.org/spreadsheetml/2006/main" count="1161" uniqueCount="236">
  <si>
    <t>Stu Name</t>
  </si>
  <si>
    <t>Father's Name</t>
  </si>
  <si>
    <t>Phy</t>
  </si>
  <si>
    <t>Che</t>
  </si>
  <si>
    <t>Math</t>
  </si>
  <si>
    <t>Hin</t>
  </si>
  <si>
    <t>Eng</t>
  </si>
  <si>
    <t>Raju</t>
  </si>
  <si>
    <t>Sunil Kumar</t>
  </si>
  <si>
    <t>Amit Sharma</t>
  </si>
  <si>
    <t>Aman</t>
  </si>
  <si>
    <t>Sonu</t>
  </si>
  <si>
    <t>Rohit</t>
  </si>
  <si>
    <t>Arun Singh</t>
  </si>
  <si>
    <t>Raksh Kumar</t>
  </si>
  <si>
    <t>Lalit</t>
  </si>
  <si>
    <t>Naresh</t>
  </si>
  <si>
    <t>BirthdDate</t>
  </si>
  <si>
    <t>Calculate percentage marks</t>
  </si>
  <si>
    <t>Calculate result</t>
  </si>
  <si>
    <t>Calculate age</t>
  </si>
  <si>
    <t>ID</t>
  </si>
  <si>
    <t>Name</t>
  </si>
  <si>
    <t>Product</t>
  </si>
  <si>
    <t>Qty Sold</t>
  </si>
  <si>
    <t>name 1</t>
  </si>
  <si>
    <t>mouse</t>
  </si>
  <si>
    <t>name 2</t>
  </si>
  <si>
    <t>keyboard</t>
  </si>
  <si>
    <t>name 3</t>
  </si>
  <si>
    <t>monitor</t>
  </si>
  <si>
    <t>name 4</t>
  </si>
  <si>
    <t>printer</t>
  </si>
  <si>
    <t>name 5</t>
  </si>
  <si>
    <t>scanner</t>
  </si>
  <si>
    <t>name 6</t>
  </si>
  <si>
    <t>laptop</t>
  </si>
  <si>
    <t>name 7</t>
  </si>
  <si>
    <t>desktop</t>
  </si>
  <si>
    <t>name 8</t>
  </si>
  <si>
    <t>ring light</t>
  </si>
  <si>
    <t>name 9</t>
  </si>
  <si>
    <t>monitor 2</t>
  </si>
  <si>
    <t>The Table4 in the worksheet has columns Id, Name, Product and Qty Sold. Give me formula to find Qty Sold  on Basics of Id which be entered in B14.</t>
  </si>
  <si>
    <t>Prompt</t>
  </si>
  <si>
    <t>name 10</t>
  </si>
  <si>
    <t>name 20</t>
  </si>
  <si>
    <t>name 30</t>
  </si>
  <si>
    <t>name 40</t>
  </si>
  <si>
    <t>name 50</t>
  </si>
  <si>
    <t>name 60</t>
  </si>
  <si>
    <t>name 70</t>
  </si>
  <si>
    <t>name 80</t>
  </si>
  <si>
    <t>name 90</t>
  </si>
  <si>
    <t>The Table5 and Table6 in the worksheet have same columns Id, Name, Product and Qty Sold. Give me formula to find Qty Sold from both tables on Basics of Name which be entered in B14.</t>
  </si>
  <si>
    <t>Problem</t>
  </si>
  <si>
    <t>Jan</t>
  </si>
  <si>
    <t>Feb</t>
  </si>
  <si>
    <t>Mar</t>
  </si>
  <si>
    <t>Id</t>
  </si>
  <si>
    <t>Total Sale</t>
  </si>
  <si>
    <r>
      <t xml:space="preserve">Find the </t>
    </r>
    <r>
      <rPr>
        <b/>
        <sz val="20"/>
        <color theme="1"/>
        <rFont val="Aptos Narrow"/>
        <family val="2"/>
        <scheme val="minor"/>
      </rPr>
      <t>Qty Sold</t>
    </r>
    <r>
      <rPr>
        <sz val="20"/>
        <color theme="1"/>
        <rFont val="Aptos Narrow"/>
        <family val="2"/>
        <scheme val="minor"/>
      </rPr>
      <t xml:space="preserve"> from the above table on the basis of </t>
    </r>
    <r>
      <rPr>
        <b/>
        <sz val="20"/>
        <color theme="1"/>
        <rFont val="Aptos Narrow"/>
        <family val="2"/>
        <scheme val="minor"/>
      </rPr>
      <t>Name</t>
    </r>
    <r>
      <rPr>
        <sz val="20"/>
        <color theme="1"/>
        <rFont val="Aptos Narrow"/>
        <family val="2"/>
        <scheme val="minor"/>
      </rPr>
      <t xml:space="preserve"> from </t>
    </r>
    <r>
      <rPr>
        <b/>
        <sz val="20"/>
        <color theme="1"/>
        <rFont val="Aptos Narrow"/>
        <family val="2"/>
        <scheme val="minor"/>
      </rPr>
      <t>2 tables</t>
    </r>
  </si>
  <si>
    <r>
      <t xml:space="preserve">Find the </t>
    </r>
    <r>
      <rPr>
        <b/>
        <sz val="20"/>
        <color theme="1"/>
        <rFont val="Aptos Narrow"/>
        <family val="2"/>
        <scheme val="minor"/>
      </rPr>
      <t>Qty Sold</t>
    </r>
    <r>
      <rPr>
        <sz val="20"/>
        <color theme="1"/>
        <rFont val="Aptos Narrow"/>
        <family val="2"/>
        <scheme val="minor"/>
      </rPr>
      <t xml:space="preserve"> from the above table on the basis of </t>
    </r>
    <r>
      <rPr>
        <b/>
        <sz val="20"/>
        <color theme="1"/>
        <rFont val="Aptos Narrow"/>
        <family val="2"/>
        <scheme val="minor"/>
      </rPr>
      <t>ID</t>
    </r>
  </si>
  <si>
    <r>
      <t xml:space="preserve">Find the </t>
    </r>
    <r>
      <rPr>
        <b/>
        <sz val="20"/>
        <color theme="1"/>
        <rFont val="Aptos Narrow"/>
        <family val="2"/>
        <scheme val="minor"/>
      </rPr>
      <t>Total Sales</t>
    </r>
    <r>
      <rPr>
        <sz val="20"/>
        <color theme="1"/>
        <rFont val="Aptos Narrow"/>
        <family val="2"/>
        <scheme val="minor"/>
      </rPr>
      <t xml:space="preserve"> from the above table based on </t>
    </r>
    <r>
      <rPr>
        <b/>
        <sz val="20"/>
        <color theme="1"/>
        <rFont val="Aptos Narrow"/>
        <family val="2"/>
        <scheme val="minor"/>
      </rPr>
      <t>ID</t>
    </r>
  </si>
  <si>
    <t>S.No</t>
  </si>
  <si>
    <t>Admission Fee</t>
  </si>
  <si>
    <t>Deposit</t>
  </si>
  <si>
    <t>Balance</t>
  </si>
  <si>
    <t>Rahul</t>
  </si>
  <si>
    <t>Amit</t>
  </si>
  <si>
    <t>Anil Kumar</t>
  </si>
  <si>
    <t>Sumit</t>
  </si>
  <si>
    <t>Anjy</t>
  </si>
  <si>
    <t>Neha</t>
  </si>
  <si>
    <t>Monu</t>
  </si>
  <si>
    <t>Tinku</t>
  </si>
  <si>
    <t>Mohan</t>
  </si>
  <si>
    <t>Jitender</t>
  </si>
  <si>
    <t>Kamesh</t>
  </si>
  <si>
    <t>Om</t>
  </si>
  <si>
    <t>Kamal</t>
  </si>
  <si>
    <t>Dev</t>
  </si>
  <si>
    <t>Sumit K</t>
  </si>
  <si>
    <t>Rohan</t>
  </si>
  <si>
    <t>Many time we have handwritten image which we later need to record and analyze.</t>
  </si>
  <si>
    <t>Upload the image</t>
  </si>
  <si>
    <t>I have attached image of a table having data. Convert this image data to a excel table data</t>
  </si>
  <si>
    <t>It will goive .csv and .xlsx files</t>
  </si>
  <si>
    <t>Also it sometimes gives csv data to copy and paste</t>
  </si>
  <si>
    <t>Find the people who have balnce more than 5000</t>
  </si>
  <si>
    <t>Use the data as per requirement</t>
  </si>
  <si>
    <t>Table 8 has the fee data and includes a column named Balance. Highlight the entire row for which the balance is greater than 5000. Give the formula for this</t>
  </si>
  <si>
    <t>Email</t>
  </si>
  <si>
    <t>info.u9c@gmail.com</t>
  </si>
  <si>
    <t>From the previous data find the people with balance &gt; 7000</t>
  </si>
  <si>
    <t>Generate email body automatically with Name and Balance</t>
  </si>
  <si>
    <t>Sned Email</t>
  </si>
  <si>
    <t>Apply filter and copy the content as values</t>
  </si>
  <si>
    <t>Add column name "Body"</t>
  </si>
  <si>
    <t>Prompt for email text</t>
  </si>
  <si>
    <t>Table10 has fees data. It has column Name, Body. Give me code to construct email message in column Body. The email content will the below draft content with the column values from the table.
Dear [Name],
Hope you are doing well.
You have a balance of INR [Balance]. Please pay it asap.
Regards,
XYZ</t>
  </si>
  <si>
    <t>Prompt for email</t>
  </si>
  <si>
    <t>Tbale10 has column Email and Body. Give me a code to send email from content in Body column to address in Email column on button click</t>
  </si>
  <si>
    <t>Add shape</t>
  </si>
  <si>
    <t>Assign macro</t>
  </si>
  <si>
    <t>Click Button</t>
  </si>
  <si>
    <t>Get full name</t>
  </si>
  <si>
    <t>Invoice ID</t>
  </si>
  <si>
    <t>Date</t>
  </si>
  <si>
    <t>Customer Name</t>
  </si>
  <si>
    <t>Region</t>
  </si>
  <si>
    <t>Category</t>
  </si>
  <si>
    <t>Quantity</t>
  </si>
  <si>
    <t>Unit Price</t>
  </si>
  <si>
    <t>Payment Method</t>
  </si>
  <si>
    <t>Salesperson</t>
  </si>
  <si>
    <t>INV001</t>
  </si>
  <si>
    <t>2025-07-10</t>
  </si>
  <si>
    <t>Rahul Verma</t>
  </si>
  <si>
    <t>East</t>
  </si>
  <si>
    <t>Printer</t>
  </si>
  <si>
    <t>Electronics</t>
  </si>
  <si>
    <t>UPI</t>
  </si>
  <si>
    <t>Ramesh Iyer</t>
  </si>
  <si>
    <t>INV002</t>
  </si>
  <si>
    <t>2025-07-01</t>
  </si>
  <si>
    <t>Amit Mishra</t>
  </si>
  <si>
    <t>North</t>
  </si>
  <si>
    <t>Bookshelf</t>
  </si>
  <si>
    <t>Furniture</t>
  </si>
  <si>
    <t>Credit Card</t>
  </si>
  <si>
    <t>Neha Sharma</t>
  </si>
  <si>
    <t>INV003</t>
  </si>
  <si>
    <t>2025-07-07</t>
  </si>
  <si>
    <t>Kavita Joshi</t>
  </si>
  <si>
    <t>West</t>
  </si>
  <si>
    <t>Laptop</t>
  </si>
  <si>
    <t>INV004</t>
  </si>
  <si>
    <t>2025-07-22</t>
  </si>
  <si>
    <t>Tablet</t>
  </si>
  <si>
    <t>Cash</t>
  </si>
  <si>
    <t>INV005</t>
  </si>
  <si>
    <t>2025-07-12</t>
  </si>
  <si>
    <t>South</t>
  </si>
  <si>
    <t>INV006</t>
  </si>
  <si>
    <t>2025-07-03</t>
  </si>
  <si>
    <t>Ritu Sharma</t>
  </si>
  <si>
    <t>Alok Singh</t>
  </si>
  <si>
    <t>INV007</t>
  </si>
  <si>
    <t>Ankit Singh</t>
  </si>
  <si>
    <t>Deepak Yadav</t>
  </si>
  <si>
    <t>INV008</t>
  </si>
  <si>
    <t>2025-07-26</t>
  </si>
  <si>
    <t>Priya Gupta</t>
  </si>
  <si>
    <t>Sneha Roy</t>
  </si>
  <si>
    <t>INV009</t>
  </si>
  <si>
    <t>2025-07-28</t>
  </si>
  <si>
    <t>INV010</t>
  </si>
  <si>
    <t>2025-07-04</t>
  </si>
  <si>
    <t>Sneha Rani</t>
  </si>
  <si>
    <t>Debit Card</t>
  </si>
  <si>
    <t>INV011</t>
  </si>
  <si>
    <t>2025-07-21</t>
  </si>
  <si>
    <t>Pooja Mehta</t>
  </si>
  <si>
    <t>Desk</t>
  </si>
  <si>
    <t>INV012</t>
  </si>
  <si>
    <t>2025-07-05</t>
  </si>
  <si>
    <t>Nikhil Jain</t>
  </si>
  <si>
    <t>Mobile Phone</t>
  </si>
  <si>
    <t>INV013</t>
  </si>
  <si>
    <t>INV014</t>
  </si>
  <si>
    <t>2025-07-18</t>
  </si>
  <si>
    <t>INV015</t>
  </si>
  <si>
    <t>2025-07-19</t>
  </si>
  <si>
    <t>INV016</t>
  </si>
  <si>
    <t>Manish Kumar</t>
  </si>
  <si>
    <t>LED TV</t>
  </si>
  <si>
    <t>INV017</t>
  </si>
  <si>
    <t>2025-07-14</t>
  </si>
  <si>
    <t>INV018</t>
  </si>
  <si>
    <t>INV019</t>
  </si>
  <si>
    <t>2025-07-11</t>
  </si>
  <si>
    <t>INV020</t>
  </si>
  <si>
    <t>2025-07-24</t>
  </si>
  <si>
    <t>INV021</t>
  </si>
  <si>
    <t>2025-07-06</t>
  </si>
  <si>
    <t>INV022</t>
  </si>
  <si>
    <t>2025-07-25</t>
  </si>
  <si>
    <t>INV023</t>
  </si>
  <si>
    <t>Office Chair</t>
  </si>
  <si>
    <t>INV024</t>
  </si>
  <si>
    <t>2025-07-16</t>
  </si>
  <si>
    <t>INV025</t>
  </si>
  <si>
    <t>INV026</t>
  </si>
  <si>
    <t>INV027</t>
  </si>
  <si>
    <t>INV028</t>
  </si>
  <si>
    <t>INV029</t>
  </si>
  <si>
    <t>INV030</t>
  </si>
  <si>
    <t>INV031</t>
  </si>
  <si>
    <t>INV032</t>
  </si>
  <si>
    <t>INV033</t>
  </si>
  <si>
    <t>INV034</t>
  </si>
  <si>
    <t>2025-07-13</t>
  </si>
  <si>
    <t>INV035</t>
  </si>
  <si>
    <t>INV036</t>
  </si>
  <si>
    <t>INV037</t>
  </si>
  <si>
    <t>INV038</t>
  </si>
  <si>
    <t>INV039</t>
  </si>
  <si>
    <t>INV040</t>
  </si>
  <si>
    <t>INV041</t>
  </si>
  <si>
    <t>INV042</t>
  </si>
  <si>
    <t>INV043</t>
  </si>
  <si>
    <t>INV044</t>
  </si>
  <si>
    <t>INV045</t>
  </si>
  <si>
    <t>2025-07-27</t>
  </si>
  <si>
    <t>INV046</t>
  </si>
  <si>
    <t>INV047</t>
  </si>
  <si>
    <t>INV048</t>
  </si>
  <si>
    <t>INV049</t>
  </si>
  <si>
    <t>INV050</t>
  </si>
  <si>
    <t>2025-07-29</t>
  </si>
  <si>
    <t>1. total sale by region</t>
  </si>
  <si>
    <t>2. category wise total sale</t>
  </si>
  <si>
    <t>3. product wise qty</t>
  </si>
  <si>
    <t>4. total sale by payment method</t>
  </si>
  <si>
    <t>5. top 5 customer name by total sale</t>
  </si>
  <si>
    <t>6. top 3 product by qty</t>
  </si>
  <si>
    <t>7. top 3 salesperson by total sale</t>
  </si>
  <si>
    <t>8. total sale of product by payment method in column chart</t>
  </si>
  <si>
    <t>9. Percentage of Qty for each product</t>
  </si>
  <si>
    <t xml:space="preserve">10. create pivot table for salesperson to show total sale in each category </t>
  </si>
  <si>
    <t>Table12 has data with columns Total Sale and Region. Give me Data Analysis chart to analyze the Total Sale by Region.</t>
  </si>
  <si>
    <t>Insert Pivot table</t>
  </si>
  <si>
    <t>Add Chart</t>
  </si>
  <si>
    <t>Column1</t>
  </si>
  <si>
    <t>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</si>
</sst>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20"/>
      <color theme="1"/>
      <name val="Aptos Narrow"/>
      <family val="2"/>
      <scheme val="minor"/>
    </font>
    <font>
      <b/>
      <sz val="20"/>
      <color theme="1"/>
      <name val="Aptos Narrow"/>
      <family val="2"/>
      <scheme val="minor"/>
    </font>
    <font>
      <u/>
      <sz val="20"/>
      <color theme="10"/>
      <name val="Aptos Narrow"/>
      <family val="2"/>
      <scheme val="minor"/>
    </font>
    <font>
      <b/>
      <sz val="20"/>
      <color theme="1"/>
      <name val="Segoe UI"/>
      <family val="2"/>
    </font>
    <font>
      <sz val="20"/>
      <color theme="1"/>
      <name val="Segoe UI"/>
      <family val="2"/>
    </font>
  </fonts>
  <fills count="4">
    <fill>
      <patternFill patternType="none"/>
    </fill>
    <fill>
      <patternFill patternType="gray125"/>
    </fill>
    <fill>
      <patternFill patternType="solid">
        <fgColor rgb="FFFFFF00"/>
        <bgColor indexed="64"/>
      </patternFill>
    </fill>
    <fill>
      <patternFill patternType="solid">
        <fgColor rgb="FFF5F5F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E6E6E6"/>
      </left>
      <right style="medium">
        <color rgb="FFE6E6E6"/>
      </right>
      <top/>
      <bottom/>
      <diagonal/>
    </border>
    <border>
      <left/>
      <right style="medium">
        <color rgb="FFE6E6E6"/>
      </right>
      <top style="medium">
        <color rgb="FFE6E6E6"/>
      </top>
      <bottom style="medium">
        <color rgb="FFE6E6E6"/>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1" xfId="0" applyBorder="1"/>
    <xf numFmtId="0" fontId="1" fillId="2" borderId="1" xfId="0" applyFont="1" applyFill="1" applyBorder="1"/>
    <xf numFmtId="164" fontId="0" fillId="0" borderId="1" xfId="0" applyNumberFormat="1" applyBorder="1"/>
    <xf numFmtId="0" fontId="1" fillId="0" borderId="0" xfId="0" applyFont="1"/>
    <xf numFmtId="0" fontId="3" fillId="3" borderId="2" xfId="0" applyFont="1" applyFill="1" applyBorder="1" applyAlignment="1">
      <alignment horizontal="center" vertical="center" wrapText="1"/>
    </xf>
    <xf numFmtId="0" fontId="4" fillId="0" borderId="2" xfId="0" applyFont="1" applyBorder="1" applyAlignment="1">
      <alignment vertical="center" wrapText="1"/>
    </xf>
    <xf numFmtId="0" fontId="2" fillId="0" borderId="0" xfId="1"/>
    <xf numFmtId="0" fontId="0" fillId="0" borderId="0" xfId="0" applyAlignment="1">
      <alignment wrapText="1"/>
    </xf>
    <xf numFmtId="0" fontId="0" fillId="0" borderId="3" xfId="0" applyBorder="1"/>
    <xf numFmtId="0" fontId="0" fillId="0" borderId="4" xfId="0" applyBorder="1"/>
    <xf numFmtId="0" fontId="1" fillId="2" borderId="5" xfId="0" applyFont="1" applyFill="1" applyBorder="1"/>
    <xf numFmtId="0" fontId="1" fillId="2" borderId="6" xfId="0" applyFont="1" applyFill="1" applyBorder="1"/>
    <xf numFmtId="0" fontId="1" fillId="2" borderId="7" xfId="0" applyFont="1" applyFill="1" applyBorder="1"/>
    <xf numFmtId="0" fontId="0" fillId="0" borderId="8" xfId="0" applyBorder="1"/>
    <xf numFmtId="0" fontId="0" fillId="0" borderId="9" xfId="0" applyBorder="1"/>
    <xf numFmtId="164" fontId="0" fillId="0" borderId="9" xfId="0" applyNumberFormat="1" applyBorder="1"/>
    <xf numFmtId="0" fontId="0" fillId="0" borderId="10" xfId="0" applyBorder="1"/>
    <xf numFmtId="0" fontId="0" fillId="0" borderId="7" xfId="0" applyBorder="1"/>
    <xf numFmtId="0" fontId="0" fillId="0" borderId="5" xfId="0" applyBorder="1"/>
    <xf numFmtId="0" fontId="0" fillId="0" borderId="6" xfId="0" applyBorder="1"/>
    <xf numFmtId="0" fontId="3" fillId="3" borderId="11" xfId="0" applyFont="1" applyFill="1" applyBorder="1" applyAlignment="1">
      <alignment horizontal="center" vertical="center" wrapText="1"/>
    </xf>
    <xf numFmtId="0" fontId="3" fillId="3" borderId="12" xfId="0" applyFont="1" applyFill="1" applyBorder="1" applyAlignment="1">
      <alignment horizontal="right" vertical="center" wrapText="1"/>
    </xf>
    <xf numFmtId="0" fontId="4" fillId="0" borderId="12" xfId="0" applyFont="1" applyBorder="1" applyAlignment="1">
      <alignment horizontal="right" vertical="center" wrapText="1"/>
    </xf>
  </cellXfs>
  <cellStyles count="2">
    <cellStyle name="Hyperlink" xfId="1" builtinId="8"/>
    <cellStyle name="Normal" xfId="0" builtinId="0"/>
  </cellStyles>
  <dxfs count="55">
    <dxf>
      <numFmt numFmtId="0" formatCode="General"/>
    </dxf>
    <dxf>
      <font>
        <b val="0"/>
        <i val="0"/>
        <strike val="0"/>
        <condense val="0"/>
        <extend val="0"/>
        <outline val="0"/>
        <shadow val="0"/>
        <u val="none"/>
        <vertAlign val="baseline"/>
        <sz val="20"/>
        <color theme="1"/>
        <name val="Segoe UI"/>
        <family val="2"/>
        <scheme val="none"/>
      </font>
      <alignment horizontal="general" vertical="center" textRotation="0" wrapText="1"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20"/>
        <color theme="1"/>
        <name val="Segoe UI"/>
        <family val="2"/>
        <scheme val="none"/>
      </font>
      <alignment horizontal="general" vertical="center" textRotation="0" wrapText="1"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20"/>
        <color theme="1"/>
        <name val="Segoe UI"/>
        <family val="2"/>
        <scheme val="none"/>
      </font>
      <alignment horizontal="general" vertical="center" textRotation="0" wrapText="1"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20"/>
        <color theme="1"/>
        <name val="Segoe UI"/>
        <family val="2"/>
        <scheme val="none"/>
      </font>
      <alignment horizontal="general" vertical="center" textRotation="0" wrapText="1"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20"/>
        <color theme="1"/>
        <name val="Segoe UI"/>
        <family val="2"/>
        <scheme val="none"/>
      </font>
      <alignment horizontal="right" vertical="center" textRotation="0" wrapText="1" indent="0" justifyLastLine="0" shrinkToFit="0" readingOrder="0"/>
      <border diagonalUp="0" diagonalDown="0">
        <left/>
        <right style="medium">
          <color rgb="FFE6E6E6"/>
        </right>
        <top style="medium">
          <color rgb="FFE6E6E6"/>
        </top>
        <bottom style="medium">
          <color rgb="FFE6E6E6"/>
        </bottom>
        <vertical/>
        <horizontal/>
      </border>
    </dxf>
    <dxf>
      <border outline="0">
        <left style="medium">
          <color rgb="FFE6E6E6"/>
        </left>
      </border>
    </dxf>
    <dxf>
      <font>
        <b val="0"/>
        <i val="0"/>
        <strike val="0"/>
        <condense val="0"/>
        <extend val="0"/>
        <outline val="0"/>
        <shadow val="0"/>
        <u val="none"/>
        <vertAlign val="baseline"/>
        <sz val="20"/>
        <color theme="1"/>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20"/>
        <color theme="1"/>
        <name val="Segoe UI"/>
        <family val="2"/>
        <scheme val="none"/>
      </font>
      <fill>
        <patternFill patternType="solid">
          <fgColor indexed="64"/>
          <bgColor rgb="FFF5F5F5"/>
        </patternFill>
      </fill>
      <alignment horizontal="center" vertical="center" textRotation="0" wrapText="1" indent="0" justifyLastLine="0" shrinkToFit="0" readingOrder="0"/>
      <border diagonalUp="0" diagonalDown="0" outline="0">
        <left style="medium">
          <color rgb="FFE6E6E6"/>
        </left>
        <right style="medium">
          <color rgb="FFE6E6E6"/>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20"/>
        <color theme="1"/>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5</xdr:col>
      <xdr:colOff>1441450</xdr:colOff>
      <xdr:row>22</xdr:row>
      <xdr:rowOff>266700</xdr:rowOff>
    </xdr:from>
    <xdr:to>
      <xdr:col>6</xdr:col>
      <xdr:colOff>1130300</xdr:colOff>
      <xdr:row>25</xdr:row>
      <xdr:rowOff>0</xdr:rowOff>
    </xdr:to>
    <xdr:sp macro="" textlink="">
      <xdr:nvSpPr>
        <xdr:cNvPr id="2" name="Rectangle 1">
          <a:extLst>
            <a:ext uri="{FF2B5EF4-FFF2-40B4-BE49-F238E27FC236}">
              <a16:creationId xmlns:a16="http://schemas.microsoft.com/office/drawing/2014/main" id="{DACD1014-86F6-7A30-6743-41753B365C5A}"/>
            </a:ext>
          </a:extLst>
        </xdr:cNvPr>
        <xdr:cNvSpPr/>
      </xdr:nvSpPr>
      <xdr:spPr>
        <a:xfrm>
          <a:off x="7867650" y="8839200"/>
          <a:ext cx="186055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2000"/>
            <a:t>Send Email</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6B200E-FA36-4659-9412-92C7D5409C76}" name="Table1" displayName="Table1" ref="A1:I6" totalsRowShown="0" headerRowDxfId="54" headerRowBorderDxfId="53" tableBorderDxfId="52" totalsRowBorderDxfId="51">
  <autoFilter ref="A1:I6" xr:uid="{3A6B200E-FA36-4659-9412-92C7D5409C76}"/>
  <tableColumns count="9">
    <tableColumn id="1" xr3:uid="{728F50AC-3DDB-4EB9-A966-69D46F0DF53B}" name="Stu Name" dataDxfId="50"/>
    <tableColumn id="2" xr3:uid="{16AB0216-315E-4781-9231-5859E5AA6A96}" name="Father's Name" dataDxfId="49"/>
    <tableColumn id="3" xr3:uid="{D7DBCDE8-0DEB-4C67-A5FE-B07804D8BADD}" name="BirthdDate" dataDxfId="48"/>
    <tableColumn id="4" xr3:uid="{1A971BC1-7C0B-4559-9F09-7744F999134E}" name="Phy" dataDxfId="47"/>
    <tableColumn id="5" xr3:uid="{B20A1C6B-5350-4EA8-A683-EBB12F1C7285}" name="Che" dataDxfId="46"/>
    <tableColumn id="6" xr3:uid="{94C7FDB3-86EE-4CCF-9700-91F5E561E9EF}" name="Math" dataDxfId="45"/>
    <tableColumn id="7" xr3:uid="{B109EEC4-BB83-46FB-9997-5120915DAD37}" name="Hin" dataDxfId="44"/>
    <tableColumn id="8" xr3:uid="{35767C4B-B7D4-45B1-9CDD-FFF4B838D6B4}" name="Eng" dataDxfId="43"/>
    <tableColumn id="9" xr3:uid="{951E47B6-D7B7-44E5-BBD5-5B2D2B694C10}" name="Column1" dataDxfId="42">
      <calculatedColumnFormula>DATEDIF(C2, TODAY(), "Y")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2E296-ADD2-43F3-B6E4-29F57AFD636E}" name="Table2" displayName="Table2" ref="A2:D11" totalsRowShown="0" headerRowDxfId="41" headerRowBorderDxfId="40" tableBorderDxfId="39" totalsRowBorderDxfId="38">
  <autoFilter ref="A2:D11" xr:uid="{F7F2E296-ADD2-43F3-B6E4-29F57AFD636E}"/>
  <tableColumns count="4">
    <tableColumn id="1" xr3:uid="{33647B13-4E20-498C-8B9B-1EBA691677F1}" name="ID" dataDxfId="37"/>
    <tableColumn id="2" xr3:uid="{1B346E16-D565-4497-B5AC-7494857D6BE2}" name="Name" dataDxfId="36"/>
    <tableColumn id="3" xr3:uid="{ACF3DA40-6B01-4FFE-8BDD-B22F069D419D}" name="Product" dataDxfId="35"/>
    <tableColumn id="4" xr3:uid="{E7178225-282C-4940-8571-337350A02EB1}" name="Qty Sold"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773F26-6EA3-4F87-A6E7-62C980779E83}" name="Table3" displayName="Table3" ref="B18:E27" totalsRowShown="0" headerRowDxfId="33" headerRowBorderDxfId="32" tableBorderDxfId="31" totalsRowBorderDxfId="30">
  <autoFilter ref="B18:E27" xr:uid="{32773F26-6EA3-4F87-A6E7-62C980779E83}"/>
  <tableColumns count="4">
    <tableColumn id="1" xr3:uid="{501D54F0-8E63-4E65-834A-62816022285F}" name="ID" dataDxfId="29"/>
    <tableColumn id="2" xr3:uid="{171B5F83-5BA7-4071-8A05-58D4F260726B}" name="Name" dataDxfId="28"/>
    <tableColumn id="3" xr3:uid="{2F3A751F-763D-4F2F-BC5A-DD589E7956F3}" name="Product" dataDxfId="27"/>
    <tableColumn id="4" xr3:uid="{411A513C-1074-4F97-8845-57A91624DA32}" name="Qty Sold"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EA95FA-AA08-4789-B931-4ACC5381DFBA}" name="Table4" displayName="Table4" ref="G18:J27" totalsRowShown="0" headerRowDxfId="25" headerRowBorderDxfId="24" tableBorderDxfId="23" totalsRowBorderDxfId="22">
  <autoFilter ref="G18:J27" xr:uid="{60EA95FA-AA08-4789-B931-4ACC5381DFBA}"/>
  <tableColumns count="4">
    <tableColumn id="1" xr3:uid="{C0692509-A16D-4A2B-9751-932A1BCB182D}" name="ID" dataDxfId="21"/>
    <tableColumn id="2" xr3:uid="{BBDC8054-E243-431B-9DF3-B5D47563915C}" name="Name" dataDxfId="20"/>
    <tableColumn id="3" xr3:uid="{17CE3ECC-1FA7-49C5-833D-F0836C0E863D}" name="Product" dataDxfId="19"/>
    <tableColumn id="4" xr3:uid="{DC6A3896-E3B0-4330-B47A-8C5B7A6E4350}" name="Qty Sold" dataDxf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13B05F-92E7-43A5-9953-B272BEFD8C23}" name="Table5" displayName="Table5" ref="B34:F43" totalsRowShown="0" headerRowDxfId="17" headerRowBorderDxfId="16" tableBorderDxfId="15" totalsRowBorderDxfId="14">
  <autoFilter ref="B34:F43" xr:uid="{5113B05F-92E7-43A5-9953-B272BEFD8C23}"/>
  <tableColumns count="5">
    <tableColumn id="1" xr3:uid="{841D93A5-9105-4AC0-B814-4AF8C94D2E99}" name="Id" dataDxfId="13"/>
    <tableColumn id="2" xr3:uid="{023B6DAE-0967-48D9-B182-479D1B2B63CC}" name="Name" dataDxfId="12"/>
    <tableColumn id="3" xr3:uid="{8F711D5F-01DA-4A43-B5F3-79183EA94AD6}" name="Jan" dataDxfId="11"/>
    <tableColumn id="4" xr3:uid="{1F933153-94D6-4EDE-A43F-87F983476F6D}" name="Feb" dataDxfId="10"/>
    <tableColumn id="5" xr3:uid="{0F2538DB-9596-4C77-A738-C6C676A842BB}" name="Mar"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AE550E-5BFB-475C-BDA5-BF119E14B3E2}" name="Table6" displayName="Table6" ref="A2:G22" totalsRowShown="0" headerRowDxfId="8" dataDxfId="7" tableBorderDxfId="6">
  <autoFilter ref="A2:G22" xr:uid="{8AAE550E-5BFB-475C-BDA5-BF119E14B3E2}"/>
  <tableColumns count="7">
    <tableColumn id="1" xr3:uid="{CC8C5E3D-BDF4-4F4E-A831-6A6EAE754138}" name="S.No" dataDxfId="5"/>
    <tableColumn id="2" xr3:uid="{60A79B4A-81E6-4457-80AC-8E435D2F223D}" name="Name" dataDxfId="4"/>
    <tableColumn id="3" xr3:uid="{F2C38F0F-5C64-4448-A275-DB59EB8B44BC}" name="Admission Fee" dataDxfId="3"/>
    <tableColumn id="4" xr3:uid="{85842108-F548-4E5B-9F08-A9BE88795D97}" name="Deposit" dataDxfId="2"/>
    <tableColumn id="5" xr3:uid="{39D50A7F-0526-4A23-9011-6B25C2646967}" name="Balance" dataDxfId="1"/>
    <tableColumn id="6" xr3:uid="{08E930FE-F30C-48A8-9D8F-BA1323775585}" name="Email" dataCellStyle="Hyperlink"/>
    <tableColumn id="7" xr3:uid="{B450117B-B4F9-4629-A105-492A47FD2564}" name="Body" dataDxfId="0">
      <calculatedColumnFormula>"Dear " &amp; Table6[[#This Row],[Name]] &amp; "," &amp; CHAR(10)&amp; CHAR(10)&amp;
  "Hope you are doing well." &amp; CHAR(10)&amp;
  "You have a balance of INR " &amp; TEXT(Table6[[#This Row],[Balance]],"#,##0")&amp; ". Please pay it asap." &amp; CHAR(10)&amp; CHAR(10)&amp;
  "Regards," &amp; CHAR(10)&amp;
  "XYZ"</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mailto:info.u9c@gmail.com" TargetMode="External"/><Relationship Id="rId13" Type="http://schemas.openxmlformats.org/officeDocument/2006/relationships/hyperlink" Target="mailto:info.u9c@gmail.com" TargetMode="External"/><Relationship Id="rId18" Type="http://schemas.openxmlformats.org/officeDocument/2006/relationships/hyperlink" Target="mailto:info.u9c@gmail.com" TargetMode="External"/><Relationship Id="rId3" Type="http://schemas.openxmlformats.org/officeDocument/2006/relationships/hyperlink" Target="mailto:info.u9c@gmail.com" TargetMode="External"/><Relationship Id="rId21" Type="http://schemas.openxmlformats.org/officeDocument/2006/relationships/drawing" Target="../drawings/drawing1.xml"/><Relationship Id="rId7" Type="http://schemas.openxmlformats.org/officeDocument/2006/relationships/hyperlink" Target="mailto:info.u9c@gmail.com" TargetMode="External"/><Relationship Id="rId12" Type="http://schemas.openxmlformats.org/officeDocument/2006/relationships/hyperlink" Target="mailto:info.u9c@gmail.com" TargetMode="External"/><Relationship Id="rId17" Type="http://schemas.openxmlformats.org/officeDocument/2006/relationships/hyperlink" Target="mailto:info.u9c@gmail.com" TargetMode="External"/><Relationship Id="rId2" Type="http://schemas.openxmlformats.org/officeDocument/2006/relationships/hyperlink" Target="mailto:info.u9c@gmail.com" TargetMode="External"/><Relationship Id="rId16" Type="http://schemas.openxmlformats.org/officeDocument/2006/relationships/hyperlink" Target="mailto:info.u9c@gmail.com" TargetMode="External"/><Relationship Id="rId20" Type="http://schemas.openxmlformats.org/officeDocument/2006/relationships/hyperlink" Target="mailto:info.u9c@gmail.com" TargetMode="External"/><Relationship Id="rId1" Type="http://schemas.openxmlformats.org/officeDocument/2006/relationships/hyperlink" Target="mailto:info.u9c@gmail.com" TargetMode="External"/><Relationship Id="rId6" Type="http://schemas.openxmlformats.org/officeDocument/2006/relationships/hyperlink" Target="mailto:info.u9c@gmail.com" TargetMode="External"/><Relationship Id="rId11" Type="http://schemas.openxmlformats.org/officeDocument/2006/relationships/hyperlink" Target="mailto:info.u9c@gmail.com" TargetMode="External"/><Relationship Id="rId5" Type="http://schemas.openxmlformats.org/officeDocument/2006/relationships/hyperlink" Target="mailto:info.u9c@gmail.com" TargetMode="External"/><Relationship Id="rId15" Type="http://schemas.openxmlformats.org/officeDocument/2006/relationships/hyperlink" Target="mailto:info.u9c@gmail.com" TargetMode="External"/><Relationship Id="rId10" Type="http://schemas.openxmlformats.org/officeDocument/2006/relationships/hyperlink" Target="mailto:info.u9c@gmail.com" TargetMode="External"/><Relationship Id="rId19" Type="http://schemas.openxmlformats.org/officeDocument/2006/relationships/hyperlink" Target="mailto:info.u9c@gmail.com" TargetMode="External"/><Relationship Id="rId4" Type="http://schemas.openxmlformats.org/officeDocument/2006/relationships/hyperlink" Target="mailto:info.u9c@gmail.com" TargetMode="External"/><Relationship Id="rId9" Type="http://schemas.openxmlformats.org/officeDocument/2006/relationships/hyperlink" Target="mailto:info.u9c@gmail.com" TargetMode="External"/><Relationship Id="rId14" Type="http://schemas.openxmlformats.org/officeDocument/2006/relationships/hyperlink" Target="mailto:info.u9c@gmail.com" TargetMode="External"/><Relationship Id="rId22"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2C80-957B-4FC4-89DC-ACDA7A53F9EC}">
  <sheetPr codeName="Sheet1"/>
  <dimension ref="B2:I12"/>
  <sheetViews>
    <sheetView topLeftCell="A4" workbookViewId="0">
      <selection activeCell="E9" sqref="E9"/>
    </sheetView>
  </sheetViews>
  <sheetFormatPr defaultRowHeight="26" x14ac:dyDescent="0.6"/>
  <cols>
    <col min="1" max="1" width="5.09765625" customWidth="1"/>
    <col min="2" max="2" width="9.046875" bestFit="1" customWidth="1"/>
    <col min="3" max="3" width="12.34765625" bestFit="1" customWidth="1"/>
    <col min="4" max="4" width="12.34765625" customWidth="1"/>
  </cols>
  <sheetData>
    <row r="2" spans="2:9" x14ac:dyDescent="0.6">
      <c r="B2" s="2" t="s">
        <v>0</v>
      </c>
      <c r="C2" s="2" t="s">
        <v>1</v>
      </c>
      <c r="D2" s="2" t="s">
        <v>17</v>
      </c>
      <c r="E2" s="2" t="s">
        <v>2</v>
      </c>
      <c r="F2" s="2" t="s">
        <v>3</v>
      </c>
      <c r="G2" s="2" t="s">
        <v>4</v>
      </c>
      <c r="H2" s="2" t="s">
        <v>5</v>
      </c>
      <c r="I2" s="2" t="s">
        <v>6</v>
      </c>
    </row>
    <row r="3" spans="2:9" x14ac:dyDescent="0.6">
      <c r="B3" s="1" t="s">
        <v>7</v>
      </c>
      <c r="C3" s="1" t="s">
        <v>8</v>
      </c>
      <c r="D3" s="3">
        <v>41721</v>
      </c>
      <c r="E3" s="1">
        <v>30</v>
      </c>
      <c r="F3" s="1">
        <v>65</v>
      </c>
      <c r="G3" s="1">
        <v>67</v>
      </c>
      <c r="H3" s="1">
        <v>86</v>
      </c>
      <c r="I3" s="1">
        <v>43</v>
      </c>
    </row>
    <row r="4" spans="2:9" x14ac:dyDescent="0.6">
      <c r="B4" s="1" t="s">
        <v>10</v>
      </c>
      <c r="C4" s="1" t="s">
        <v>9</v>
      </c>
      <c r="D4" s="3">
        <v>41533</v>
      </c>
      <c r="E4" s="1">
        <v>34</v>
      </c>
      <c r="F4" s="1">
        <v>54</v>
      </c>
      <c r="G4" s="1">
        <v>56</v>
      </c>
      <c r="H4" s="1">
        <v>56</v>
      </c>
      <c r="I4" s="1">
        <v>56</v>
      </c>
    </row>
    <row r="5" spans="2:9" x14ac:dyDescent="0.6">
      <c r="B5" s="1" t="s">
        <v>11</v>
      </c>
      <c r="C5" s="1" t="s">
        <v>12</v>
      </c>
      <c r="D5" s="3">
        <v>41879</v>
      </c>
      <c r="E5" s="1">
        <v>45</v>
      </c>
      <c r="F5" s="1">
        <v>23</v>
      </c>
      <c r="G5" s="1">
        <v>45</v>
      </c>
      <c r="H5" s="1">
        <v>76</v>
      </c>
      <c r="I5" s="1">
        <v>45</v>
      </c>
    </row>
    <row r="6" spans="2:9" x14ac:dyDescent="0.6">
      <c r="B6" s="1" t="s">
        <v>13</v>
      </c>
      <c r="C6" s="1" t="s">
        <v>14</v>
      </c>
      <c r="D6" s="3">
        <v>41654</v>
      </c>
      <c r="E6" s="1">
        <v>54</v>
      </c>
      <c r="F6" s="1">
        <v>33</v>
      </c>
      <c r="G6" s="1">
        <v>54</v>
      </c>
      <c r="H6" s="1">
        <v>67</v>
      </c>
      <c r="I6" s="1">
        <v>45</v>
      </c>
    </row>
    <row r="7" spans="2:9" x14ac:dyDescent="0.6">
      <c r="B7" s="1" t="s">
        <v>15</v>
      </c>
      <c r="C7" s="1" t="s">
        <v>16</v>
      </c>
      <c r="D7" s="3">
        <v>41498</v>
      </c>
      <c r="E7" s="1">
        <v>56</v>
      </c>
      <c r="F7" s="1">
        <v>76</v>
      </c>
      <c r="G7" s="1">
        <v>34</v>
      </c>
      <c r="H7" s="1">
        <v>87</v>
      </c>
      <c r="I7" s="1">
        <v>34</v>
      </c>
    </row>
    <row r="9" spans="2:9" x14ac:dyDescent="0.6">
      <c r="B9" t="s">
        <v>20</v>
      </c>
    </row>
    <row r="10" spans="2:9" x14ac:dyDescent="0.6">
      <c r="B10" t="s">
        <v>18</v>
      </c>
    </row>
    <row r="11" spans="2:9" x14ac:dyDescent="0.6">
      <c r="B11" t="s">
        <v>19</v>
      </c>
    </row>
    <row r="12" spans="2:9" x14ac:dyDescent="0.6">
      <c r="B12"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6757-8ADF-47B2-8D4E-F559CF1CCDCA}">
  <sheetPr codeName="Sheet2"/>
  <dimension ref="A1:I6"/>
  <sheetViews>
    <sheetView topLeftCell="C1" workbookViewId="0">
      <selection activeCell="I2" sqref="I2"/>
    </sheetView>
  </sheetViews>
  <sheetFormatPr defaultRowHeight="26" x14ac:dyDescent="0.6"/>
  <cols>
    <col min="1" max="1" width="9.6484375" customWidth="1"/>
    <col min="2" max="2" width="13.44921875" customWidth="1"/>
    <col min="3" max="3" width="10.5" customWidth="1"/>
  </cols>
  <sheetData>
    <row r="1" spans="1:9" x14ac:dyDescent="0.6">
      <c r="A1" s="11" t="s">
        <v>0</v>
      </c>
      <c r="B1" s="12" t="s">
        <v>1</v>
      </c>
      <c r="C1" s="12" t="s">
        <v>17</v>
      </c>
      <c r="D1" s="12" t="s">
        <v>2</v>
      </c>
      <c r="E1" s="12" t="s">
        <v>3</v>
      </c>
      <c r="F1" s="12" t="s">
        <v>4</v>
      </c>
      <c r="G1" s="12" t="s">
        <v>5</v>
      </c>
      <c r="H1" s="13" t="s">
        <v>6</v>
      </c>
      <c r="I1" s="12" t="s">
        <v>234</v>
      </c>
    </row>
    <row r="2" spans="1:9" x14ac:dyDescent="0.6">
      <c r="A2" s="9" t="s">
        <v>7</v>
      </c>
      <c r="B2" s="1" t="s">
        <v>8</v>
      </c>
      <c r="C2" s="3">
        <v>41721</v>
      </c>
      <c r="D2" s="1">
        <v>30</v>
      </c>
      <c r="E2" s="1">
        <v>65</v>
      </c>
      <c r="F2" s="1">
        <v>67</v>
      </c>
      <c r="G2" s="1">
        <v>86</v>
      </c>
      <c r="H2" s="10">
        <v>43</v>
      </c>
      <c r="I2" s="20">
        <f t="shared" ref="I2:I6" ca="1" si="0">DATEDIF(C2, TODAY(), "Y")</f>
        <v>11</v>
      </c>
    </row>
    <row r="3" spans="1:9" x14ac:dyDescent="0.6">
      <c r="A3" s="9" t="s">
        <v>10</v>
      </c>
      <c r="B3" s="1" t="s">
        <v>9</v>
      </c>
      <c r="C3" s="3">
        <v>41533</v>
      </c>
      <c r="D3" s="1">
        <v>34</v>
      </c>
      <c r="E3" s="1">
        <v>54</v>
      </c>
      <c r="F3" s="1">
        <v>56</v>
      </c>
      <c r="G3" s="1">
        <v>56</v>
      </c>
      <c r="H3" s="10">
        <v>56</v>
      </c>
      <c r="I3" s="1">
        <f t="shared" ca="1" si="0"/>
        <v>12</v>
      </c>
    </row>
    <row r="4" spans="1:9" x14ac:dyDescent="0.6">
      <c r="A4" s="9" t="s">
        <v>11</v>
      </c>
      <c r="B4" s="1" t="s">
        <v>12</v>
      </c>
      <c r="C4" s="3">
        <v>41879</v>
      </c>
      <c r="D4" s="1">
        <v>45</v>
      </c>
      <c r="E4" s="1">
        <v>23</v>
      </c>
      <c r="F4" s="1">
        <v>45</v>
      </c>
      <c r="G4" s="1">
        <v>76</v>
      </c>
      <c r="H4" s="10">
        <v>45</v>
      </c>
      <c r="I4" s="1">
        <f t="shared" ca="1" si="0"/>
        <v>11</v>
      </c>
    </row>
    <row r="5" spans="1:9" x14ac:dyDescent="0.6">
      <c r="A5" s="9" t="s">
        <v>13</v>
      </c>
      <c r="B5" s="1" t="s">
        <v>14</v>
      </c>
      <c r="C5" s="3">
        <v>41654</v>
      </c>
      <c r="D5" s="1">
        <v>54</v>
      </c>
      <c r="E5" s="1">
        <v>33</v>
      </c>
      <c r="F5" s="1">
        <v>54</v>
      </c>
      <c r="G5" s="1">
        <v>67</v>
      </c>
      <c r="H5" s="10">
        <v>45</v>
      </c>
      <c r="I5" s="1">
        <f t="shared" ca="1" si="0"/>
        <v>12</v>
      </c>
    </row>
    <row r="6" spans="1:9" x14ac:dyDescent="0.6">
      <c r="A6" s="14" t="s">
        <v>15</v>
      </c>
      <c r="B6" s="15" t="s">
        <v>16</v>
      </c>
      <c r="C6" s="16">
        <v>41498</v>
      </c>
      <c r="D6" s="15">
        <v>56</v>
      </c>
      <c r="E6" s="15">
        <v>76</v>
      </c>
      <c r="F6" s="15">
        <v>34</v>
      </c>
      <c r="G6" s="15">
        <v>87</v>
      </c>
      <c r="H6" s="17">
        <v>34</v>
      </c>
      <c r="I6" s="15">
        <f t="shared" ca="1" si="0"/>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40204-2A57-4877-B8CE-E7152DBE0AE9}">
  <sheetPr codeName="Sheet3"/>
  <dimension ref="A2:J48"/>
  <sheetViews>
    <sheetView workbookViewId="0">
      <selection activeCell="B2" sqref="B2:E11"/>
    </sheetView>
  </sheetViews>
  <sheetFormatPr defaultRowHeight="26" x14ac:dyDescent="0.6"/>
  <cols>
    <col min="2" max="2" width="7.6484375" customWidth="1"/>
  </cols>
  <sheetData>
    <row r="2" spans="1:5" x14ac:dyDescent="0.6">
      <c r="B2" s="1" t="s">
        <v>21</v>
      </c>
      <c r="C2" s="1" t="s">
        <v>22</v>
      </c>
      <c r="D2" s="1" t="s">
        <v>23</v>
      </c>
      <c r="E2" s="1" t="s">
        <v>24</v>
      </c>
    </row>
    <row r="3" spans="1:5" x14ac:dyDescent="0.6">
      <c r="B3" s="1">
        <v>100</v>
      </c>
      <c r="C3" s="1" t="s">
        <v>25</v>
      </c>
      <c r="D3" s="1" t="s">
        <v>26</v>
      </c>
      <c r="E3" s="1">
        <v>22</v>
      </c>
    </row>
    <row r="4" spans="1:5" x14ac:dyDescent="0.6">
      <c r="B4" s="1">
        <v>101</v>
      </c>
      <c r="C4" s="1" t="s">
        <v>27</v>
      </c>
      <c r="D4" s="1" t="s">
        <v>28</v>
      </c>
      <c r="E4" s="1">
        <v>33</v>
      </c>
    </row>
    <row r="5" spans="1:5" x14ac:dyDescent="0.6">
      <c r="B5" s="1">
        <v>102</v>
      </c>
      <c r="C5" s="1" t="s">
        <v>29</v>
      </c>
      <c r="D5" s="1" t="s">
        <v>30</v>
      </c>
      <c r="E5" s="1">
        <v>54</v>
      </c>
    </row>
    <row r="6" spans="1:5" x14ac:dyDescent="0.6">
      <c r="B6" s="1">
        <v>103</v>
      </c>
      <c r="C6" s="1" t="s">
        <v>31</v>
      </c>
      <c r="D6" s="1" t="s">
        <v>32</v>
      </c>
      <c r="E6" s="1">
        <v>56</v>
      </c>
    </row>
    <row r="7" spans="1:5" x14ac:dyDescent="0.6">
      <c r="B7" s="1">
        <v>104</v>
      </c>
      <c r="C7" s="1" t="s">
        <v>33</v>
      </c>
      <c r="D7" s="1" t="s">
        <v>34</v>
      </c>
      <c r="E7" s="1">
        <v>34</v>
      </c>
    </row>
    <row r="8" spans="1:5" x14ac:dyDescent="0.6">
      <c r="B8" s="1">
        <v>105</v>
      </c>
      <c r="C8" s="1" t="s">
        <v>35</v>
      </c>
      <c r="D8" s="1" t="s">
        <v>36</v>
      </c>
      <c r="E8" s="1">
        <v>23</v>
      </c>
    </row>
    <row r="9" spans="1:5" x14ac:dyDescent="0.6">
      <c r="B9" s="1">
        <v>106</v>
      </c>
      <c r="C9" s="1" t="s">
        <v>37</v>
      </c>
      <c r="D9" s="1" t="s">
        <v>38</v>
      </c>
      <c r="E9" s="1">
        <v>2</v>
      </c>
    </row>
    <row r="10" spans="1:5" x14ac:dyDescent="0.6">
      <c r="B10" s="1">
        <v>107</v>
      </c>
      <c r="C10" s="1" t="s">
        <v>39</v>
      </c>
      <c r="D10" s="1" t="s">
        <v>40</v>
      </c>
      <c r="E10" s="1">
        <v>4</v>
      </c>
    </row>
    <row r="11" spans="1:5" x14ac:dyDescent="0.6">
      <c r="B11" s="1">
        <v>108</v>
      </c>
      <c r="C11" s="1" t="s">
        <v>41</v>
      </c>
      <c r="D11" s="1" t="s">
        <v>42</v>
      </c>
      <c r="E11" s="1">
        <v>56</v>
      </c>
    </row>
    <row r="13" spans="1:5" x14ac:dyDescent="0.6">
      <c r="B13" s="1" t="s">
        <v>21</v>
      </c>
      <c r="C13" s="1" t="s">
        <v>24</v>
      </c>
    </row>
    <row r="14" spans="1:5" x14ac:dyDescent="0.6">
      <c r="B14" s="1"/>
      <c r="C14" s="1"/>
    </row>
    <row r="16" spans="1:5" x14ac:dyDescent="0.6">
      <c r="A16" s="4" t="s">
        <v>55</v>
      </c>
      <c r="B16" t="s">
        <v>62</v>
      </c>
    </row>
    <row r="18" spans="1:10" x14ac:dyDescent="0.6">
      <c r="B18" s="1" t="s">
        <v>21</v>
      </c>
      <c r="C18" s="1" t="s">
        <v>22</v>
      </c>
      <c r="D18" s="1" t="s">
        <v>23</v>
      </c>
      <c r="E18" s="1" t="s">
        <v>24</v>
      </c>
      <c r="G18" s="1" t="s">
        <v>21</v>
      </c>
      <c r="H18" s="1" t="s">
        <v>22</v>
      </c>
      <c r="I18" s="1" t="s">
        <v>23</v>
      </c>
      <c r="J18" s="1" t="s">
        <v>24</v>
      </c>
    </row>
    <row r="19" spans="1:10" x14ac:dyDescent="0.6">
      <c r="B19" s="1">
        <v>100</v>
      </c>
      <c r="C19" s="1" t="s">
        <v>25</v>
      </c>
      <c r="D19" s="1" t="s">
        <v>26</v>
      </c>
      <c r="E19" s="1">
        <v>22</v>
      </c>
      <c r="G19" s="1">
        <v>1000</v>
      </c>
      <c r="H19" s="1" t="s">
        <v>45</v>
      </c>
      <c r="I19" s="1" t="s">
        <v>26</v>
      </c>
      <c r="J19" s="1">
        <v>220</v>
      </c>
    </row>
    <row r="20" spans="1:10" x14ac:dyDescent="0.6">
      <c r="B20" s="1">
        <v>101</v>
      </c>
      <c r="C20" s="1" t="s">
        <v>27</v>
      </c>
      <c r="D20" s="1" t="s">
        <v>28</v>
      </c>
      <c r="E20" s="1">
        <v>33</v>
      </c>
      <c r="G20" s="1">
        <v>1010</v>
      </c>
      <c r="H20" s="1" t="s">
        <v>46</v>
      </c>
      <c r="I20" s="1" t="s">
        <v>28</v>
      </c>
      <c r="J20" s="1">
        <v>330</v>
      </c>
    </row>
    <row r="21" spans="1:10" x14ac:dyDescent="0.6">
      <c r="B21" s="1">
        <v>102</v>
      </c>
      <c r="C21" s="1" t="s">
        <v>29</v>
      </c>
      <c r="D21" s="1" t="s">
        <v>30</v>
      </c>
      <c r="E21" s="1">
        <v>54</v>
      </c>
      <c r="G21" s="1">
        <v>1020</v>
      </c>
      <c r="H21" s="1" t="s">
        <v>47</v>
      </c>
      <c r="I21" s="1" t="s">
        <v>30</v>
      </c>
      <c r="J21" s="1">
        <v>540</v>
      </c>
    </row>
    <row r="22" spans="1:10" x14ac:dyDescent="0.6">
      <c r="B22" s="1">
        <v>103</v>
      </c>
      <c r="C22" s="1" t="s">
        <v>31</v>
      </c>
      <c r="D22" s="1" t="s">
        <v>32</v>
      </c>
      <c r="E22" s="1">
        <v>56</v>
      </c>
      <c r="G22" s="1">
        <v>1030</v>
      </c>
      <c r="H22" s="1" t="s">
        <v>48</v>
      </c>
      <c r="I22" s="1" t="s">
        <v>32</v>
      </c>
      <c r="J22" s="1">
        <v>560</v>
      </c>
    </row>
    <row r="23" spans="1:10" x14ac:dyDescent="0.6">
      <c r="B23" s="1">
        <v>104</v>
      </c>
      <c r="C23" s="1" t="s">
        <v>33</v>
      </c>
      <c r="D23" s="1" t="s">
        <v>34</v>
      </c>
      <c r="E23" s="1">
        <v>34</v>
      </c>
      <c r="G23" s="1">
        <v>1040</v>
      </c>
      <c r="H23" s="1" t="s">
        <v>49</v>
      </c>
      <c r="I23" s="1" t="s">
        <v>34</v>
      </c>
      <c r="J23" s="1">
        <v>340</v>
      </c>
    </row>
    <row r="24" spans="1:10" x14ac:dyDescent="0.6">
      <c r="B24" s="1">
        <v>105</v>
      </c>
      <c r="C24" s="1" t="s">
        <v>35</v>
      </c>
      <c r="D24" s="1" t="s">
        <v>36</v>
      </c>
      <c r="E24" s="1">
        <v>23</v>
      </c>
      <c r="G24" s="1">
        <v>1050</v>
      </c>
      <c r="H24" s="1" t="s">
        <v>50</v>
      </c>
      <c r="I24" s="1" t="s">
        <v>36</v>
      </c>
      <c r="J24" s="1">
        <v>230</v>
      </c>
    </row>
    <row r="25" spans="1:10" x14ac:dyDescent="0.6">
      <c r="B25" s="1">
        <v>106</v>
      </c>
      <c r="C25" s="1" t="s">
        <v>37</v>
      </c>
      <c r="D25" s="1" t="s">
        <v>38</v>
      </c>
      <c r="E25" s="1">
        <v>2</v>
      </c>
      <c r="G25" s="1">
        <v>1060</v>
      </c>
      <c r="H25" s="1" t="s">
        <v>51</v>
      </c>
      <c r="I25" s="1" t="s">
        <v>38</v>
      </c>
      <c r="J25" s="1">
        <v>30</v>
      </c>
    </row>
    <row r="26" spans="1:10" x14ac:dyDescent="0.6">
      <c r="B26" s="1">
        <v>107</v>
      </c>
      <c r="C26" s="1" t="s">
        <v>39</v>
      </c>
      <c r="D26" s="1" t="s">
        <v>40</v>
      </c>
      <c r="E26" s="1">
        <v>4</v>
      </c>
      <c r="G26" s="1">
        <v>1070</v>
      </c>
      <c r="H26" s="1" t="s">
        <v>52</v>
      </c>
      <c r="I26" s="1" t="s">
        <v>40</v>
      </c>
      <c r="J26" s="1">
        <v>40</v>
      </c>
    </row>
    <row r="27" spans="1:10" x14ac:dyDescent="0.6">
      <c r="B27" s="1">
        <v>108</v>
      </c>
      <c r="C27" s="1" t="s">
        <v>41</v>
      </c>
      <c r="D27" s="1" t="s">
        <v>42</v>
      </c>
      <c r="E27" s="1">
        <v>56</v>
      </c>
      <c r="G27" s="1">
        <v>1080</v>
      </c>
      <c r="H27" s="1" t="s">
        <v>53</v>
      </c>
      <c r="I27" s="1" t="s">
        <v>42</v>
      </c>
      <c r="J27" s="1">
        <v>560</v>
      </c>
    </row>
    <row r="29" spans="1:10" x14ac:dyDescent="0.6">
      <c r="B29" s="1" t="s">
        <v>22</v>
      </c>
      <c r="C29" s="1" t="s">
        <v>24</v>
      </c>
    </row>
    <row r="30" spans="1:10" x14ac:dyDescent="0.6">
      <c r="B30" s="1"/>
      <c r="C30" s="1"/>
    </row>
    <row r="32" spans="1:10" x14ac:dyDescent="0.6">
      <c r="A32" s="4" t="s">
        <v>55</v>
      </c>
      <c r="B32" t="s">
        <v>61</v>
      </c>
    </row>
    <row r="34" spans="1:6" x14ac:dyDescent="0.6">
      <c r="B34" s="1" t="s">
        <v>59</v>
      </c>
      <c r="C34" s="1" t="s">
        <v>22</v>
      </c>
      <c r="D34" s="1" t="s">
        <v>56</v>
      </c>
      <c r="E34" s="1" t="s">
        <v>57</v>
      </c>
      <c r="F34" s="1" t="s">
        <v>58</v>
      </c>
    </row>
    <row r="35" spans="1:6" x14ac:dyDescent="0.6">
      <c r="B35" s="1">
        <v>100</v>
      </c>
      <c r="C35" s="1" t="s">
        <v>25</v>
      </c>
      <c r="D35" s="1">
        <v>33</v>
      </c>
      <c r="E35" s="1">
        <v>22</v>
      </c>
      <c r="F35" s="1">
        <v>23</v>
      </c>
    </row>
    <row r="36" spans="1:6" x14ac:dyDescent="0.6">
      <c r="B36" s="1">
        <v>101</v>
      </c>
      <c r="C36" s="1" t="s">
        <v>27</v>
      </c>
      <c r="D36" s="1">
        <v>54</v>
      </c>
      <c r="E36" s="1">
        <v>33</v>
      </c>
      <c r="F36" s="1">
        <v>23</v>
      </c>
    </row>
    <row r="37" spans="1:6" x14ac:dyDescent="0.6">
      <c r="B37" s="1">
        <v>102</v>
      </c>
      <c r="C37" s="1" t="s">
        <v>29</v>
      </c>
      <c r="D37" s="1">
        <v>56</v>
      </c>
      <c r="E37" s="1">
        <v>54</v>
      </c>
      <c r="F37" s="1">
        <v>434</v>
      </c>
    </row>
    <row r="38" spans="1:6" x14ac:dyDescent="0.6">
      <c r="B38" s="1">
        <v>103</v>
      </c>
      <c r="C38" s="1" t="s">
        <v>31</v>
      </c>
      <c r="D38" s="1">
        <v>34</v>
      </c>
      <c r="E38" s="1">
        <v>56</v>
      </c>
      <c r="F38" s="1">
        <v>3</v>
      </c>
    </row>
    <row r="39" spans="1:6" x14ac:dyDescent="0.6">
      <c r="B39" s="1">
        <v>104</v>
      </c>
      <c r="C39" s="1" t="s">
        <v>33</v>
      </c>
      <c r="D39" s="1">
        <v>23</v>
      </c>
      <c r="E39" s="1">
        <v>34</v>
      </c>
      <c r="F39" s="1">
        <v>34</v>
      </c>
    </row>
    <row r="40" spans="1:6" x14ac:dyDescent="0.6">
      <c r="B40" s="1">
        <v>105</v>
      </c>
      <c r="C40" s="1" t="s">
        <v>35</v>
      </c>
      <c r="D40" s="1">
        <v>2</v>
      </c>
      <c r="E40" s="1">
        <v>23</v>
      </c>
      <c r="F40" s="1">
        <v>34</v>
      </c>
    </row>
    <row r="41" spans="1:6" x14ac:dyDescent="0.6">
      <c r="B41" s="1">
        <v>106</v>
      </c>
      <c r="C41" s="1" t="s">
        <v>37</v>
      </c>
      <c r="D41" s="1">
        <v>4</v>
      </c>
      <c r="E41" s="1">
        <v>2</v>
      </c>
      <c r="F41" s="1">
        <v>44</v>
      </c>
    </row>
    <row r="42" spans="1:6" x14ac:dyDescent="0.6">
      <c r="B42" s="1">
        <v>107</v>
      </c>
      <c r="C42" s="1" t="s">
        <v>39</v>
      </c>
      <c r="D42" s="1">
        <v>34</v>
      </c>
      <c r="E42" s="1">
        <v>45</v>
      </c>
      <c r="F42" s="1">
        <v>54</v>
      </c>
    </row>
    <row r="43" spans="1:6" x14ac:dyDescent="0.6">
      <c r="B43" s="1">
        <v>108</v>
      </c>
      <c r="C43" s="1" t="s">
        <v>41</v>
      </c>
      <c r="D43" s="1">
        <v>45</v>
      </c>
      <c r="E43" s="1">
        <v>56</v>
      </c>
      <c r="F43" s="1">
        <v>556</v>
      </c>
    </row>
    <row r="45" spans="1:6" x14ac:dyDescent="0.6">
      <c r="B45" s="1" t="s">
        <v>59</v>
      </c>
      <c r="C45" s="1" t="s">
        <v>60</v>
      </c>
    </row>
    <row r="46" spans="1:6" x14ac:dyDescent="0.6">
      <c r="B46" s="1">
        <v>102</v>
      </c>
      <c r="C46" s="1"/>
    </row>
    <row r="48" spans="1:6" x14ac:dyDescent="0.6">
      <c r="A48" s="4" t="s">
        <v>55</v>
      </c>
      <c r="B48"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69F3-9BDF-44CC-8A47-79444734489B}">
  <sheetPr codeName="Sheet4"/>
  <dimension ref="A2:J64"/>
  <sheetViews>
    <sheetView topLeftCell="A44" zoomScale="85" zoomScaleNormal="85" workbookViewId="0">
      <selection activeCell="D53" sqref="D53"/>
    </sheetView>
  </sheetViews>
  <sheetFormatPr defaultRowHeight="25.25" customHeight="1" x14ac:dyDescent="0.6"/>
  <sheetData>
    <row r="2" spans="1:4" ht="25.25" customHeight="1" x14ac:dyDescent="0.6">
      <c r="A2" s="19" t="s">
        <v>21</v>
      </c>
      <c r="B2" s="20" t="s">
        <v>22</v>
      </c>
      <c r="C2" s="20" t="s">
        <v>23</v>
      </c>
      <c r="D2" s="18" t="s">
        <v>24</v>
      </c>
    </row>
    <row r="3" spans="1:4" ht="25.25" customHeight="1" x14ac:dyDescent="0.6">
      <c r="A3" s="9">
        <v>100</v>
      </c>
      <c r="B3" s="1" t="s">
        <v>25</v>
      </c>
      <c r="C3" s="1" t="s">
        <v>26</v>
      </c>
      <c r="D3" s="10">
        <v>22</v>
      </c>
    </row>
    <row r="4" spans="1:4" ht="25.25" customHeight="1" x14ac:dyDescent="0.6">
      <c r="A4" s="9">
        <v>101</v>
      </c>
      <c r="B4" s="1" t="s">
        <v>27</v>
      </c>
      <c r="C4" s="1" t="s">
        <v>28</v>
      </c>
      <c r="D4" s="10">
        <v>33</v>
      </c>
    </row>
    <row r="5" spans="1:4" ht="25.25" customHeight="1" x14ac:dyDescent="0.6">
      <c r="A5" s="9">
        <v>102</v>
      </c>
      <c r="B5" s="1" t="s">
        <v>29</v>
      </c>
      <c r="C5" s="1" t="s">
        <v>30</v>
      </c>
      <c r="D5" s="10">
        <v>54</v>
      </c>
    </row>
    <row r="6" spans="1:4" ht="25.25" customHeight="1" x14ac:dyDescent="0.6">
      <c r="A6" s="9">
        <v>103</v>
      </c>
      <c r="B6" s="1" t="s">
        <v>31</v>
      </c>
      <c r="C6" s="1" t="s">
        <v>32</v>
      </c>
      <c r="D6" s="10">
        <v>56</v>
      </c>
    </row>
    <row r="7" spans="1:4" ht="25.25" customHeight="1" x14ac:dyDescent="0.6">
      <c r="A7" s="9">
        <v>104</v>
      </c>
      <c r="B7" s="1" t="s">
        <v>33</v>
      </c>
      <c r="C7" s="1" t="s">
        <v>34</v>
      </c>
      <c r="D7" s="10">
        <v>34</v>
      </c>
    </row>
    <row r="8" spans="1:4" ht="25.25" customHeight="1" x14ac:dyDescent="0.6">
      <c r="A8" s="9">
        <v>105</v>
      </c>
      <c r="B8" s="1" t="s">
        <v>35</v>
      </c>
      <c r="C8" s="1" t="s">
        <v>36</v>
      </c>
      <c r="D8" s="10">
        <v>23</v>
      </c>
    </row>
    <row r="9" spans="1:4" ht="25.25" customHeight="1" x14ac:dyDescent="0.6">
      <c r="A9" s="9">
        <v>106</v>
      </c>
      <c r="B9" s="1" t="s">
        <v>37</v>
      </c>
      <c r="C9" s="1" t="s">
        <v>38</v>
      </c>
      <c r="D9" s="10">
        <v>2</v>
      </c>
    </row>
    <row r="10" spans="1:4" ht="25.25" customHeight="1" x14ac:dyDescent="0.6">
      <c r="A10" s="9">
        <v>107</v>
      </c>
      <c r="B10" s="1" t="s">
        <v>39</v>
      </c>
      <c r="C10" s="1" t="s">
        <v>40</v>
      </c>
      <c r="D10" s="10">
        <v>4</v>
      </c>
    </row>
    <row r="11" spans="1:4" ht="25.25" customHeight="1" x14ac:dyDescent="0.6">
      <c r="A11" s="14">
        <v>108</v>
      </c>
      <c r="B11" s="15" t="s">
        <v>41</v>
      </c>
      <c r="C11" s="15" t="s">
        <v>42</v>
      </c>
      <c r="D11" s="17">
        <v>56</v>
      </c>
    </row>
    <row r="13" spans="1:4" ht="25.25" customHeight="1" x14ac:dyDescent="0.6">
      <c r="B13" s="1" t="s">
        <v>21</v>
      </c>
      <c r="C13" s="1" t="s">
        <v>24</v>
      </c>
    </row>
    <row r="14" spans="1:4" ht="25.25" customHeight="1" x14ac:dyDescent="0.6">
      <c r="B14" s="1">
        <v>101</v>
      </c>
      <c r="C14">
        <f>_xlfn.XLOOKUP(B14,Table2[ID],Table2[Qty Sold])</f>
        <v>33</v>
      </c>
    </row>
    <row r="16" spans="1:4" ht="25.25" customHeight="1" x14ac:dyDescent="0.6">
      <c r="A16" s="4" t="s">
        <v>44</v>
      </c>
      <c r="B16" t="s">
        <v>43</v>
      </c>
    </row>
    <row r="18" spans="1:10" ht="25.25" customHeight="1" x14ac:dyDescent="0.6">
      <c r="B18" s="19" t="s">
        <v>21</v>
      </c>
      <c r="C18" s="20" t="s">
        <v>22</v>
      </c>
      <c r="D18" s="20" t="s">
        <v>23</v>
      </c>
      <c r="E18" s="18" t="s">
        <v>24</v>
      </c>
      <c r="G18" s="19" t="s">
        <v>21</v>
      </c>
      <c r="H18" s="20" t="s">
        <v>22</v>
      </c>
      <c r="I18" s="20" t="s">
        <v>23</v>
      </c>
      <c r="J18" s="18" t="s">
        <v>24</v>
      </c>
    </row>
    <row r="19" spans="1:10" ht="25.25" customHeight="1" x14ac:dyDescent="0.6">
      <c r="B19" s="9">
        <v>100</v>
      </c>
      <c r="C19" s="1" t="s">
        <v>25</v>
      </c>
      <c r="D19" s="1" t="s">
        <v>26</v>
      </c>
      <c r="E19" s="10">
        <v>22</v>
      </c>
      <c r="G19" s="9">
        <v>1000</v>
      </c>
      <c r="H19" s="1" t="s">
        <v>45</v>
      </c>
      <c r="I19" s="1" t="s">
        <v>26</v>
      </c>
      <c r="J19" s="10">
        <v>220</v>
      </c>
    </row>
    <row r="20" spans="1:10" ht="25.25" customHeight="1" x14ac:dyDescent="0.6">
      <c r="B20" s="9">
        <v>101</v>
      </c>
      <c r="C20" s="1" t="s">
        <v>27</v>
      </c>
      <c r="D20" s="1" t="s">
        <v>28</v>
      </c>
      <c r="E20" s="10">
        <v>33</v>
      </c>
      <c r="G20" s="9">
        <v>1010</v>
      </c>
      <c r="H20" s="1" t="s">
        <v>46</v>
      </c>
      <c r="I20" s="1" t="s">
        <v>28</v>
      </c>
      <c r="J20" s="10">
        <v>330</v>
      </c>
    </row>
    <row r="21" spans="1:10" ht="25.25" customHeight="1" x14ac:dyDescent="0.6">
      <c r="B21" s="9">
        <v>102</v>
      </c>
      <c r="C21" s="1" t="s">
        <v>29</v>
      </c>
      <c r="D21" s="1" t="s">
        <v>30</v>
      </c>
      <c r="E21" s="10">
        <v>54</v>
      </c>
      <c r="G21" s="9">
        <v>1020</v>
      </c>
      <c r="H21" s="1" t="s">
        <v>47</v>
      </c>
      <c r="I21" s="1" t="s">
        <v>30</v>
      </c>
      <c r="J21" s="10">
        <v>540</v>
      </c>
    </row>
    <row r="22" spans="1:10" ht="25.25" customHeight="1" x14ac:dyDescent="0.6">
      <c r="B22" s="9">
        <v>103</v>
      </c>
      <c r="C22" s="1" t="s">
        <v>31</v>
      </c>
      <c r="D22" s="1" t="s">
        <v>32</v>
      </c>
      <c r="E22" s="10">
        <v>56</v>
      </c>
      <c r="G22" s="9">
        <v>1030</v>
      </c>
      <c r="H22" s="1" t="s">
        <v>48</v>
      </c>
      <c r="I22" s="1" t="s">
        <v>32</v>
      </c>
      <c r="J22" s="10">
        <v>560</v>
      </c>
    </row>
    <row r="23" spans="1:10" ht="25.25" customHeight="1" x14ac:dyDescent="0.6">
      <c r="B23" s="9">
        <v>104</v>
      </c>
      <c r="C23" s="1" t="s">
        <v>33</v>
      </c>
      <c r="D23" s="1" t="s">
        <v>34</v>
      </c>
      <c r="E23" s="10">
        <v>34</v>
      </c>
      <c r="G23" s="9">
        <v>1040</v>
      </c>
      <c r="H23" s="1" t="s">
        <v>49</v>
      </c>
      <c r="I23" s="1" t="s">
        <v>34</v>
      </c>
      <c r="J23" s="10">
        <v>340</v>
      </c>
    </row>
    <row r="24" spans="1:10" ht="25.25" customHeight="1" x14ac:dyDescent="0.6">
      <c r="B24" s="9">
        <v>105</v>
      </c>
      <c r="C24" s="1" t="s">
        <v>35</v>
      </c>
      <c r="D24" s="1" t="s">
        <v>36</v>
      </c>
      <c r="E24" s="10">
        <v>23</v>
      </c>
      <c r="G24" s="9">
        <v>1050</v>
      </c>
      <c r="H24" s="1" t="s">
        <v>50</v>
      </c>
      <c r="I24" s="1" t="s">
        <v>36</v>
      </c>
      <c r="J24" s="10">
        <v>230</v>
      </c>
    </row>
    <row r="25" spans="1:10" ht="25.25" customHeight="1" x14ac:dyDescent="0.6">
      <c r="B25" s="9">
        <v>106</v>
      </c>
      <c r="C25" s="1" t="s">
        <v>37</v>
      </c>
      <c r="D25" s="1" t="s">
        <v>38</v>
      </c>
      <c r="E25" s="10">
        <v>2</v>
      </c>
      <c r="G25" s="9">
        <v>1060</v>
      </c>
      <c r="H25" s="1" t="s">
        <v>51</v>
      </c>
      <c r="I25" s="1" t="s">
        <v>38</v>
      </c>
      <c r="J25" s="10">
        <v>30</v>
      </c>
    </row>
    <row r="26" spans="1:10" ht="25.25" customHeight="1" x14ac:dyDescent="0.6">
      <c r="B26" s="9">
        <v>107</v>
      </c>
      <c r="C26" s="1" t="s">
        <v>39</v>
      </c>
      <c r="D26" s="1" t="s">
        <v>40</v>
      </c>
      <c r="E26" s="10">
        <v>4</v>
      </c>
      <c r="G26" s="9">
        <v>1070</v>
      </c>
      <c r="H26" s="1" t="s">
        <v>52</v>
      </c>
      <c r="I26" s="1" t="s">
        <v>40</v>
      </c>
      <c r="J26" s="10">
        <v>40</v>
      </c>
    </row>
    <row r="27" spans="1:10" ht="25.25" customHeight="1" x14ac:dyDescent="0.6">
      <c r="B27" s="14">
        <v>108</v>
      </c>
      <c r="C27" s="15" t="s">
        <v>41</v>
      </c>
      <c r="D27" s="15" t="s">
        <v>42</v>
      </c>
      <c r="E27" s="17">
        <v>56</v>
      </c>
      <c r="G27" s="14">
        <v>1080</v>
      </c>
      <c r="H27" s="15" t="s">
        <v>53</v>
      </c>
      <c r="I27" s="15" t="s">
        <v>42</v>
      </c>
      <c r="J27" s="17">
        <v>560</v>
      </c>
    </row>
    <row r="29" spans="1:10" ht="25.25" customHeight="1" x14ac:dyDescent="0.6">
      <c r="B29" s="1" t="s">
        <v>22</v>
      </c>
      <c r="C29" s="1" t="s">
        <v>24</v>
      </c>
    </row>
    <row r="30" spans="1:10" ht="25.25" customHeight="1" x14ac:dyDescent="0.6">
      <c r="B30" s="1" t="s">
        <v>53</v>
      </c>
      <c r="C30" s="1">
        <f>IFERROR(_xlfn.XLOOKUP(B30,Table3[Name],Table3[Qty Sold]),0)+IFERROR(_xlfn.XLOOKUP(B30,Table4[Name],Table4[Qty Sold]),0)</f>
        <v>560</v>
      </c>
    </row>
    <row r="32" spans="1:10" ht="25.25" customHeight="1" x14ac:dyDescent="0.6">
      <c r="A32" s="4" t="s">
        <v>44</v>
      </c>
      <c r="B32" t="s">
        <v>54</v>
      </c>
    </row>
    <row r="34" spans="1:6" ht="25.25" customHeight="1" x14ac:dyDescent="0.6">
      <c r="B34" s="19" t="s">
        <v>59</v>
      </c>
      <c r="C34" s="20" t="s">
        <v>22</v>
      </c>
      <c r="D34" s="20" t="s">
        <v>56</v>
      </c>
      <c r="E34" s="20" t="s">
        <v>57</v>
      </c>
      <c r="F34" s="18" t="s">
        <v>58</v>
      </c>
    </row>
    <row r="35" spans="1:6" ht="25.25" customHeight="1" x14ac:dyDescent="0.6">
      <c r="B35" s="9">
        <v>100</v>
      </c>
      <c r="C35" s="1" t="s">
        <v>25</v>
      </c>
      <c r="D35" s="1">
        <v>33</v>
      </c>
      <c r="E35" s="1">
        <v>22</v>
      </c>
      <c r="F35" s="10">
        <v>23</v>
      </c>
    </row>
    <row r="36" spans="1:6" ht="25.25" customHeight="1" x14ac:dyDescent="0.6">
      <c r="B36" s="9">
        <v>101</v>
      </c>
      <c r="C36" s="1" t="s">
        <v>27</v>
      </c>
      <c r="D36" s="1">
        <v>54</v>
      </c>
      <c r="E36" s="1">
        <v>33</v>
      </c>
      <c r="F36" s="10">
        <v>23</v>
      </c>
    </row>
    <row r="37" spans="1:6" ht="25.25" customHeight="1" x14ac:dyDescent="0.6">
      <c r="B37" s="9">
        <v>102</v>
      </c>
      <c r="C37" s="1" t="s">
        <v>29</v>
      </c>
      <c r="D37" s="1">
        <v>56</v>
      </c>
      <c r="E37" s="1">
        <v>54</v>
      </c>
      <c r="F37" s="10">
        <v>434</v>
      </c>
    </row>
    <row r="38" spans="1:6" ht="25.25" customHeight="1" x14ac:dyDescent="0.6">
      <c r="B38" s="9">
        <v>103</v>
      </c>
      <c r="C38" s="1" t="s">
        <v>31</v>
      </c>
      <c r="D38" s="1">
        <v>34</v>
      </c>
      <c r="E38" s="1">
        <v>56</v>
      </c>
      <c r="F38" s="10">
        <v>3</v>
      </c>
    </row>
    <row r="39" spans="1:6" ht="25.25" customHeight="1" x14ac:dyDescent="0.6">
      <c r="B39" s="9">
        <v>104</v>
      </c>
      <c r="C39" s="1" t="s">
        <v>33</v>
      </c>
      <c r="D39" s="1">
        <v>23</v>
      </c>
      <c r="E39" s="1">
        <v>34</v>
      </c>
      <c r="F39" s="10">
        <v>34</v>
      </c>
    </row>
    <row r="40" spans="1:6" ht="25.25" customHeight="1" x14ac:dyDescent="0.6">
      <c r="B40" s="9">
        <v>105</v>
      </c>
      <c r="C40" s="1" t="s">
        <v>35</v>
      </c>
      <c r="D40" s="1">
        <v>2</v>
      </c>
      <c r="E40" s="1">
        <v>23</v>
      </c>
      <c r="F40" s="10">
        <v>34</v>
      </c>
    </row>
    <row r="41" spans="1:6" ht="25.25" customHeight="1" x14ac:dyDescent="0.6">
      <c r="B41" s="9">
        <v>106</v>
      </c>
      <c r="C41" s="1" t="s">
        <v>37</v>
      </c>
      <c r="D41" s="1">
        <v>4</v>
      </c>
      <c r="E41" s="1">
        <v>2</v>
      </c>
      <c r="F41" s="10">
        <v>44</v>
      </c>
    </row>
    <row r="42" spans="1:6" ht="25.25" customHeight="1" x14ac:dyDescent="0.6">
      <c r="B42" s="9">
        <v>107</v>
      </c>
      <c r="C42" s="1" t="s">
        <v>39</v>
      </c>
      <c r="D42" s="1">
        <v>34</v>
      </c>
      <c r="E42" s="1">
        <v>45</v>
      </c>
      <c r="F42" s="10">
        <v>54</v>
      </c>
    </row>
    <row r="43" spans="1:6" ht="25.25" customHeight="1" x14ac:dyDescent="0.6">
      <c r="B43" s="14">
        <v>108</v>
      </c>
      <c r="C43" s="15" t="s">
        <v>41</v>
      </c>
      <c r="D43" s="15">
        <v>45</v>
      </c>
      <c r="E43" s="15">
        <v>56</v>
      </c>
      <c r="F43" s="17">
        <v>556</v>
      </c>
    </row>
    <row r="45" spans="1:6" ht="25.25" customHeight="1" x14ac:dyDescent="0.6">
      <c r="B45" s="1" t="s">
        <v>59</v>
      </c>
      <c r="C45" s="1" t="s">
        <v>60</v>
      </c>
    </row>
    <row r="46" spans="1:6" ht="25.25" customHeight="1" x14ac:dyDescent="0.6">
      <c r="B46" s="1">
        <v>105</v>
      </c>
      <c r="C46" s="1">
        <f>SUM(_xlfn.XLOOKUP($B$46,Table5[Id],Table5[[Jan]:[Mar]]))</f>
        <v>59</v>
      </c>
    </row>
    <row r="48" spans="1:6" ht="25.25" customHeight="1" x14ac:dyDescent="0.6">
      <c r="A48" s="4" t="s">
        <v>55</v>
      </c>
      <c r="B48" t="s">
        <v>63</v>
      </c>
    </row>
    <row r="50" spans="1:6" ht="25.25" customHeight="1" x14ac:dyDescent="0.6">
      <c r="B50" s="1" t="s">
        <v>59</v>
      </c>
      <c r="C50" s="1" t="s">
        <v>22</v>
      </c>
      <c r="D50" s="1" t="s">
        <v>56</v>
      </c>
      <c r="E50" s="1" t="s">
        <v>57</v>
      </c>
      <c r="F50" s="1" t="s">
        <v>58</v>
      </c>
    </row>
    <row r="51" spans="1:6" ht="25.25" customHeight="1" x14ac:dyDescent="0.6">
      <c r="B51" s="1">
        <v>100</v>
      </c>
      <c r="C51" s="1" t="s">
        <v>25</v>
      </c>
      <c r="D51" s="1">
        <v>33</v>
      </c>
      <c r="E51" s="1">
        <v>22</v>
      </c>
      <c r="F51" s="1">
        <v>23</v>
      </c>
    </row>
    <row r="52" spans="1:6" ht="25.25" customHeight="1" x14ac:dyDescent="0.6">
      <c r="B52" s="1">
        <v>101</v>
      </c>
      <c r="C52" s="1" t="s">
        <v>27</v>
      </c>
      <c r="D52" s="1">
        <v>54</v>
      </c>
      <c r="E52" s="1">
        <v>33</v>
      </c>
      <c r="F52" s="1">
        <v>23</v>
      </c>
    </row>
    <row r="53" spans="1:6" ht="25.25" customHeight="1" x14ac:dyDescent="0.6">
      <c r="B53" s="1">
        <v>102</v>
      </c>
      <c r="C53" s="1" t="s">
        <v>29</v>
      </c>
      <c r="D53" s="1">
        <v>56</v>
      </c>
      <c r="E53" s="1">
        <v>54</v>
      </c>
      <c r="F53" s="1">
        <v>434</v>
      </c>
    </row>
    <row r="54" spans="1:6" ht="25.25" customHeight="1" x14ac:dyDescent="0.6">
      <c r="B54" s="1">
        <v>103</v>
      </c>
      <c r="C54" s="1" t="s">
        <v>31</v>
      </c>
      <c r="D54" s="1">
        <v>34</v>
      </c>
      <c r="E54" s="1">
        <v>56</v>
      </c>
      <c r="F54" s="1">
        <v>3</v>
      </c>
    </row>
    <row r="55" spans="1:6" ht="25.25" customHeight="1" x14ac:dyDescent="0.6">
      <c r="B55" s="1">
        <v>104</v>
      </c>
      <c r="C55" s="1" t="s">
        <v>33</v>
      </c>
      <c r="D55" s="1">
        <v>23</v>
      </c>
      <c r="E55" s="1">
        <v>34</v>
      </c>
      <c r="F55" s="1">
        <v>34</v>
      </c>
    </row>
    <row r="56" spans="1:6" ht="25.25" customHeight="1" x14ac:dyDescent="0.6">
      <c r="B56" s="1">
        <v>105</v>
      </c>
      <c r="C56" s="1" t="s">
        <v>35</v>
      </c>
      <c r="D56" s="1">
        <v>2</v>
      </c>
      <c r="E56" s="1">
        <v>23</v>
      </c>
      <c r="F56" s="1">
        <v>34</v>
      </c>
    </row>
    <row r="57" spans="1:6" ht="25.25" customHeight="1" x14ac:dyDescent="0.6">
      <c r="B57" s="1">
        <v>106</v>
      </c>
      <c r="C57" s="1" t="s">
        <v>37</v>
      </c>
      <c r="D57" s="1">
        <v>4</v>
      </c>
      <c r="E57" s="1">
        <v>2</v>
      </c>
      <c r="F57" s="1">
        <v>44</v>
      </c>
    </row>
    <row r="58" spans="1:6" ht="25.25" customHeight="1" x14ac:dyDescent="0.6">
      <c r="B58" s="1">
        <v>107</v>
      </c>
      <c r="C58" s="1" t="s">
        <v>39</v>
      </c>
      <c r="D58" s="1">
        <v>34</v>
      </c>
      <c r="E58" s="1">
        <v>45</v>
      </c>
      <c r="F58" s="1">
        <v>54</v>
      </c>
    </row>
    <row r="59" spans="1:6" ht="25.25" customHeight="1" x14ac:dyDescent="0.6">
      <c r="B59" s="1">
        <v>108</v>
      </c>
      <c r="C59" s="1" t="s">
        <v>41</v>
      </c>
      <c r="D59" s="1">
        <v>45</v>
      </c>
      <c r="E59" s="1">
        <v>56</v>
      </c>
      <c r="F59" s="1">
        <v>556</v>
      </c>
    </row>
    <row r="61" spans="1:6" ht="25.25" customHeight="1" x14ac:dyDescent="0.6">
      <c r="B61" s="1" t="s">
        <v>59</v>
      </c>
      <c r="C61" s="1" t="s">
        <v>60</v>
      </c>
    </row>
    <row r="62" spans="1:6" ht="25.25" customHeight="1" x14ac:dyDescent="0.6">
      <c r="B62" s="1">
        <v>102</v>
      </c>
      <c r="C62" s="1"/>
    </row>
    <row r="64" spans="1:6" ht="25.25" customHeight="1" x14ac:dyDescent="0.6">
      <c r="A64" s="4" t="s">
        <v>44</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C3A2-C906-4059-BD22-358861E56521}">
  <sheetPr codeName="Sheet5"/>
  <dimension ref="B2:C7"/>
  <sheetViews>
    <sheetView workbookViewId="0">
      <selection activeCell="C6" sqref="C6"/>
    </sheetView>
  </sheetViews>
  <sheetFormatPr defaultRowHeight="26" x14ac:dyDescent="0.6"/>
  <sheetData>
    <row r="2" spans="2:3" x14ac:dyDescent="0.6">
      <c r="B2" s="4" t="s">
        <v>55</v>
      </c>
      <c r="C2" t="s">
        <v>84</v>
      </c>
    </row>
    <row r="3" spans="2:3" x14ac:dyDescent="0.6">
      <c r="C3" t="s">
        <v>89</v>
      </c>
    </row>
    <row r="5" spans="2:3" x14ac:dyDescent="0.6">
      <c r="B5" s="4" t="s">
        <v>44</v>
      </c>
      <c r="C5" t="s">
        <v>85</v>
      </c>
    </row>
    <row r="6" spans="2:3" x14ac:dyDescent="0.6">
      <c r="C6" t="s">
        <v>86</v>
      </c>
    </row>
    <row r="7" spans="2:3" x14ac:dyDescent="0.6">
      <c r="C7"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49F7E-6338-42C1-83BF-55C9D0D2C04F}">
  <sheetPr codeName="Sheet6"/>
  <dimension ref="B2:B4"/>
  <sheetViews>
    <sheetView workbookViewId="0">
      <selection activeCell="B4" sqref="B4"/>
    </sheetView>
  </sheetViews>
  <sheetFormatPr defaultRowHeight="26" x14ac:dyDescent="0.6"/>
  <sheetData>
    <row r="2" spans="2:2" x14ac:dyDescent="0.6">
      <c r="B2" t="s">
        <v>87</v>
      </c>
    </row>
    <row r="3" spans="2:2" x14ac:dyDescent="0.6">
      <c r="B3" t="s">
        <v>88</v>
      </c>
    </row>
    <row r="4" spans="2:2" x14ac:dyDescent="0.6">
      <c r="B4"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78ED-67E3-4770-95D6-F7DD7C8CA919}">
  <sheetPr codeName="Sheet7"/>
  <dimension ref="A1:G27"/>
  <sheetViews>
    <sheetView tabSelected="1" topLeftCell="C18" zoomScaleNormal="100" workbookViewId="0">
      <selection activeCell="F20" sqref="F20"/>
    </sheetView>
  </sheetViews>
  <sheetFormatPr defaultRowHeight="26" x14ac:dyDescent="0.6"/>
  <cols>
    <col min="3" max="3" width="15.19921875" customWidth="1"/>
    <col min="4" max="5" width="8.8984375" customWidth="1"/>
    <col min="6" max="6" width="17.09765625" bestFit="1" customWidth="1"/>
    <col min="7" max="7" width="31.8984375" customWidth="1"/>
  </cols>
  <sheetData>
    <row r="1" spans="1:7" ht="26.5" thickBot="1" x14ac:dyDescent="0.65"/>
    <row r="2" spans="1:7" ht="29.5" thickBot="1" x14ac:dyDescent="0.65">
      <c r="A2" s="22" t="s">
        <v>64</v>
      </c>
      <c r="B2" s="5" t="s">
        <v>22</v>
      </c>
      <c r="C2" s="5" t="s">
        <v>65</v>
      </c>
      <c r="D2" s="5" t="s">
        <v>66</v>
      </c>
      <c r="E2" s="5" t="s">
        <v>67</v>
      </c>
      <c r="F2" s="5" t="s">
        <v>92</v>
      </c>
      <c r="G2" s="21" t="s">
        <v>235</v>
      </c>
    </row>
    <row r="3" spans="1:7" ht="29.5" thickBot="1" x14ac:dyDescent="0.65">
      <c r="A3" s="23">
        <v>1</v>
      </c>
      <c r="B3" s="6" t="s">
        <v>68</v>
      </c>
      <c r="C3" s="6">
        <v>10000</v>
      </c>
      <c r="D3" s="6">
        <v>2000</v>
      </c>
      <c r="E3" s="6">
        <v>8000</v>
      </c>
      <c r="F3" s="7" t="s">
        <v>93</v>
      </c>
      <c r="G3" t="str">
        <f>"Dear " &amp; Table6[[#This Row],[Name]] &amp; "," &amp; CHAR(10)&amp; CHAR(10)&amp;
  "Hope you are doing well." &amp; CHAR(10)&amp;
  "You have a balance of INR " &amp; TEXT(Table6[[#This Row],[Balance]],"#,##0")&amp; ". Please pay it asap." &amp; CHAR(10)&amp; CHAR(10)&amp;
  "Regards," &amp; CHAR(10)&amp;
  "XYZ"</f>
        <v>Dear Rahul,
Hope you are doing well.
You have a balance of INR 8,000. Please pay it asap.
Regards,
XYZ</v>
      </c>
    </row>
    <row r="4" spans="1:7" ht="29.5" thickBot="1" x14ac:dyDescent="0.65">
      <c r="A4" s="23">
        <v>2</v>
      </c>
      <c r="B4" s="6" t="s">
        <v>69</v>
      </c>
      <c r="C4" s="6">
        <v>11000</v>
      </c>
      <c r="D4" s="6">
        <v>5000</v>
      </c>
      <c r="E4" s="6">
        <v>6000</v>
      </c>
      <c r="F4" s="7" t="s">
        <v>93</v>
      </c>
      <c r="G4" t="str">
        <f>"Dear " &amp; Table6[[#This Row],[Name]] &amp; "," &amp; CHAR(10)&amp; CHAR(10)&amp;
  "Hope you are doing well." &amp; CHAR(10)&amp;
  "You have a balance of INR " &amp; TEXT(Table6[[#This Row],[Balance]],"#,##0")&amp; ". Please pay it asap." &amp; CHAR(10)&amp; CHAR(10)&amp;
  "Regards," &amp; CHAR(10)&amp;
  "XYZ"</f>
        <v>Dear Amit,
Hope you are doing well.
You have a balance of INR 6,000. Please pay it asap.
Regards,
XYZ</v>
      </c>
    </row>
    <row r="5" spans="1:7" ht="29.5" thickBot="1" x14ac:dyDescent="0.65">
      <c r="A5" s="23">
        <v>3</v>
      </c>
      <c r="B5" s="6" t="s">
        <v>11</v>
      </c>
      <c r="C5" s="6">
        <v>9000</v>
      </c>
      <c r="D5" s="6">
        <v>4000</v>
      </c>
      <c r="E5" s="6">
        <v>5000</v>
      </c>
      <c r="F5" s="7" t="s">
        <v>93</v>
      </c>
      <c r="G5" t="str">
        <f>"Dear " &amp; Table6[[#This Row],[Name]] &amp; "," &amp; CHAR(10)&amp; CHAR(10)&amp;
  "Hope you are doing well." &amp; CHAR(10)&amp;
  "You have a balance of INR " &amp; TEXT(Table6[[#This Row],[Balance]],"#,##0")&amp; ". Please pay it asap." &amp; CHAR(10)&amp; CHAR(10)&amp;
  "Regards," &amp; CHAR(10)&amp;
  "XYZ"</f>
        <v>Dear Sonu,
Hope you are doing well.
You have a balance of INR 5,000. Please pay it asap.
Regards,
XYZ</v>
      </c>
    </row>
    <row r="6" spans="1:7" ht="58.5" thickBot="1" x14ac:dyDescent="0.65">
      <c r="A6" s="23">
        <v>4</v>
      </c>
      <c r="B6" s="6" t="s">
        <v>70</v>
      </c>
      <c r="C6" s="6">
        <v>12000</v>
      </c>
      <c r="D6" s="6">
        <v>6000</v>
      </c>
      <c r="E6" s="6">
        <v>6000</v>
      </c>
      <c r="F6" s="7" t="s">
        <v>93</v>
      </c>
      <c r="G6" t="str">
        <f>"Dear " &amp; Table6[[#This Row],[Name]] &amp; "," &amp; CHAR(10)&amp; CHAR(10)&amp;
  "Hope you are doing well." &amp; CHAR(10)&amp;
  "You have a balance of INR " &amp; TEXT(Table6[[#This Row],[Balance]],"#,##0")&amp; ". Please pay it asap." &amp; CHAR(10)&amp; CHAR(10)&amp;
  "Regards," &amp; CHAR(10)&amp;
  "XYZ"</f>
        <v>Dear Anil Kumar,
Hope you are doing well.
You have a balance of INR 6,000. Please pay it asap.
Regards,
XYZ</v>
      </c>
    </row>
    <row r="7" spans="1:7" ht="29.5" thickBot="1" x14ac:dyDescent="0.65">
      <c r="A7" s="23">
        <v>5</v>
      </c>
      <c r="B7" s="6" t="s">
        <v>71</v>
      </c>
      <c r="C7" s="6">
        <v>11000</v>
      </c>
      <c r="D7" s="6">
        <v>3000</v>
      </c>
      <c r="E7" s="6">
        <v>8000</v>
      </c>
      <c r="F7" s="7" t="s">
        <v>93</v>
      </c>
      <c r="G7" t="str">
        <f>"Dear " &amp; Table6[[#This Row],[Name]] &amp; "," &amp; CHAR(10)&amp; CHAR(10)&amp;
  "Hope you are doing well." &amp; CHAR(10)&amp;
  "You have a balance of INR " &amp; TEXT(Table6[[#This Row],[Balance]],"#,##0")&amp; ". Please pay it asap." &amp; CHAR(10)&amp; CHAR(10)&amp;
  "Regards," &amp; CHAR(10)&amp;
  "XYZ"</f>
        <v>Dear Sumit,
Hope you are doing well.
You have a balance of INR 8,000. Please pay it asap.
Regards,
XYZ</v>
      </c>
    </row>
    <row r="8" spans="1:7" ht="29.5" thickBot="1" x14ac:dyDescent="0.65">
      <c r="A8" s="23">
        <v>6</v>
      </c>
      <c r="B8" s="6" t="s">
        <v>72</v>
      </c>
      <c r="C8" s="6">
        <v>10000</v>
      </c>
      <c r="D8" s="6">
        <v>5000</v>
      </c>
      <c r="E8" s="6">
        <v>5000</v>
      </c>
      <c r="F8" s="7" t="s">
        <v>93</v>
      </c>
      <c r="G8" t="str">
        <f>"Dear " &amp; Table6[[#This Row],[Name]] &amp; "," &amp; CHAR(10)&amp; CHAR(10)&amp;
  "Hope you are doing well." &amp; CHAR(10)&amp;
  "You have a balance of INR " &amp; TEXT(Table6[[#This Row],[Balance]],"#,##0")&amp; ". Please pay it asap." &amp; CHAR(10)&amp; CHAR(10)&amp;
  "Regards," &amp; CHAR(10)&amp;
  "XYZ"</f>
        <v>Dear Anjy,
Hope you are doing well.
You have a balance of INR 5,000. Please pay it asap.
Regards,
XYZ</v>
      </c>
    </row>
    <row r="9" spans="1:7" ht="29.5" thickBot="1" x14ac:dyDescent="0.65">
      <c r="A9" s="23">
        <v>7</v>
      </c>
      <c r="B9" s="6" t="s">
        <v>73</v>
      </c>
      <c r="C9" s="6">
        <v>10000</v>
      </c>
      <c r="D9" s="6">
        <v>5000</v>
      </c>
      <c r="E9" s="6">
        <v>5000</v>
      </c>
      <c r="F9" s="7" t="s">
        <v>93</v>
      </c>
      <c r="G9" t="str">
        <f>"Dear " &amp; Table6[[#This Row],[Name]] &amp; "," &amp; CHAR(10)&amp; CHAR(10)&amp;
  "Hope you are doing well." &amp; CHAR(10)&amp;
  "You have a balance of INR " &amp; TEXT(Table6[[#This Row],[Balance]],"#,##0")&amp; ". Please pay it asap." &amp; CHAR(10)&amp; CHAR(10)&amp;
  "Regards," &amp; CHAR(10)&amp;
  "XYZ"</f>
        <v>Dear Neha,
Hope you are doing well.
You have a balance of INR 5,000. Please pay it asap.
Regards,
XYZ</v>
      </c>
    </row>
    <row r="10" spans="1:7" ht="29.5" thickBot="1" x14ac:dyDescent="0.65">
      <c r="A10" s="23">
        <v>8</v>
      </c>
      <c r="B10" s="6" t="s">
        <v>74</v>
      </c>
      <c r="C10" s="6">
        <v>9000</v>
      </c>
      <c r="D10" s="6">
        <v>2000</v>
      </c>
      <c r="E10" s="6">
        <v>7000</v>
      </c>
      <c r="F10" s="7" t="s">
        <v>93</v>
      </c>
      <c r="G10" t="str">
        <f>"Dear " &amp; Table6[[#This Row],[Name]] &amp; "," &amp; CHAR(10)&amp; CHAR(10)&amp;
  "Hope you are doing well." &amp; CHAR(10)&amp;
  "You have a balance of INR " &amp; TEXT(Table6[[#This Row],[Balance]],"#,##0")&amp; ". Please pay it asap." &amp; CHAR(10)&amp; CHAR(10)&amp;
  "Regards," &amp; CHAR(10)&amp;
  "XYZ"</f>
        <v>Dear Monu,
Hope you are doing well.
You have a balance of INR 7,000. Please pay it asap.
Regards,
XYZ</v>
      </c>
    </row>
    <row r="11" spans="1:7" ht="29.5" thickBot="1" x14ac:dyDescent="0.65">
      <c r="A11" s="23">
        <v>9</v>
      </c>
      <c r="B11" s="6" t="s">
        <v>75</v>
      </c>
      <c r="C11" s="6">
        <v>11000</v>
      </c>
      <c r="D11" s="6">
        <v>7000</v>
      </c>
      <c r="E11" s="6">
        <v>4000</v>
      </c>
      <c r="F11" s="7" t="s">
        <v>93</v>
      </c>
      <c r="G11" t="str">
        <f>"Dear " &amp; Table6[[#This Row],[Name]] &amp; "," &amp; CHAR(10)&amp; CHAR(10)&amp;
  "Hope you are doing well." &amp; CHAR(10)&amp;
  "You have a balance of INR " &amp; TEXT(Table6[[#This Row],[Balance]],"#,##0")&amp; ". Please pay it asap." &amp; CHAR(10)&amp; CHAR(10)&amp;
  "Regards," &amp; CHAR(10)&amp;
  "XYZ"</f>
        <v>Dear Tinku,
Hope you are doing well.
You have a balance of INR 4,000. Please pay it asap.
Regards,
XYZ</v>
      </c>
    </row>
    <row r="12" spans="1:7" ht="29.5" thickBot="1" x14ac:dyDescent="0.65">
      <c r="A12" s="23">
        <v>10</v>
      </c>
      <c r="B12" s="6" t="s">
        <v>71</v>
      </c>
      <c r="C12" s="6">
        <v>12000</v>
      </c>
      <c r="D12" s="6">
        <v>3000</v>
      </c>
      <c r="E12" s="6">
        <v>9000</v>
      </c>
      <c r="F12" s="7" t="s">
        <v>93</v>
      </c>
      <c r="G12" t="str">
        <f>"Dear " &amp; Table6[[#This Row],[Name]] &amp; "," &amp; CHAR(10)&amp; CHAR(10)&amp;
  "Hope you are doing well." &amp; CHAR(10)&amp;
  "You have a balance of INR " &amp; TEXT(Table6[[#This Row],[Balance]],"#,##0")&amp; ". Please pay it asap." &amp; CHAR(10)&amp; CHAR(10)&amp;
  "Regards," &amp; CHAR(10)&amp;
  "XYZ"</f>
        <v>Dear Sumit,
Hope you are doing well.
You have a balance of INR 9,000. Please pay it asap.
Regards,
XYZ</v>
      </c>
    </row>
    <row r="13" spans="1:7" ht="29.5" thickBot="1" x14ac:dyDescent="0.65">
      <c r="A13" s="23">
        <v>11</v>
      </c>
      <c r="B13" s="6" t="s">
        <v>77</v>
      </c>
      <c r="C13" s="6">
        <v>13000</v>
      </c>
      <c r="D13" s="6">
        <v>6000</v>
      </c>
      <c r="E13" s="6">
        <v>7000</v>
      </c>
      <c r="F13" s="7" t="s">
        <v>93</v>
      </c>
      <c r="G13" t="str">
        <f>"Dear " &amp; Table6[[#This Row],[Name]] &amp; "," &amp; CHAR(10)&amp; CHAR(10)&amp;
  "Hope you are doing well." &amp; CHAR(10)&amp;
  "You have a balance of INR " &amp; TEXT(Table6[[#This Row],[Balance]],"#,##0")&amp; ". Please pay it asap." &amp; CHAR(10)&amp; CHAR(10)&amp;
  "Regards," &amp; CHAR(10)&amp;
  "XYZ"</f>
        <v>Dear Jitender,
Hope you are doing well.
You have a balance of INR 7,000. Please pay it asap.
Regards,
XYZ</v>
      </c>
    </row>
    <row r="14" spans="1:7" ht="29.5" thickBot="1" x14ac:dyDescent="0.65">
      <c r="A14" s="23">
        <v>12</v>
      </c>
      <c r="B14" s="6" t="s">
        <v>78</v>
      </c>
      <c r="C14" s="6">
        <v>10000</v>
      </c>
      <c r="D14" s="6">
        <v>7000</v>
      </c>
      <c r="E14" s="6">
        <v>3000</v>
      </c>
      <c r="F14" s="7" t="s">
        <v>93</v>
      </c>
      <c r="G14" t="str">
        <f>"Dear " &amp; Table6[[#This Row],[Name]] &amp; "," &amp; CHAR(10)&amp; CHAR(10)&amp;
  "Hope you are doing well." &amp; CHAR(10)&amp;
  "You have a balance of INR " &amp; TEXT(Table6[[#This Row],[Balance]],"#,##0")&amp; ". Please pay it asap." &amp; CHAR(10)&amp; CHAR(10)&amp;
  "Regards," &amp; CHAR(10)&amp;
  "XYZ"</f>
        <v>Dear Kamesh,
Hope you are doing well.
You have a balance of INR 3,000. Please pay it asap.
Regards,
XYZ</v>
      </c>
    </row>
    <row r="15" spans="1:7" ht="29.5" thickBot="1" x14ac:dyDescent="0.65">
      <c r="A15" s="23">
        <v>13</v>
      </c>
      <c r="B15" s="6" t="s">
        <v>10</v>
      </c>
      <c r="C15" s="6">
        <v>11000</v>
      </c>
      <c r="D15" s="6">
        <v>5000</v>
      </c>
      <c r="E15" s="6">
        <v>6000</v>
      </c>
      <c r="F15" s="7" t="s">
        <v>93</v>
      </c>
      <c r="G15" t="str">
        <f>"Dear " &amp; Table6[[#This Row],[Name]] &amp; "," &amp; CHAR(10)&amp; CHAR(10)&amp;
  "Hope you are doing well." &amp; CHAR(10)&amp;
  "You have a balance of INR " &amp; TEXT(Table6[[#This Row],[Balance]],"#,##0")&amp; ". Please pay it asap." &amp; CHAR(10)&amp; CHAR(10)&amp;
  "Regards," &amp; CHAR(10)&amp;
  "XYZ"</f>
        <v>Dear Aman,
Hope you are doing well.
You have a balance of INR 6,000. Please pay it asap.
Regards,
XYZ</v>
      </c>
    </row>
    <row r="16" spans="1:7" ht="29.5" thickBot="1" x14ac:dyDescent="0.65">
      <c r="A16" s="23">
        <v>14</v>
      </c>
      <c r="B16" s="6" t="s">
        <v>79</v>
      </c>
      <c r="C16" s="6">
        <v>10000</v>
      </c>
      <c r="D16" s="6">
        <v>4000</v>
      </c>
      <c r="E16" s="6">
        <v>6000</v>
      </c>
      <c r="F16" s="7" t="s">
        <v>93</v>
      </c>
      <c r="G16" t="str">
        <f>"Dear " &amp; Table6[[#This Row],[Name]] &amp; "," &amp; CHAR(10)&amp; CHAR(10)&amp;
  "Hope you are doing well." &amp; CHAR(10)&amp;
  "You have a balance of INR " &amp; TEXT(Table6[[#This Row],[Balance]],"#,##0")&amp; ". Please pay it asap." &amp; CHAR(10)&amp; CHAR(10)&amp;
  "Regards," &amp; CHAR(10)&amp;
  "XYZ"</f>
        <v>Dear Om,
Hope you are doing well.
You have a balance of INR 6,000. Please pay it asap.
Regards,
XYZ</v>
      </c>
    </row>
    <row r="17" spans="1:7" ht="29.5" thickBot="1" x14ac:dyDescent="0.65">
      <c r="A17" s="23">
        <v>15</v>
      </c>
      <c r="B17" s="6" t="s">
        <v>80</v>
      </c>
      <c r="C17" s="6">
        <v>11000</v>
      </c>
      <c r="D17" s="6">
        <v>5000</v>
      </c>
      <c r="E17" s="6">
        <v>6000</v>
      </c>
      <c r="F17" s="7" t="s">
        <v>93</v>
      </c>
      <c r="G17" t="str">
        <f>"Dear " &amp; Table6[[#This Row],[Name]] &amp; "," &amp; CHAR(10)&amp; CHAR(10)&amp;
  "Hope you are doing well." &amp; CHAR(10)&amp;
  "You have a balance of INR " &amp; TEXT(Table6[[#This Row],[Balance]],"#,##0")&amp; ". Please pay it asap." &amp; CHAR(10)&amp; CHAR(10)&amp;
  "Regards," &amp; CHAR(10)&amp;
  "XYZ"</f>
        <v>Dear Kamal,
Hope you are doing well.
You have a balance of INR 6,000. Please pay it asap.
Regards,
XYZ</v>
      </c>
    </row>
    <row r="18" spans="1:7" ht="29.5" thickBot="1" x14ac:dyDescent="0.65">
      <c r="A18" s="23">
        <v>16</v>
      </c>
      <c r="B18" s="6" t="s">
        <v>81</v>
      </c>
      <c r="C18" s="6">
        <v>12000</v>
      </c>
      <c r="D18" s="6">
        <v>4000</v>
      </c>
      <c r="E18" s="6">
        <v>8000</v>
      </c>
      <c r="F18" s="7" t="s">
        <v>93</v>
      </c>
      <c r="G18" t="str">
        <f>"Dear " &amp; Table6[[#This Row],[Name]] &amp; "," &amp; CHAR(10)&amp; CHAR(10)&amp;
  "Hope you are doing well." &amp; CHAR(10)&amp;
  "You have a balance of INR " &amp; TEXT(Table6[[#This Row],[Balance]],"#,##0")&amp; ". Please pay it asap." &amp; CHAR(10)&amp; CHAR(10)&amp;
  "Regards," &amp; CHAR(10)&amp;
  "XYZ"</f>
        <v>Dear Dev,
Hope you are doing well.
You have a balance of INR 8,000. Please pay it asap.
Regards,
XYZ</v>
      </c>
    </row>
    <row r="19" spans="1:7" ht="29.5" thickBot="1" x14ac:dyDescent="0.65">
      <c r="A19" s="23">
        <v>17</v>
      </c>
      <c r="B19" s="6" t="s">
        <v>73</v>
      </c>
      <c r="C19" s="6">
        <v>11000</v>
      </c>
      <c r="D19" s="6">
        <v>6000</v>
      </c>
      <c r="E19" s="6">
        <v>5000</v>
      </c>
      <c r="F19" s="7" t="s">
        <v>93</v>
      </c>
      <c r="G19" t="str">
        <f>"Dear " &amp; Table6[[#This Row],[Name]] &amp; "," &amp; CHAR(10)&amp; CHAR(10)&amp;
  "Hope you are doing well." &amp; CHAR(10)&amp;
  "You have a balance of INR " &amp; TEXT(Table6[[#This Row],[Balance]],"#,##0")&amp; ". Please pay it asap." &amp; CHAR(10)&amp; CHAR(10)&amp;
  "Regards," &amp; CHAR(10)&amp;
  "XYZ"</f>
        <v>Dear Neha,
Hope you are doing well.
You have a balance of INR 5,000. Please pay it asap.
Regards,
XYZ</v>
      </c>
    </row>
    <row r="20" spans="1:7" ht="29.5" thickBot="1" x14ac:dyDescent="0.65">
      <c r="A20" s="23">
        <v>18</v>
      </c>
      <c r="B20" s="6" t="s">
        <v>82</v>
      </c>
      <c r="C20" s="6">
        <v>12000</v>
      </c>
      <c r="D20" s="6">
        <v>8000</v>
      </c>
      <c r="E20" s="6">
        <v>4000</v>
      </c>
      <c r="F20" s="7" t="s">
        <v>93</v>
      </c>
      <c r="G20" t="str">
        <f>"Dear " &amp; Table6[[#This Row],[Name]] &amp; "," &amp; CHAR(10)&amp; CHAR(10)&amp;
  "Hope you are doing well." &amp; CHAR(10)&amp;
  "You have a balance of INR " &amp; TEXT(Table6[[#This Row],[Balance]],"#,##0")&amp; ". Please pay it asap." &amp; CHAR(10)&amp; CHAR(10)&amp;
  "Regards," &amp; CHAR(10)&amp;
  "XYZ"</f>
        <v>Dear Sumit K,
Hope you are doing well.
You have a balance of INR 4,000. Please pay it asap.
Regards,
XYZ</v>
      </c>
    </row>
    <row r="21" spans="1:7" ht="29.5" thickBot="1" x14ac:dyDescent="0.65">
      <c r="A21" s="23">
        <v>19</v>
      </c>
      <c r="B21" s="6" t="s">
        <v>83</v>
      </c>
      <c r="C21" s="6">
        <v>13000</v>
      </c>
      <c r="D21" s="6">
        <v>3000</v>
      </c>
      <c r="E21" s="6">
        <v>10000</v>
      </c>
      <c r="F21" s="7" t="s">
        <v>93</v>
      </c>
      <c r="G21" t="str">
        <f>"Dear " &amp; Table6[[#This Row],[Name]] &amp; "," &amp; CHAR(10)&amp; CHAR(10)&amp;
  "Hope you are doing well." &amp; CHAR(10)&amp;
  "You have a balance of INR " &amp; TEXT(Table6[[#This Row],[Balance]],"#,##0")&amp; ". Please pay it asap." &amp; CHAR(10)&amp; CHAR(10)&amp;
  "Regards," &amp; CHAR(10)&amp;
  "XYZ"</f>
        <v>Dear Rohan,
Hope you are doing well.
You have a balance of INR 10,000. Please pay it asap.
Regards,
XYZ</v>
      </c>
    </row>
    <row r="22" spans="1:7" ht="29.5" thickBot="1" x14ac:dyDescent="0.65">
      <c r="A22" s="23">
        <v>20</v>
      </c>
      <c r="B22" s="6" t="s">
        <v>76</v>
      </c>
      <c r="C22" s="6">
        <v>8000</v>
      </c>
      <c r="D22" s="6">
        <v>3000</v>
      </c>
      <c r="E22" s="6">
        <v>5000</v>
      </c>
      <c r="F22" s="7" t="s">
        <v>93</v>
      </c>
      <c r="G22" t="str">
        <f>"Dear " &amp; Table6[[#This Row],[Name]] &amp; "," &amp; CHAR(10)&amp; CHAR(10)&amp;
  "Hope you are doing well." &amp; CHAR(10)&amp;
  "You have a balance of INR " &amp; TEXT(Table6[[#This Row],[Balance]],"#,##0")&amp; ". Please pay it asap." &amp; CHAR(10)&amp; CHAR(10)&amp;
  "Regards," &amp; CHAR(10)&amp;
  "XYZ"</f>
        <v>Dear Mohan,
Hope you are doing well.
You have a balance of INR 5,000. Please pay it asap.
Regards,
XYZ</v>
      </c>
    </row>
    <row r="25" spans="1:7" x14ac:dyDescent="0.6">
      <c r="A25" s="4" t="s">
        <v>55</v>
      </c>
      <c r="B25" t="s">
        <v>94</v>
      </c>
    </row>
    <row r="26" spans="1:7" x14ac:dyDescent="0.6">
      <c r="B26" t="s">
        <v>95</v>
      </c>
    </row>
    <row r="27" spans="1:7" x14ac:dyDescent="0.6">
      <c r="B27" t="s">
        <v>96</v>
      </c>
    </row>
  </sheetData>
  <hyperlinks>
    <hyperlink ref="F3" r:id="rId1" xr:uid="{5498528D-D809-49D9-9B39-187DE0451E46}"/>
    <hyperlink ref="F4" r:id="rId2" xr:uid="{9DD46D96-21DD-4376-8D18-15C108FCDC7B}"/>
    <hyperlink ref="F5" r:id="rId3" xr:uid="{9553DAED-3913-4C40-84DF-32E993B874BE}"/>
    <hyperlink ref="F6" r:id="rId4" xr:uid="{925AC317-5B90-4FCF-9FE9-52CBDB84276A}"/>
    <hyperlink ref="F7" r:id="rId5" xr:uid="{274FE6C8-D6A2-4CA8-9E63-FFF525CFD1F8}"/>
    <hyperlink ref="F8" r:id="rId6" xr:uid="{ACDA25E1-F0D7-45E8-9EA7-6B43B2F86396}"/>
    <hyperlink ref="F9" r:id="rId7" xr:uid="{2807846A-C9D6-45DE-8AE6-4E59882AD46A}"/>
    <hyperlink ref="F10" r:id="rId8" xr:uid="{E2053E04-74B6-4C17-8B00-C507258002D2}"/>
    <hyperlink ref="F11" r:id="rId9" xr:uid="{753B3DCA-DCB9-44B8-AEA6-C3464FEC7FB8}"/>
    <hyperlink ref="F12" r:id="rId10" xr:uid="{40819C86-9F60-4625-BAFC-29CA48095539}"/>
    <hyperlink ref="F13" r:id="rId11" xr:uid="{27214F15-D067-413E-AAC8-568C50CBC223}"/>
    <hyperlink ref="F14" r:id="rId12" xr:uid="{A79CDEF4-A48F-451D-8678-F7AF4BC76841}"/>
    <hyperlink ref="F15" r:id="rId13" xr:uid="{6C90AAF7-1EB4-45C2-A304-869C377B5822}"/>
    <hyperlink ref="F16" r:id="rId14" xr:uid="{F406EE5C-2A35-4278-B046-0C08D33B2CFA}"/>
    <hyperlink ref="F17" r:id="rId15" xr:uid="{9811037B-91C5-41F9-BE79-418FB6B2AEF6}"/>
    <hyperlink ref="F18" r:id="rId16" xr:uid="{4466C25E-ACE1-4D1E-B41B-2EC5AB9F6401}"/>
    <hyperlink ref="F19" r:id="rId17" xr:uid="{ECDBB0FA-0828-4160-B6FB-4607C079D1A1}"/>
    <hyperlink ref="F20" r:id="rId18" xr:uid="{A1AA517F-9473-4649-9EC4-0F3AACB5BCDD}"/>
    <hyperlink ref="F21" r:id="rId19" xr:uid="{D6B123DB-C57F-4421-A752-3478AB17578D}"/>
    <hyperlink ref="F22" r:id="rId20" xr:uid="{0C777FD8-F581-4B66-BA18-F1CBC58C7647}"/>
  </hyperlinks>
  <pageMargins left="0.7" right="0.7" top="0.75" bottom="0.75" header="0.3" footer="0.3"/>
  <drawing r:id="rId21"/>
  <tableParts count="1">
    <tablePart r:id="rId2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F07D-A536-499F-9ABF-5F15BBA254BB}">
  <sheetPr codeName="Sheet9"/>
  <dimension ref="A1:C9"/>
  <sheetViews>
    <sheetView zoomScale="85" zoomScaleNormal="85" workbookViewId="0">
      <selection activeCell="C6" sqref="C6"/>
    </sheetView>
  </sheetViews>
  <sheetFormatPr defaultRowHeight="26" x14ac:dyDescent="0.6"/>
  <cols>
    <col min="3" max="3" width="55.75" customWidth="1"/>
  </cols>
  <sheetData>
    <row r="1" spans="1:3" x14ac:dyDescent="0.6">
      <c r="A1" t="s">
        <v>97</v>
      </c>
    </row>
    <row r="2" spans="1:3" x14ac:dyDescent="0.6">
      <c r="A2" t="s">
        <v>98</v>
      </c>
    </row>
    <row r="4" spans="1:3" ht="260" x14ac:dyDescent="0.6">
      <c r="A4" s="4" t="s">
        <v>99</v>
      </c>
      <c r="C4" s="8" t="s">
        <v>100</v>
      </c>
    </row>
    <row r="6" spans="1:3" x14ac:dyDescent="0.6">
      <c r="A6" s="4" t="s">
        <v>101</v>
      </c>
      <c r="C6" t="s">
        <v>102</v>
      </c>
    </row>
    <row r="7" spans="1:3" x14ac:dyDescent="0.6">
      <c r="C7" t="s">
        <v>103</v>
      </c>
    </row>
    <row r="8" spans="1:3" x14ac:dyDescent="0.6">
      <c r="C8" t="s">
        <v>104</v>
      </c>
    </row>
    <row r="9" spans="1:3" x14ac:dyDescent="0.6">
      <c r="C9" t="s">
        <v>105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14A9-4C76-4B6B-AD6F-B32335365F19}">
  <sheetPr codeName="Sheet8"/>
  <dimension ref="A1:K72"/>
  <sheetViews>
    <sheetView workbookViewId="0">
      <selection activeCell="E12" sqref="E12"/>
    </sheetView>
  </sheetViews>
  <sheetFormatPr defaultRowHeight="26" x14ac:dyDescent="0.6"/>
  <cols>
    <col min="1" max="1" width="8.3984375" bestFit="1" customWidth="1"/>
    <col min="2" max="2" width="9.94921875" bestFit="1" customWidth="1"/>
    <col min="3" max="3" width="13.59765625" bestFit="1" customWidth="1"/>
    <col min="4" max="4" width="6.046875" bestFit="1" customWidth="1"/>
    <col min="5" max="5" width="11.296875" bestFit="1" customWidth="1"/>
    <col min="6" max="6" width="9.546875" bestFit="1" customWidth="1"/>
    <col min="7" max="7" width="7.3984375" bestFit="1" customWidth="1"/>
    <col min="8" max="8" width="8.1484375" bestFit="1" customWidth="1"/>
    <col min="9" max="9" width="8.296875" bestFit="1" customWidth="1"/>
    <col min="10" max="10" width="13.94921875" bestFit="1" customWidth="1"/>
    <col min="11" max="11" width="11.69921875" bestFit="1" customWidth="1"/>
  </cols>
  <sheetData>
    <row r="1" spans="1:11" x14ac:dyDescent="0.6">
      <c r="A1" s="1" t="s">
        <v>107</v>
      </c>
      <c r="B1" s="1" t="s">
        <v>108</v>
      </c>
      <c r="C1" s="1" t="s">
        <v>109</v>
      </c>
      <c r="D1" s="1" t="s">
        <v>110</v>
      </c>
      <c r="E1" s="1" t="s">
        <v>23</v>
      </c>
      <c r="F1" s="1" t="s">
        <v>111</v>
      </c>
      <c r="G1" s="1" t="s">
        <v>112</v>
      </c>
      <c r="H1" s="1" t="s">
        <v>113</v>
      </c>
      <c r="I1" s="1" t="s">
        <v>60</v>
      </c>
      <c r="J1" s="1" t="s">
        <v>114</v>
      </c>
      <c r="K1" s="1" t="s">
        <v>115</v>
      </c>
    </row>
    <row r="2" spans="1:11" x14ac:dyDescent="0.6">
      <c r="A2" s="1" t="s">
        <v>116</v>
      </c>
      <c r="B2" s="1" t="s">
        <v>117</v>
      </c>
      <c r="C2" s="1" t="s">
        <v>118</v>
      </c>
      <c r="D2" s="1" t="s">
        <v>119</v>
      </c>
      <c r="E2" s="1" t="s">
        <v>120</v>
      </c>
      <c r="F2" s="1" t="s">
        <v>121</v>
      </c>
      <c r="G2" s="1">
        <v>5</v>
      </c>
      <c r="H2" s="1">
        <v>15000</v>
      </c>
      <c r="I2" s="1">
        <v>75000</v>
      </c>
      <c r="J2" s="1" t="s">
        <v>122</v>
      </c>
      <c r="K2" s="1" t="s">
        <v>123</v>
      </c>
    </row>
    <row r="3" spans="1:11" x14ac:dyDescent="0.6">
      <c r="A3" s="1" t="s">
        <v>124</v>
      </c>
      <c r="B3" s="1" t="s">
        <v>125</v>
      </c>
      <c r="C3" s="1" t="s">
        <v>126</v>
      </c>
      <c r="D3" s="1" t="s">
        <v>127</v>
      </c>
      <c r="E3" s="1" t="s">
        <v>128</v>
      </c>
      <c r="F3" s="1" t="s">
        <v>129</v>
      </c>
      <c r="G3" s="1">
        <v>5</v>
      </c>
      <c r="H3" s="1">
        <v>4000</v>
      </c>
      <c r="I3" s="1">
        <v>20000</v>
      </c>
      <c r="J3" s="1" t="s">
        <v>130</v>
      </c>
      <c r="K3" s="1" t="s">
        <v>131</v>
      </c>
    </row>
    <row r="4" spans="1:11" x14ac:dyDescent="0.6">
      <c r="A4" s="1" t="s">
        <v>132</v>
      </c>
      <c r="B4" s="1" t="s">
        <v>133</v>
      </c>
      <c r="C4" s="1" t="s">
        <v>134</v>
      </c>
      <c r="D4" s="1" t="s">
        <v>135</v>
      </c>
      <c r="E4" s="1" t="s">
        <v>136</v>
      </c>
      <c r="F4" s="1" t="s">
        <v>121</v>
      </c>
      <c r="G4" s="1">
        <v>4</v>
      </c>
      <c r="H4" s="1">
        <v>45000</v>
      </c>
      <c r="I4" s="1">
        <v>180000</v>
      </c>
      <c r="J4" s="1" t="s">
        <v>122</v>
      </c>
      <c r="K4" s="1" t="s">
        <v>123</v>
      </c>
    </row>
    <row r="5" spans="1:11" x14ac:dyDescent="0.6">
      <c r="A5" s="1" t="s">
        <v>137</v>
      </c>
      <c r="B5" s="1" t="s">
        <v>138</v>
      </c>
      <c r="C5" s="1" t="s">
        <v>126</v>
      </c>
      <c r="D5" s="1" t="s">
        <v>135</v>
      </c>
      <c r="E5" s="1" t="s">
        <v>139</v>
      </c>
      <c r="F5" s="1" t="s">
        <v>121</v>
      </c>
      <c r="G5" s="1">
        <v>3</v>
      </c>
      <c r="H5" s="1">
        <v>18000</v>
      </c>
      <c r="I5" s="1">
        <v>54000</v>
      </c>
      <c r="J5" s="1" t="s">
        <v>140</v>
      </c>
      <c r="K5" s="1" t="s">
        <v>131</v>
      </c>
    </row>
    <row r="6" spans="1:11" x14ac:dyDescent="0.6">
      <c r="A6" s="1" t="s">
        <v>141</v>
      </c>
      <c r="B6" s="1" t="s">
        <v>142</v>
      </c>
      <c r="C6" s="1" t="s">
        <v>118</v>
      </c>
      <c r="D6" s="1" t="s">
        <v>143</v>
      </c>
      <c r="E6" s="1" t="s">
        <v>128</v>
      </c>
      <c r="F6" s="1" t="s">
        <v>129</v>
      </c>
      <c r="G6" s="1">
        <v>5</v>
      </c>
      <c r="H6" s="1">
        <v>4000</v>
      </c>
      <c r="I6" s="1">
        <v>20000</v>
      </c>
      <c r="J6" s="1" t="s">
        <v>122</v>
      </c>
      <c r="K6" s="1" t="s">
        <v>123</v>
      </c>
    </row>
    <row r="7" spans="1:11" x14ac:dyDescent="0.6">
      <c r="A7" s="1" t="s">
        <v>144</v>
      </c>
      <c r="B7" s="1" t="s">
        <v>145</v>
      </c>
      <c r="C7" s="1" t="s">
        <v>146</v>
      </c>
      <c r="D7" s="1" t="s">
        <v>127</v>
      </c>
      <c r="E7" s="1" t="s">
        <v>120</v>
      </c>
      <c r="F7" s="1" t="s">
        <v>121</v>
      </c>
      <c r="G7" s="1">
        <v>4</v>
      </c>
      <c r="H7" s="1">
        <v>15000</v>
      </c>
      <c r="I7" s="1">
        <v>60000</v>
      </c>
      <c r="J7" s="1" t="s">
        <v>140</v>
      </c>
      <c r="K7" s="1" t="s">
        <v>147</v>
      </c>
    </row>
    <row r="8" spans="1:11" x14ac:dyDescent="0.6">
      <c r="A8" s="1" t="s">
        <v>148</v>
      </c>
      <c r="B8" s="1" t="s">
        <v>117</v>
      </c>
      <c r="C8" s="1" t="s">
        <v>149</v>
      </c>
      <c r="D8" s="1" t="s">
        <v>119</v>
      </c>
      <c r="E8" s="1" t="s">
        <v>139</v>
      </c>
      <c r="F8" s="1" t="s">
        <v>121</v>
      </c>
      <c r="G8" s="1">
        <v>1</v>
      </c>
      <c r="H8" s="1">
        <v>18000</v>
      </c>
      <c r="I8" s="1">
        <v>18000</v>
      </c>
      <c r="J8" s="1" t="s">
        <v>140</v>
      </c>
      <c r="K8" s="1" t="s">
        <v>150</v>
      </c>
    </row>
    <row r="9" spans="1:11" x14ac:dyDescent="0.6">
      <c r="A9" s="1" t="s">
        <v>151</v>
      </c>
      <c r="B9" s="1" t="s">
        <v>152</v>
      </c>
      <c r="C9" s="1" t="s">
        <v>153</v>
      </c>
      <c r="D9" s="1" t="s">
        <v>119</v>
      </c>
      <c r="E9" s="1" t="s">
        <v>120</v>
      </c>
      <c r="F9" s="1" t="s">
        <v>121</v>
      </c>
      <c r="G9" s="1">
        <v>1</v>
      </c>
      <c r="H9" s="1">
        <v>15000</v>
      </c>
      <c r="I9" s="1">
        <v>15000</v>
      </c>
      <c r="J9" s="1" t="s">
        <v>140</v>
      </c>
      <c r="K9" s="1" t="s">
        <v>154</v>
      </c>
    </row>
    <row r="10" spans="1:11" x14ac:dyDescent="0.6">
      <c r="A10" s="1" t="s">
        <v>155</v>
      </c>
      <c r="B10" s="1" t="s">
        <v>156</v>
      </c>
      <c r="C10" s="1" t="s">
        <v>118</v>
      </c>
      <c r="D10" s="1" t="s">
        <v>143</v>
      </c>
      <c r="E10" s="1" t="s">
        <v>120</v>
      </c>
      <c r="F10" s="1" t="s">
        <v>121</v>
      </c>
      <c r="G10" s="1">
        <v>2</v>
      </c>
      <c r="H10" s="1">
        <v>15000</v>
      </c>
      <c r="I10" s="1">
        <v>30000</v>
      </c>
      <c r="J10" s="1" t="s">
        <v>122</v>
      </c>
      <c r="K10" s="1" t="s">
        <v>123</v>
      </c>
    </row>
    <row r="11" spans="1:11" x14ac:dyDescent="0.6">
      <c r="A11" s="1" t="s">
        <v>157</v>
      </c>
      <c r="B11" s="1" t="s">
        <v>158</v>
      </c>
      <c r="C11" s="1" t="s">
        <v>159</v>
      </c>
      <c r="D11" s="1" t="s">
        <v>143</v>
      </c>
      <c r="E11" s="1" t="s">
        <v>128</v>
      </c>
      <c r="F11" s="1" t="s">
        <v>129</v>
      </c>
      <c r="G11" s="1">
        <v>5</v>
      </c>
      <c r="H11" s="1">
        <v>4000</v>
      </c>
      <c r="I11" s="1">
        <v>20000</v>
      </c>
      <c r="J11" s="1" t="s">
        <v>160</v>
      </c>
      <c r="K11" s="1" t="s">
        <v>131</v>
      </c>
    </row>
    <row r="12" spans="1:11" x14ac:dyDescent="0.6">
      <c r="A12" s="1" t="s">
        <v>161</v>
      </c>
      <c r="B12" s="1" t="s">
        <v>162</v>
      </c>
      <c r="C12" s="1" t="s">
        <v>163</v>
      </c>
      <c r="D12" s="1" t="s">
        <v>143</v>
      </c>
      <c r="E12" s="1" t="s">
        <v>164</v>
      </c>
      <c r="F12" s="1" t="s">
        <v>129</v>
      </c>
      <c r="G12" s="1">
        <v>5</v>
      </c>
      <c r="H12" s="1">
        <v>5000</v>
      </c>
      <c r="I12" s="1">
        <v>25000</v>
      </c>
      <c r="J12" s="1" t="s">
        <v>130</v>
      </c>
      <c r="K12" s="1" t="s">
        <v>150</v>
      </c>
    </row>
    <row r="13" spans="1:11" x14ac:dyDescent="0.6">
      <c r="A13" s="1" t="s">
        <v>165</v>
      </c>
      <c r="B13" s="1" t="s">
        <v>166</v>
      </c>
      <c r="C13" s="1" t="s">
        <v>167</v>
      </c>
      <c r="D13" s="1" t="s">
        <v>127</v>
      </c>
      <c r="E13" s="1" t="s">
        <v>168</v>
      </c>
      <c r="F13" s="1" t="s">
        <v>121</v>
      </c>
      <c r="G13" s="1">
        <v>1</v>
      </c>
      <c r="H13" s="1">
        <v>20000</v>
      </c>
      <c r="I13" s="1">
        <v>20000</v>
      </c>
      <c r="J13" s="1" t="s">
        <v>140</v>
      </c>
      <c r="K13" s="1" t="s">
        <v>147</v>
      </c>
    </row>
    <row r="14" spans="1:11" x14ac:dyDescent="0.6">
      <c r="A14" s="1" t="s">
        <v>169</v>
      </c>
      <c r="B14" s="1" t="s">
        <v>125</v>
      </c>
      <c r="C14" s="1" t="s">
        <v>167</v>
      </c>
      <c r="D14" s="1" t="s">
        <v>119</v>
      </c>
      <c r="E14" s="1" t="s">
        <v>136</v>
      </c>
      <c r="F14" s="1" t="s">
        <v>121</v>
      </c>
      <c r="G14" s="1">
        <v>2</v>
      </c>
      <c r="H14" s="1">
        <v>45000</v>
      </c>
      <c r="I14" s="1">
        <v>90000</v>
      </c>
      <c r="J14" s="1" t="s">
        <v>160</v>
      </c>
      <c r="K14" s="1" t="s">
        <v>147</v>
      </c>
    </row>
    <row r="15" spans="1:11" x14ac:dyDescent="0.6">
      <c r="A15" s="1" t="s">
        <v>170</v>
      </c>
      <c r="B15" s="1" t="s">
        <v>171</v>
      </c>
      <c r="C15" s="1" t="s">
        <v>163</v>
      </c>
      <c r="D15" s="1" t="s">
        <v>127</v>
      </c>
      <c r="E15" s="1" t="s">
        <v>136</v>
      </c>
      <c r="F15" s="1" t="s">
        <v>121</v>
      </c>
      <c r="G15" s="1">
        <v>3</v>
      </c>
      <c r="H15" s="1">
        <v>45000</v>
      </c>
      <c r="I15" s="1">
        <v>135000</v>
      </c>
      <c r="J15" s="1" t="s">
        <v>160</v>
      </c>
      <c r="K15" s="1" t="s">
        <v>150</v>
      </c>
    </row>
    <row r="16" spans="1:11" x14ac:dyDescent="0.6">
      <c r="A16" s="1" t="s">
        <v>172</v>
      </c>
      <c r="B16" s="1" t="s">
        <v>173</v>
      </c>
      <c r="C16" s="1" t="s">
        <v>159</v>
      </c>
      <c r="D16" s="1" t="s">
        <v>143</v>
      </c>
      <c r="E16" s="1" t="s">
        <v>120</v>
      </c>
      <c r="F16" s="1" t="s">
        <v>121</v>
      </c>
      <c r="G16" s="1">
        <v>2</v>
      </c>
      <c r="H16" s="1">
        <v>15000</v>
      </c>
      <c r="I16" s="1">
        <v>30000</v>
      </c>
      <c r="J16" s="1" t="s">
        <v>122</v>
      </c>
      <c r="K16" s="1" t="s">
        <v>123</v>
      </c>
    </row>
    <row r="17" spans="1:11" x14ac:dyDescent="0.6">
      <c r="A17" s="1" t="s">
        <v>174</v>
      </c>
      <c r="B17" s="1" t="s">
        <v>158</v>
      </c>
      <c r="C17" s="1" t="s">
        <v>175</v>
      </c>
      <c r="D17" s="1" t="s">
        <v>127</v>
      </c>
      <c r="E17" s="1" t="s">
        <v>176</v>
      </c>
      <c r="F17" s="1" t="s">
        <v>121</v>
      </c>
      <c r="G17" s="1">
        <v>5</v>
      </c>
      <c r="H17" s="1">
        <v>30000</v>
      </c>
      <c r="I17" s="1">
        <v>150000</v>
      </c>
      <c r="J17" s="1" t="s">
        <v>140</v>
      </c>
      <c r="K17" s="1" t="s">
        <v>123</v>
      </c>
    </row>
    <row r="18" spans="1:11" x14ac:dyDescent="0.6">
      <c r="A18" s="1" t="s">
        <v>177</v>
      </c>
      <c r="B18" s="1" t="s">
        <v>178</v>
      </c>
      <c r="C18" s="1" t="s">
        <v>134</v>
      </c>
      <c r="D18" s="1" t="s">
        <v>135</v>
      </c>
      <c r="E18" s="1" t="s">
        <v>120</v>
      </c>
      <c r="F18" s="1" t="s">
        <v>121</v>
      </c>
      <c r="G18" s="1">
        <v>4</v>
      </c>
      <c r="H18" s="1">
        <v>15000</v>
      </c>
      <c r="I18" s="1">
        <v>60000</v>
      </c>
      <c r="J18" s="1" t="s">
        <v>122</v>
      </c>
      <c r="K18" s="1" t="s">
        <v>154</v>
      </c>
    </row>
    <row r="19" spans="1:11" x14ac:dyDescent="0.6">
      <c r="A19" s="1" t="s">
        <v>179</v>
      </c>
      <c r="B19" s="1" t="s">
        <v>171</v>
      </c>
      <c r="C19" s="1" t="s">
        <v>118</v>
      </c>
      <c r="D19" s="1" t="s">
        <v>119</v>
      </c>
      <c r="E19" s="1" t="s">
        <v>164</v>
      </c>
      <c r="F19" s="1" t="s">
        <v>129</v>
      </c>
      <c r="G19" s="1">
        <v>2</v>
      </c>
      <c r="H19" s="1">
        <v>5000</v>
      </c>
      <c r="I19" s="1">
        <v>10000</v>
      </c>
      <c r="J19" s="1" t="s">
        <v>140</v>
      </c>
      <c r="K19" s="1" t="s">
        <v>123</v>
      </c>
    </row>
    <row r="20" spans="1:11" x14ac:dyDescent="0.6">
      <c r="A20" s="1" t="s">
        <v>180</v>
      </c>
      <c r="B20" s="1" t="s">
        <v>181</v>
      </c>
      <c r="C20" s="1" t="s">
        <v>149</v>
      </c>
      <c r="D20" s="1" t="s">
        <v>119</v>
      </c>
      <c r="E20" s="1" t="s">
        <v>176</v>
      </c>
      <c r="F20" s="1" t="s">
        <v>121</v>
      </c>
      <c r="G20" s="1">
        <v>2</v>
      </c>
      <c r="H20" s="1">
        <v>30000</v>
      </c>
      <c r="I20" s="1">
        <v>60000</v>
      </c>
      <c r="J20" s="1" t="s">
        <v>122</v>
      </c>
      <c r="K20" s="1" t="s">
        <v>131</v>
      </c>
    </row>
    <row r="21" spans="1:11" x14ac:dyDescent="0.6">
      <c r="A21" s="1" t="s">
        <v>182</v>
      </c>
      <c r="B21" s="1" t="s">
        <v>183</v>
      </c>
      <c r="C21" s="1" t="s">
        <v>118</v>
      </c>
      <c r="D21" s="1" t="s">
        <v>119</v>
      </c>
      <c r="E21" s="1" t="s">
        <v>120</v>
      </c>
      <c r="F21" s="1" t="s">
        <v>121</v>
      </c>
      <c r="G21" s="1">
        <v>5</v>
      </c>
      <c r="H21" s="1">
        <v>15000</v>
      </c>
      <c r="I21" s="1">
        <v>75000</v>
      </c>
      <c r="J21" s="1" t="s">
        <v>130</v>
      </c>
      <c r="K21" s="1" t="s">
        <v>150</v>
      </c>
    </row>
    <row r="22" spans="1:11" x14ac:dyDescent="0.6">
      <c r="A22" s="1" t="s">
        <v>184</v>
      </c>
      <c r="B22" s="1" t="s">
        <v>185</v>
      </c>
      <c r="C22" s="1" t="s">
        <v>153</v>
      </c>
      <c r="D22" s="1" t="s">
        <v>135</v>
      </c>
      <c r="E22" s="1" t="s">
        <v>164</v>
      </c>
      <c r="F22" s="1" t="s">
        <v>129</v>
      </c>
      <c r="G22" s="1">
        <v>3</v>
      </c>
      <c r="H22" s="1">
        <v>5000</v>
      </c>
      <c r="I22" s="1">
        <v>15000</v>
      </c>
      <c r="J22" s="1" t="s">
        <v>140</v>
      </c>
      <c r="K22" s="1" t="s">
        <v>147</v>
      </c>
    </row>
    <row r="23" spans="1:11" x14ac:dyDescent="0.6">
      <c r="A23" s="1" t="s">
        <v>186</v>
      </c>
      <c r="B23" s="1" t="s">
        <v>187</v>
      </c>
      <c r="C23" s="1" t="s">
        <v>163</v>
      </c>
      <c r="D23" s="1" t="s">
        <v>135</v>
      </c>
      <c r="E23" s="1" t="s">
        <v>128</v>
      </c>
      <c r="F23" s="1" t="s">
        <v>129</v>
      </c>
      <c r="G23" s="1">
        <v>1</v>
      </c>
      <c r="H23" s="1">
        <v>4000</v>
      </c>
      <c r="I23" s="1">
        <v>4000</v>
      </c>
      <c r="J23" s="1" t="s">
        <v>160</v>
      </c>
      <c r="K23" s="1" t="s">
        <v>147</v>
      </c>
    </row>
    <row r="24" spans="1:11" x14ac:dyDescent="0.6">
      <c r="A24" s="1" t="s">
        <v>188</v>
      </c>
      <c r="B24" s="1" t="s">
        <v>138</v>
      </c>
      <c r="C24" s="1" t="s">
        <v>159</v>
      </c>
      <c r="D24" s="1" t="s">
        <v>119</v>
      </c>
      <c r="E24" s="1" t="s">
        <v>189</v>
      </c>
      <c r="F24" s="1" t="s">
        <v>129</v>
      </c>
      <c r="G24" s="1">
        <v>3</v>
      </c>
      <c r="H24" s="1">
        <v>3500</v>
      </c>
      <c r="I24" s="1">
        <v>10500</v>
      </c>
      <c r="J24" s="1" t="s">
        <v>140</v>
      </c>
      <c r="K24" s="1" t="s">
        <v>131</v>
      </c>
    </row>
    <row r="25" spans="1:11" x14ac:dyDescent="0.6">
      <c r="A25" s="1" t="s">
        <v>190</v>
      </c>
      <c r="B25" s="1" t="s">
        <v>191</v>
      </c>
      <c r="C25" s="1" t="s">
        <v>126</v>
      </c>
      <c r="D25" s="1" t="s">
        <v>135</v>
      </c>
      <c r="E25" s="1" t="s">
        <v>120</v>
      </c>
      <c r="F25" s="1" t="s">
        <v>121</v>
      </c>
      <c r="G25" s="1">
        <v>2</v>
      </c>
      <c r="H25" s="1">
        <v>15000</v>
      </c>
      <c r="I25" s="1">
        <v>30000</v>
      </c>
      <c r="J25" s="1" t="s">
        <v>140</v>
      </c>
      <c r="K25" s="1" t="s">
        <v>123</v>
      </c>
    </row>
    <row r="26" spans="1:11" x14ac:dyDescent="0.6">
      <c r="A26" s="1" t="s">
        <v>192</v>
      </c>
      <c r="B26" s="1" t="s">
        <v>125</v>
      </c>
      <c r="C26" s="1" t="s">
        <v>163</v>
      </c>
      <c r="D26" s="1" t="s">
        <v>127</v>
      </c>
      <c r="E26" s="1" t="s">
        <v>189</v>
      </c>
      <c r="F26" s="1" t="s">
        <v>129</v>
      </c>
      <c r="G26" s="1">
        <v>3</v>
      </c>
      <c r="H26" s="1">
        <v>3500</v>
      </c>
      <c r="I26" s="1">
        <v>10500</v>
      </c>
      <c r="J26" s="1" t="s">
        <v>130</v>
      </c>
      <c r="K26" s="1" t="s">
        <v>131</v>
      </c>
    </row>
    <row r="27" spans="1:11" x14ac:dyDescent="0.6">
      <c r="A27" s="1" t="s">
        <v>193</v>
      </c>
      <c r="B27" s="1" t="s">
        <v>145</v>
      </c>
      <c r="C27" s="1" t="s">
        <v>149</v>
      </c>
      <c r="D27" s="1" t="s">
        <v>127</v>
      </c>
      <c r="E27" s="1" t="s">
        <v>164</v>
      </c>
      <c r="F27" s="1" t="s">
        <v>129</v>
      </c>
      <c r="G27" s="1">
        <v>3</v>
      </c>
      <c r="H27" s="1">
        <v>5000</v>
      </c>
      <c r="I27" s="1">
        <v>15000</v>
      </c>
      <c r="J27" s="1" t="s">
        <v>160</v>
      </c>
      <c r="K27" s="1" t="s">
        <v>123</v>
      </c>
    </row>
    <row r="28" spans="1:11" x14ac:dyDescent="0.6">
      <c r="A28" s="1" t="s">
        <v>194</v>
      </c>
      <c r="B28" s="1" t="s">
        <v>178</v>
      </c>
      <c r="C28" s="1" t="s">
        <v>118</v>
      </c>
      <c r="D28" s="1" t="s">
        <v>143</v>
      </c>
      <c r="E28" s="1" t="s">
        <v>176</v>
      </c>
      <c r="F28" s="1" t="s">
        <v>121</v>
      </c>
      <c r="G28" s="1">
        <v>1</v>
      </c>
      <c r="H28" s="1">
        <v>30000</v>
      </c>
      <c r="I28" s="1">
        <v>30000</v>
      </c>
      <c r="J28" s="1" t="s">
        <v>160</v>
      </c>
      <c r="K28" s="1" t="s">
        <v>147</v>
      </c>
    </row>
    <row r="29" spans="1:11" x14ac:dyDescent="0.6">
      <c r="A29" s="1" t="s">
        <v>195</v>
      </c>
      <c r="B29" s="1" t="s">
        <v>178</v>
      </c>
      <c r="C29" s="1" t="s">
        <v>134</v>
      </c>
      <c r="D29" s="1" t="s">
        <v>143</v>
      </c>
      <c r="E29" s="1" t="s">
        <v>189</v>
      </c>
      <c r="F29" s="1" t="s">
        <v>129</v>
      </c>
      <c r="G29" s="1">
        <v>4</v>
      </c>
      <c r="H29" s="1">
        <v>3500</v>
      </c>
      <c r="I29" s="1">
        <v>14000</v>
      </c>
      <c r="J29" s="1" t="s">
        <v>140</v>
      </c>
      <c r="K29" s="1" t="s">
        <v>131</v>
      </c>
    </row>
    <row r="30" spans="1:11" x14ac:dyDescent="0.6">
      <c r="A30" s="1" t="s">
        <v>196</v>
      </c>
      <c r="B30" s="1" t="s">
        <v>187</v>
      </c>
      <c r="C30" s="1" t="s">
        <v>167</v>
      </c>
      <c r="D30" s="1" t="s">
        <v>127</v>
      </c>
      <c r="E30" s="1" t="s">
        <v>176</v>
      </c>
      <c r="F30" s="1" t="s">
        <v>121</v>
      </c>
      <c r="G30" s="1">
        <v>1</v>
      </c>
      <c r="H30" s="1">
        <v>30000</v>
      </c>
      <c r="I30" s="1">
        <v>30000</v>
      </c>
      <c r="J30" s="1" t="s">
        <v>160</v>
      </c>
      <c r="K30" s="1" t="s">
        <v>131</v>
      </c>
    </row>
    <row r="31" spans="1:11" x14ac:dyDescent="0.6">
      <c r="A31" s="1" t="s">
        <v>197</v>
      </c>
      <c r="B31" s="1" t="s">
        <v>138</v>
      </c>
      <c r="C31" s="1" t="s">
        <v>146</v>
      </c>
      <c r="D31" s="1" t="s">
        <v>143</v>
      </c>
      <c r="E31" s="1" t="s">
        <v>136</v>
      </c>
      <c r="F31" s="1" t="s">
        <v>121</v>
      </c>
      <c r="G31" s="1">
        <v>1</v>
      </c>
      <c r="H31" s="1">
        <v>45000</v>
      </c>
      <c r="I31" s="1">
        <v>45000</v>
      </c>
      <c r="J31" s="1" t="s">
        <v>160</v>
      </c>
      <c r="K31" s="1" t="s">
        <v>123</v>
      </c>
    </row>
    <row r="32" spans="1:11" x14ac:dyDescent="0.6">
      <c r="A32" s="1" t="s">
        <v>198</v>
      </c>
      <c r="B32" s="1" t="s">
        <v>181</v>
      </c>
      <c r="C32" s="1" t="s">
        <v>175</v>
      </c>
      <c r="D32" s="1" t="s">
        <v>127</v>
      </c>
      <c r="E32" s="1" t="s">
        <v>128</v>
      </c>
      <c r="F32" s="1" t="s">
        <v>129</v>
      </c>
      <c r="G32" s="1">
        <v>3</v>
      </c>
      <c r="H32" s="1">
        <v>4000</v>
      </c>
      <c r="I32" s="1">
        <v>12000</v>
      </c>
      <c r="J32" s="1" t="s">
        <v>122</v>
      </c>
      <c r="K32" s="1" t="s">
        <v>131</v>
      </c>
    </row>
    <row r="33" spans="1:11" x14ac:dyDescent="0.6">
      <c r="A33" s="1" t="s">
        <v>199</v>
      </c>
      <c r="B33" s="1" t="s">
        <v>133</v>
      </c>
      <c r="C33" s="1" t="s">
        <v>146</v>
      </c>
      <c r="D33" s="1" t="s">
        <v>135</v>
      </c>
      <c r="E33" s="1" t="s">
        <v>164</v>
      </c>
      <c r="F33" s="1" t="s">
        <v>129</v>
      </c>
      <c r="G33" s="1">
        <v>4</v>
      </c>
      <c r="H33" s="1">
        <v>5000</v>
      </c>
      <c r="I33" s="1">
        <v>20000</v>
      </c>
      <c r="J33" s="1" t="s">
        <v>130</v>
      </c>
      <c r="K33" s="1" t="s">
        <v>123</v>
      </c>
    </row>
    <row r="34" spans="1:11" x14ac:dyDescent="0.6">
      <c r="A34" s="1" t="s">
        <v>200</v>
      </c>
      <c r="B34" s="1" t="s">
        <v>185</v>
      </c>
      <c r="C34" s="1" t="s">
        <v>149</v>
      </c>
      <c r="D34" s="1" t="s">
        <v>127</v>
      </c>
      <c r="E34" s="1" t="s">
        <v>189</v>
      </c>
      <c r="F34" s="1" t="s">
        <v>129</v>
      </c>
      <c r="G34" s="1">
        <v>2</v>
      </c>
      <c r="H34" s="1">
        <v>3500</v>
      </c>
      <c r="I34" s="1">
        <v>7000</v>
      </c>
      <c r="J34" s="1" t="s">
        <v>130</v>
      </c>
      <c r="K34" s="1" t="s">
        <v>154</v>
      </c>
    </row>
    <row r="35" spans="1:11" x14ac:dyDescent="0.6">
      <c r="A35" s="1" t="s">
        <v>201</v>
      </c>
      <c r="B35" s="1" t="s">
        <v>202</v>
      </c>
      <c r="C35" s="1" t="s">
        <v>159</v>
      </c>
      <c r="D35" s="1" t="s">
        <v>119</v>
      </c>
      <c r="E35" s="1" t="s">
        <v>189</v>
      </c>
      <c r="F35" s="1" t="s">
        <v>129</v>
      </c>
      <c r="G35" s="1">
        <v>2</v>
      </c>
      <c r="H35" s="1">
        <v>3500</v>
      </c>
      <c r="I35" s="1">
        <v>7000</v>
      </c>
      <c r="J35" s="1" t="s">
        <v>122</v>
      </c>
      <c r="K35" s="1" t="s">
        <v>150</v>
      </c>
    </row>
    <row r="36" spans="1:11" x14ac:dyDescent="0.6">
      <c r="A36" s="1" t="s">
        <v>203</v>
      </c>
      <c r="B36" s="1" t="s">
        <v>178</v>
      </c>
      <c r="C36" s="1" t="s">
        <v>118</v>
      </c>
      <c r="D36" s="1" t="s">
        <v>135</v>
      </c>
      <c r="E36" s="1" t="s">
        <v>128</v>
      </c>
      <c r="F36" s="1" t="s">
        <v>129</v>
      </c>
      <c r="G36" s="1">
        <v>4</v>
      </c>
      <c r="H36" s="1">
        <v>4000</v>
      </c>
      <c r="I36" s="1">
        <v>16000</v>
      </c>
      <c r="J36" s="1" t="s">
        <v>160</v>
      </c>
      <c r="K36" s="1" t="s">
        <v>131</v>
      </c>
    </row>
    <row r="37" spans="1:11" x14ac:dyDescent="0.6">
      <c r="A37" s="1" t="s">
        <v>204</v>
      </c>
      <c r="B37" s="1" t="s">
        <v>142</v>
      </c>
      <c r="C37" s="1" t="s">
        <v>153</v>
      </c>
      <c r="D37" s="1" t="s">
        <v>143</v>
      </c>
      <c r="E37" s="1" t="s">
        <v>168</v>
      </c>
      <c r="F37" s="1" t="s">
        <v>121</v>
      </c>
      <c r="G37" s="1">
        <v>1</v>
      </c>
      <c r="H37" s="1">
        <v>20000</v>
      </c>
      <c r="I37" s="1">
        <v>20000</v>
      </c>
      <c r="J37" s="1" t="s">
        <v>130</v>
      </c>
      <c r="K37" s="1" t="s">
        <v>131</v>
      </c>
    </row>
    <row r="38" spans="1:11" x14ac:dyDescent="0.6">
      <c r="A38" s="1" t="s">
        <v>205</v>
      </c>
      <c r="B38" s="1" t="s">
        <v>166</v>
      </c>
      <c r="C38" s="1" t="s">
        <v>167</v>
      </c>
      <c r="D38" s="1" t="s">
        <v>119</v>
      </c>
      <c r="E38" s="1" t="s">
        <v>136</v>
      </c>
      <c r="F38" s="1" t="s">
        <v>121</v>
      </c>
      <c r="G38" s="1">
        <v>2</v>
      </c>
      <c r="H38" s="1">
        <v>45000</v>
      </c>
      <c r="I38" s="1">
        <v>90000</v>
      </c>
      <c r="J38" s="1" t="s">
        <v>122</v>
      </c>
      <c r="K38" s="1" t="s">
        <v>123</v>
      </c>
    </row>
    <row r="39" spans="1:11" x14ac:dyDescent="0.6">
      <c r="A39" s="1" t="s">
        <v>206</v>
      </c>
      <c r="B39" s="1" t="s">
        <v>171</v>
      </c>
      <c r="C39" s="1" t="s">
        <v>146</v>
      </c>
      <c r="D39" s="1" t="s">
        <v>119</v>
      </c>
      <c r="E39" s="1" t="s">
        <v>120</v>
      </c>
      <c r="F39" s="1" t="s">
        <v>121</v>
      </c>
      <c r="G39" s="1">
        <v>1</v>
      </c>
      <c r="H39" s="1">
        <v>15000</v>
      </c>
      <c r="I39" s="1">
        <v>15000</v>
      </c>
      <c r="J39" s="1" t="s">
        <v>140</v>
      </c>
      <c r="K39" s="1" t="s">
        <v>131</v>
      </c>
    </row>
    <row r="40" spans="1:11" x14ac:dyDescent="0.6">
      <c r="A40" s="1" t="s">
        <v>207</v>
      </c>
      <c r="B40" s="1" t="s">
        <v>156</v>
      </c>
      <c r="C40" s="1" t="s">
        <v>175</v>
      </c>
      <c r="D40" s="1" t="s">
        <v>135</v>
      </c>
      <c r="E40" s="1" t="s">
        <v>128</v>
      </c>
      <c r="F40" s="1" t="s">
        <v>129</v>
      </c>
      <c r="G40" s="1">
        <v>2</v>
      </c>
      <c r="H40" s="1">
        <v>4000</v>
      </c>
      <c r="I40" s="1">
        <v>8000</v>
      </c>
      <c r="J40" s="1" t="s">
        <v>140</v>
      </c>
      <c r="K40" s="1" t="s">
        <v>147</v>
      </c>
    </row>
    <row r="41" spans="1:11" x14ac:dyDescent="0.6">
      <c r="A41" s="1" t="s">
        <v>208</v>
      </c>
      <c r="B41" s="1" t="s">
        <v>178</v>
      </c>
      <c r="C41" s="1" t="s">
        <v>149</v>
      </c>
      <c r="D41" s="1" t="s">
        <v>127</v>
      </c>
      <c r="E41" s="1" t="s">
        <v>176</v>
      </c>
      <c r="F41" s="1" t="s">
        <v>121</v>
      </c>
      <c r="G41" s="1">
        <v>5</v>
      </c>
      <c r="H41" s="1">
        <v>30000</v>
      </c>
      <c r="I41" s="1">
        <v>150000</v>
      </c>
      <c r="J41" s="1" t="s">
        <v>140</v>
      </c>
      <c r="K41" s="1" t="s">
        <v>131</v>
      </c>
    </row>
    <row r="42" spans="1:11" x14ac:dyDescent="0.6">
      <c r="A42" s="1" t="s">
        <v>209</v>
      </c>
      <c r="B42" s="1" t="s">
        <v>158</v>
      </c>
      <c r="C42" s="1" t="s">
        <v>146</v>
      </c>
      <c r="D42" s="1" t="s">
        <v>135</v>
      </c>
      <c r="E42" s="1" t="s">
        <v>120</v>
      </c>
      <c r="F42" s="1" t="s">
        <v>121</v>
      </c>
      <c r="G42" s="1">
        <v>2</v>
      </c>
      <c r="H42" s="1">
        <v>15000</v>
      </c>
      <c r="I42" s="1">
        <v>30000</v>
      </c>
      <c r="J42" s="1" t="s">
        <v>122</v>
      </c>
      <c r="K42" s="1" t="s">
        <v>150</v>
      </c>
    </row>
    <row r="43" spans="1:11" x14ac:dyDescent="0.6">
      <c r="A43" s="1" t="s">
        <v>210</v>
      </c>
      <c r="B43" s="1" t="s">
        <v>202</v>
      </c>
      <c r="C43" s="1" t="s">
        <v>146</v>
      </c>
      <c r="D43" s="1" t="s">
        <v>127</v>
      </c>
      <c r="E43" s="1" t="s">
        <v>120</v>
      </c>
      <c r="F43" s="1" t="s">
        <v>121</v>
      </c>
      <c r="G43" s="1">
        <v>1</v>
      </c>
      <c r="H43" s="1">
        <v>15000</v>
      </c>
      <c r="I43" s="1">
        <v>15000</v>
      </c>
      <c r="J43" s="1" t="s">
        <v>140</v>
      </c>
      <c r="K43" s="1" t="s">
        <v>150</v>
      </c>
    </row>
    <row r="44" spans="1:11" x14ac:dyDescent="0.6">
      <c r="A44" s="1" t="s">
        <v>211</v>
      </c>
      <c r="B44" s="1" t="s">
        <v>181</v>
      </c>
      <c r="C44" s="1" t="s">
        <v>118</v>
      </c>
      <c r="D44" s="1" t="s">
        <v>127</v>
      </c>
      <c r="E44" s="1" t="s">
        <v>120</v>
      </c>
      <c r="F44" s="1" t="s">
        <v>121</v>
      </c>
      <c r="G44" s="1">
        <v>2</v>
      </c>
      <c r="H44" s="1">
        <v>15000</v>
      </c>
      <c r="I44" s="1">
        <v>30000</v>
      </c>
      <c r="J44" s="1" t="s">
        <v>122</v>
      </c>
      <c r="K44" s="1" t="s">
        <v>147</v>
      </c>
    </row>
    <row r="45" spans="1:11" x14ac:dyDescent="0.6">
      <c r="A45" s="1" t="s">
        <v>212</v>
      </c>
      <c r="B45" s="1" t="s">
        <v>117</v>
      </c>
      <c r="C45" s="1" t="s">
        <v>118</v>
      </c>
      <c r="D45" s="1" t="s">
        <v>119</v>
      </c>
      <c r="E45" s="1" t="s">
        <v>136</v>
      </c>
      <c r="F45" s="1" t="s">
        <v>121</v>
      </c>
      <c r="G45" s="1">
        <v>5</v>
      </c>
      <c r="H45" s="1">
        <v>45000</v>
      </c>
      <c r="I45" s="1">
        <v>225000</v>
      </c>
      <c r="J45" s="1" t="s">
        <v>160</v>
      </c>
      <c r="K45" s="1" t="s">
        <v>154</v>
      </c>
    </row>
    <row r="46" spans="1:11" x14ac:dyDescent="0.6">
      <c r="A46" s="1" t="s">
        <v>213</v>
      </c>
      <c r="B46" s="1" t="s">
        <v>214</v>
      </c>
      <c r="C46" s="1" t="s">
        <v>146</v>
      </c>
      <c r="D46" s="1" t="s">
        <v>127</v>
      </c>
      <c r="E46" s="1" t="s">
        <v>120</v>
      </c>
      <c r="F46" s="1" t="s">
        <v>121</v>
      </c>
      <c r="G46" s="1">
        <v>2</v>
      </c>
      <c r="H46" s="1">
        <v>15000</v>
      </c>
      <c r="I46" s="1">
        <v>30000</v>
      </c>
      <c r="J46" s="1" t="s">
        <v>122</v>
      </c>
      <c r="K46" s="1" t="s">
        <v>147</v>
      </c>
    </row>
    <row r="47" spans="1:11" x14ac:dyDescent="0.6">
      <c r="A47" s="1" t="s">
        <v>215</v>
      </c>
      <c r="B47" s="1" t="s">
        <v>185</v>
      </c>
      <c r="C47" s="1" t="s">
        <v>159</v>
      </c>
      <c r="D47" s="1" t="s">
        <v>143</v>
      </c>
      <c r="E47" s="1" t="s">
        <v>164</v>
      </c>
      <c r="F47" s="1" t="s">
        <v>129</v>
      </c>
      <c r="G47" s="1">
        <v>3</v>
      </c>
      <c r="H47" s="1">
        <v>5000</v>
      </c>
      <c r="I47" s="1">
        <v>15000</v>
      </c>
      <c r="J47" s="1" t="s">
        <v>140</v>
      </c>
      <c r="K47" s="1" t="s">
        <v>123</v>
      </c>
    </row>
    <row r="48" spans="1:11" x14ac:dyDescent="0.6">
      <c r="A48" s="1" t="s">
        <v>216</v>
      </c>
      <c r="B48" s="1" t="s">
        <v>133</v>
      </c>
      <c r="C48" s="1" t="s">
        <v>149</v>
      </c>
      <c r="D48" s="1" t="s">
        <v>119</v>
      </c>
      <c r="E48" s="1" t="s">
        <v>176</v>
      </c>
      <c r="F48" s="1" t="s">
        <v>121</v>
      </c>
      <c r="G48" s="1">
        <v>5</v>
      </c>
      <c r="H48" s="1">
        <v>30000</v>
      </c>
      <c r="I48" s="1">
        <v>150000</v>
      </c>
      <c r="J48" s="1" t="s">
        <v>140</v>
      </c>
      <c r="K48" s="1" t="s">
        <v>131</v>
      </c>
    </row>
    <row r="49" spans="1:11" x14ac:dyDescent="0.6">
      <c r="A49" s="1" t="s">
        <v>217</v>
      </c>
      <c r="B49" s="1" t="s">
        <v>181</v>
      </c>
      <c r="C49" s="1" t="s">
        <v>167</v>
      </c>
      <c r="D49" s="1" t="s">
        <v>127</v>
      </c>
      <c r="E49" s="1" t="s">
        <v>128</v>
      </c>
      <c r="F49" s="1" t="s">
        <v>129</v>
      </c>
      <c r="G49" s="1">
        <v>2</v>
      </c>
      <c r="H49" s="1">
        <v>4000</v>
      </c>
      <c r="I49" s="1">
        <v>8000</v>
      </c>
      <c r="J49" s="1" t="s">
        <v>130</v>
      </c>
      <c r="K49" s="1" t="s">
        <v>131</v>
      </c>
    </row>
    <row r="50" spans="1:11" x14ac:dyDescent="0.6">
      <c r="A50" s="1" t="s">
        <v>218</v>
      </c>
      <c r="B50" s="1" t="s">
        <v>191</v>
      </c>
      <c r="C50" s="1" t="s">
        <v>126</v>
      </c>
      <c r="D50" s="1" t="s">
        <v>143</v>
      </c>
      <c r="E50" s="1" t="s">
        <v>128</v>
      </c>
      <c r="F50" s="1" t="s">
        <v>129</v>
      </c>
      <c r="G50" s="1">
        <v>1</v>
      </c>
      <c r="H50" s="1">
        <v>4000</v>
      </c>
      <c r="I50" s="1">
        <v>4000</v>
      </c>
      <c r="J50" s="1" t="s">
        <v>122</v>
      </c>
      <c r="K50" s="1" t="s">
        <v>150</v>
      </c>
    </row>
    <row r="51" spans="1:11" x14ac:dyDescent="0.6">
      <c r="A51" s="1" t="s">
        <v>219</v>
      </c>
      <c r="B51" s="1" t="s">
        <v>220</v>
      </c>
      <c r="C51" s="1" t="s">
        <v>163</v>
      </c>
      <c r="D51" s="1" t="s">
        <v>143</v>
      </c>
      <c r="E51" s="1" t="s">
        <v>189</v>
      </c>
      <c r="F51" s="1" t="s">
        <v>129</v>
      </c>
      <c r="G51" s="1">
        <v>5</v>
      </c>
      <c r="H51" s="1">
        <v>3500</v>
      </c>
      <c r="I51" s="1">
        <v>17500</v>
      </c>
      <c r="J51" s="1" t="s">
        <v>130</v>
      </c>
      <c r="K51" s="1" t="s">
        <v>150</v>
      </c>
    </row>
    <row r="53" spans="1:11" x14ac:dyDescent="0.6">
      <c r="A53" s="4" t="s">
        <v>55</v>
      </c>
    </row>
    <row r="54" spans="1:11" x14ac:dyDescent="0.6">
      <c r="A54" t="s">
        <v>221</v>
      </c>
    </row>
    <row r="56" spans="1:11" x14ac:dyDescent="0.6">
      <c r="A56" t="s">
        <v>222</v>
      </c>
    </row>
    <row r="58" spans="1:11" x14ac:dyDescent="0.6">
      <c r="A58" t="s">
        <v>223</v>
      </c>
    </row>
    <row r="60" spans="1:11" x14ac:dyDescent="0.6">
      <c r="A60" t="s">
        <v>224</v>
      </c>
    </row>
    <row r="62" spans="1:11" x14ac:dyDescent="0.6">
      <c r="A62" t="s">
        <v>225</v>
      </c>
    </row>
    <row r="64" spans="1:11" x14ac:dyDescent="0.6">
      <c r="A64" t="s">
        <v>226</v>
      </c>
    </row>
    <row r="66" spans="1:1" x14ac:dyDescent="0.6">
      <c r="A66" t="s">
        <v>227</v>
      </c>
    </row>
    <row r="68" spans="1:1" x14ac:dyDescent="0.6">
      <c r="A68" t="s">
        <v>228</v>
      </c>
    </row>
    <row r="70" spans="1:1" x14ac:dyDescent="0.6">
      <c r="A70" t="s">
        <v>229</v>
      </c>
    </row>
    <row r="72" spans="1:1" x14ac:dyDescent="0.6">
      <c r="A72" t="s">
        <v>230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A7BE-C303-4E42-8005-6E8E91AEF13F}">
  <sheetPr codeName="Sheet10"/>
  <dimension ref="A1:K75"/>
  <sheetViews>
    <sheetView topLeftCell="A19" workbookViewId="0">
      <selection activeCell="E61" sqref="E61"/>
    </sheetView>
  </sheetViews>
  <sheetFormatPr defaultRowHeight="26" x14ac:dyDescent="0.6"/>
  <cols>
    <col min="1" max="1" width="8.3984375" bestFit="1" customWidth="1"/>
    <col min="2" max="2" width="9.94921875" bestFit="1" customWidth="1"/>
    <col min="3" max="3" width="13.59765625" bestFit="1" customWidth="1"/>
    <col min="4" max="4" width="6.046875" bestFit="1" customWidth="1"/>
    <col min="5" max="5" width="11.296875" bestFit="1" customWidth="1"/>
    <col min="6" max="6" width="9.546875" bestFit="1" customWidth="1"/>
    <col min="7" max="7" width="7.3984375" bestFit="1" customWidth="1"/>
    <col min="8" max="8" width="8.1484375" bestFit="1" customWidth="1"/>
    <col min="9" max="9" width="8.296875" bestFit="1" customWidth="1"/>
    <col min="10" max="10" width="13.94921875" bestFit="1" customWidth="1"/>
    <col min="11" max="11" width="11.69921875" bestFit="1" customWidth="1"/>
  </cols>
  <sheetData>
    <row r="1" spans="1:11" x14ac:dyDescent="0.6">
      <c r="A1" s="1" t="s">
        <v>107</v>
      </c>
      <c r="B1" s="1" t="s">
        <v>108</v>
      </c>
      <c r="C1" s="1" t="s">
        <v>109</v>
      </c>
      <c r="D1" s="1" t="s">
        <v>110</v>
      </c>
      <c r="E1" s="1" t="s">
        <v>23</v>
      </c>
      <c r="F1" s="1" t="s">
        <v>111</v>
      </c>
      <c r="G1" s="1" t="s">
        <v>112</v>
      </c>
      <c r="H1" s="1" t="s">
        <v>113</v>
      </c>
      <c r="I1" s="1" t="s">
        <v>60</v>
      </c>
      <c r="J1" s="1" t="s">
        <v>114</v>
      </c>
      <c r="K1" s="1" t="s">
        <v>115</v>
      </c>
    </row>
    <row r="2" spans="1:11" x14ac:dyDescent="0.6">
      <c r="A2" s="1" t="s">
        <v>116</v>
      </c>
      <c r="B2" s="1" t="s">
        <v>117</v>
      </c>
      <c r="C2" s="1" t="s">
        <v>118</v>
      </c>
      <c r="D2" s="1" t="s">
        <v>119</v>
      </c>
      <c r="E2" s="1" t="s">
        <v>120</v>
      </c>
      <c r="F2" s="1" t="s">
        <v>121</v>
      </c>
      <c r="G2" s="1">
        <v>5</v>
      </c>
      <c r="H2" s="1">
        <v>15000</v>
      </c>
      <c r="I2" s="1">
        <v>75000</v>
      </c>
      <c r="J2" s="1" t="s">
        <v>122</v>
      </c>
      <c r="K2" s="1" t="s">
        <v>123</v>
      </c>
    </row>
    <row r="3" spans="1:11" x14ac:dyDescent="0.6">
      <c r="A3" s="1" t="s">
        <v>124</v>
      </c>
      <c r="B3" s="1" t="s">
        <v>125</v>
      </c>
      <c r="C3" s="1" t="s">
        <v>126</v>
      </c>
      <c r="D3" s="1" t="s">
        <v>127</v>
      </c>
      <c r="E3" s="1" t="s">
        <v>128</v>
      </c>
      <c r="F3" s="1" t="s">
        <v>129</v>
      </c>
      <c r="G3" s="1">
        <v>5</v>
      </c>
      <c r="H3" s="1">
        <v>4000</v>
      </c>
      <c r="I3" s="1">
        <v>20000</v>
      </c>
      <c r="J3" s="1" t="s">
        <v>130</v>
      </c>
      <c r="K3" s="1" t="s">
        <v>131</v>
      </c>
    </row>
    <row r="4" spans="1:11" x14ac:dyDescent="0.6">
      <c r="A4" s="1" t="s">
        <v>132</v>
      </c>
      <c r="B4" s="1" t="s">
        <v>133</v>
      </c>
      <c r="C4" s="1" t="s">
        <v>134</v>
      </c>
      <c r="D4" s="1" t="s">
        <v>135</v>
      </c>
      <c r="E4" s="1" t="s">
        <v>136</v>
      </c>
      <c r="F4" s="1" t="s">
        <v>121</v>
      </c>
      <c r="G4" s="1">
        <v>4</v>
      </c>
      <c r="H4" s="1">
        <v>45000</v>
      </c>
      <c r="I4" s="1">
        <v>180000</v>
      </c>
      <c r="J4" s="1" t="s">
        <v>122</v>
      </c>
      <c r="K4" s="1" t="s">
        <v>123</v>
      </c>
    </row>
    <row r="5" spans="1:11" x14ac:dyDescent="0.6">
      <c r="A5" s="1" t="s">
        <v>137</v>
      </c>
      <c r="B5" s="1" t="s">
        <v>138</v>
      </c>
      <c r="C5" s="1" t="s">
        <v>126</v>
      </c>
      <c r="D5" s="1" t="s">
        <v>135</v>
      </c>
      <c r="E5" s="1" t="s">
        <v>139</v>
      </c>
      <c r="F5" s="1" t="s">
        <v>121</v>
      </c>
      <c r="G5" s="1">
        <v>3</v>
      </c>
      <c r="H5" s="1">
        <v>18000</v>
      </c>
      <c r="I5" s="1">
        <v>54000</v>
      </c>
      <c r="J5" s="1" t="s">
        <v>140</v>
      </c>
      <c r="K5" s="1" t="s">
        <v>131</v>
      </c>
    </row>
    <row r="6" spans="1:11" x14ac:dyDescent="0.6">
      <c r="A6" s="1" t="s">
        <v>141</v>
      </c>
      <c r="B6" s="1" t="s">
        <v>142</v>
      </c>
      <c r="C6" s="1" t="s">
        <v>118</v>
      </c>
      <c r="D6" s="1" t="s">
        <v>143</v>
      </c>
      <c r="E6" s="1" t="s">
        <v>128</v>
      </c>
      <c r="F6" s="1" t="s">
        <v>129</v>
      </c>
      <c r="G6" s="1">
        <v>5</v>
      </c>
      <c r="H6" s="1">
        <v>4000</v>
      </c>
      <c r="I6" s="1">
        <v>20000</v>
      </c>
      <c r="J6" s="1" t="s">
        <v>122</v>
      </c>
      <c r="K6" s="1" t="s">
        <v>123</v>
      </c>
    </row>
    <row r="7" spans="1:11" x14ac:dyDescent="0.6">
      <c r="A7" s="1" t="s">
        <v>144</v>
      </c>
      <c r="B7" s="1" t="s">
        <v>145</v>
      </c>
      <c r="C7" s="1" t="s">
        <v>146</v>
      </c>
      <c r="D7" s="1" t="s">
        <v>127</v>
      </c>
      <c r="E7" s="1" t="s">
        <v>120</v>
      </c>
      <c r="F7" s="1" t="s">
        <v>121</v>
      </c>
      <c r="G7" s="1">
        <v>4</v>
      </c>
      <c r="H7" s="1">
        <v>15000</v>
      </c>
      <c r="I7" s="1">
        <v>60000</v>
      </c>
      <c r="J7" s="1" t="s">
        <v>140</v>
      </c>
      <c r="K7" s="1" t="s">
        <v>147</v>
      </c>
    </row>
    <row r="8" spans="1:11" x14ac:dyDescent="0.6">
      <c r="A8" s="1" t="s">
        <v>148</v>
      </c>
      <c r="B8" s="1" t="s">
        <v>117</v>
      </c>
      <c r="C8" s="1" t="s">
        <v>149</v>
      </c>
      <c r="D8" s="1" t="s">
        <v>119</v>
      </c>
      <c r="E8" s="1" t="s">
        <v>139</v>
      </c>
      <c r="F8" s="1" t="s">
        <v>121</v>
      </c>
      <c r="G8" s="1">
        <v>1</v>
      </c>
      <c r="H8" s="1">
        <v>18000</v>
      </c>
      <c r="I8" s="1">
        <v>18000</v>
      </c>
      <c r="J8" s="1" t="s">
        <v>140</v>
      </c>
      <c r="K8" s="1" t="s">
        <v>150</v>
      </c>
    </row>
    <row r="9" spans="1:11" x14ac:dyDescent="0.6">
      <c r="A9" s="1" t="s">
        <v>151</v>
      </c>
      <c r="B9" s="1" t="s">
        <v>152</v>
      </c>
      <c r="C9" s="1" t="s">
        <v>153</v>
      </c>
      <c r="D9" s="1" t="s">
        <v>119</v>
      </c>
      <c r="E9" s="1" t="s">
        <v>120</v>
      </c>
      <c r="F9" s="1" t="s">
        <v>121</v>
      </c>
      <c r="G9" s="1">
        <v>1</v>
      </c>
      <c r="H9" s="1">
        <v>15000</v>
      </c>
      <c r="I9" s="1">
        <v>15000</v>
      </c>
      <c r="J9" s="1" t="s">
        <v>140</v>
      </c>
      <c r="K9" s="1" t="s">
        <v>154</v>
      </c>
    </row>
    <row r="10" spans="1:11" x14ac:dyDescent="0.6">
      <c r="A10" s="1" t="s">
        <v>155</v>
      </c>
      <c r="B10" s="1" t="s">
        <v>156</v>
      </c>
      <c r="C10" s="1" t="s">
        <v>118</v>
      </c>
      <c r="D10" s="1" t="s">
        <v>143</v>
      </c>
      <c r="E10" s="1" t="s">
        <v>120</v>
      </c>
      <c r="F10" s="1" t="s">
        <v>121</v>
      </c>
      <c r="G10" s="1">
        <v>2</v>
      </c>
      <c r="H10" s="1">
        <v>15000</v>
      </c>
      <c r="I10" s="1">
        <v>30000</v>
      </c>
      <c r="J10" s="1" t="s">
        <v>122</v>
      </c>
      <c r="K10" s="1" t="s">
        <v>123</v>
      </c>
    </row>
    <row r="11" spans="1:11" x14ac:dyDescent="0.6">
      <c r="A11" s="1" t="s">
        <v>157</v>
      </c>
      <c r="B11" s="1" t="s">
        <v>158</v>
      </c>
      <c r="C11" s="1" t="s">
        <v>159</v>
      </c>
      <c r="D11" s="1" t="s">
        <v>143</v>
      </c>
      <c r="E11" s="1" t="s">
        <v>128</v>
      </c>
      <c r="F11" s="1" t="s">
        <v>129</v>
      </c>
      <c r="G11" s="1">
        <v>5</v>
      </c>
      <c r="H11" s="1">
        <v>4000</v>
      </c>
      <c r="I11" s="1">
        <v>20000</v>
      </c>
      <c r="J11" s="1" t="s">
        <v>160</v>
      </c>
      <c r="K11" s="1" t="s">
        <v>131</v>
      </c>
    </row>
    <row r="12" spans="1:11" x14ac:dyDescent="0.6">
      <c r="A12" s="1" t="s">
        <v>161</v>
      </c>
      <c r="B12" s="1" t="s">
        <v>162</v>
      </c>
      <c r="C12" s="1" t="s">
        <v>163</v>
      </c>
      <c r="D12" s="1" t="s">
        <v>143</v>
      </c>
      <c r="E12" s="1" t="s">
        <v>164</v>
      </c>
      <c r="F12" s="1" t="s">
        <v>129</v>
      </c>
      <c r="G12" s="1">
        <v>5</v>
      </c>
      <c r="H12" s="1">
        <v>5000</v>
      </c>
      <c r="I12" s="1">
        <v>25000</v>
      </c>
      <c r="J12" s="1" t="s">
        <v>130</v>
      </c>
      <c r="K12" s="1" t="s">
        <v>150</v>
      </c>
    </row>
    <row r="13" spans="1:11" x14ac:dyDescent="0.6">
      <c r="A13" s="1" t="s">
        <v>165</v>
      </c>
      <c r="B13" s="1" t="s">
        <v>166</v>
      </c>
      <c r="C13" s="1" t="s">
        <v>167</v>
      </c>
      <c r="D13" s="1" t="s">
        <v>127</v>
      </c>
      <c r="E13" s="1" t="s">
        <v>168</v>
      </c>
      <c r="F13" s="1" t="s">
        <v>121</v>
      </c>
      <c r="G13" s="1">
        <v>1</v>
      </c>
      <c r="H13" s="1">
        <v>20000</v>
      </c>
      <c r="I13" s="1">
        <v>20000</v>
      </c>
      <c r="J13" s="1" t="s">
        <v>140</v>
      </c>
      <c r="K13" s="1" t="s">
        <v>147</v>
      </c>
    </row>
    <row r="14" spans="1:11" x14ac:dyDescent="0.6">
      <c r="A14" s="1" t="s">
        <v>169</v>
      </c>
      <c r="B14" s="1" t="s">
        <v>125</v>
      </c>
      <c r="C14" s="1" t="s">
        <v>167</v>
      </c>
      <c r="D14" s="1" t="s">
        <v>119</v>
      </c>
      <c r="E14" s="1" t="s">
        <v>136</v>
      </c>
      <c r="F14" s="1" t="s">
        <v>121</v>
      </c>
      <c r="G14" s="1">
        <v>2</v>
      </c>
      <c r="H14" s="1">
        <v>45000</v>
      </c>
      <c r="I14" s="1">
        <v>90000</v>
      </c>
      <c r="J14" s="1" t="s">
        <v>160</v>
      </c>
      <c r="K14" s="1" t="s">
        <v>147</v>
      </c>
    </row>
    <row r="15" spans="1:11" x14ac:dyDescent="0.6">
      <c r="A15" s="1" t="s">
        <v>170</v>
      </c>
      <c r="B15" s="1" t="s">
        <v>171</v>
      </c>
      <c r="C15" s="1" t="s">
        <v>163</v>
      </c>
      <c r="D15" s="1" t="s">
        <v>127</v>
      </c>
      <c r="E15" s="1" t="s">
        <v>136</v>
      </c>
      <c r="F15" s="1" t="s">
        <v>121</v>
      </c>
      <c r="G15" s="1">
        <v>3</v>
      </c>
      <c r="H15" s="1">
        <v>45000</v>
      </c>
      <c r="I15" s="1">
        <v>135000</v>
      </c>
      <c r="J15" s="1" t="s">
        <v>160</v>
      </c>
      <c r="K15" s="1" t="s">
        <v>150</v>
      </c>
    </row>
    <row r="16" spans="1:11" x14ac:dyDescent="0.6">
      <c r="A16" s="1" t="s">
        <v>172</v>
      </c>
      <c r="B16" s="1" t="s">
        <v>173</v>
      </c>
      <c r="C16" s="1" t="s">
        <v>159</v>
      </c>
      <c r="D16" s="1" t="s">
        <v>143</v>
      </c>
      <c r="E16" s="1" t="s">
        <v>120</v>
      </c>
      <c r="F16" s="1" t="s">
        <v>121</v>
      </c>
      <c r="G16" s="1">
        <v>2</v>
      </c>
      <c r="H16" s="1">
        <v>15000</v>
      </c>
      <c r="I16" s="1">
        <v>30000</v>
      </c>
      <c r="J16" s="1" t="s">
        <v>122</v>
      </c>
      <c r="K16" s="1" t="s">
        <v>123</v>
      </c>
    </row>
    <row r="17" spans="1:11" x14ac:dyDescent="0.6">
      <c r="A17" s="1" t="s">
        <v>174</v>
      </c>
      <c r="B17" s="1" t="s">
        <v>158</v>
      </c>
      <c r="C17" s="1" t="s">
        <v>175</v>
      </c>
      <c r="D17" s="1" t="s">
        <v>127</v>
      </c>
      <c r="E17" s="1" t="s">
        <v>176</v>
      </c>
      <c r="F17" s="1" t="s">
        <v>121</v>
      </c>
      <c r="G17" s="1">
        <v>5</v>
      </c>
      <c r="H17" s="1">
        <v>30000</v>
      </c>
      <c r="I17" s="1">
        <v>150000</v>
      </c>
      <c r="J17" s="1" t="s">
        <v>140</v>
      </c>
      <c r="K17" s="1" t="s">
        <v>123</v>
      </c>
    </row>
    <row r="18" spans="1:11" x14ac:dyDescent="0.6">
      <c r="A18" s="1" t="s">
        <v>177</v>
      </c>
      <c r="B18" s="1" t="s">
        <v>178</v>
      </c>
      <c r="C18" s="1" t="s">
        <v>134</v>
      </c>
      <c r="D18" s="1" t="s">
        <v>135</v>
      </c>
      <c r="E18" s="1" t="s">
        <v>120</v>
      </c>
      <c r="F18" s="1" t="s">
        <v>121</v>
      </c>
      <c r="G18" s="1">
        <v>4</v>
      </c>
      <c r="H18" s="1">
        <v>15000</v>
      </c>
      <c r="I18" s="1">
        <v>60000</v>
      </c>
      <c r="J18" s="1" t="s">
        <v>122</v>
      </c>
      <c r="K18" s="1" t="s">
        <v>154</v>
      </c>
    </row>
    <row r="19" spans="1:11" x14ac:dyDescent="0.6">
      <c r="A19" s="1" t="s">
        <v>179</v>
      </c>
      <c r="B19" s="1" t="s">
        <v>171</v>
      </c>
      <c r="C19" s="1" t="s">
        <v>118</v>
      </c>
      <c r="D19" s="1" t="s">
        <v>119</v>
      </c>
      <c r="E19" s="1" t="s">
        <v>164</v>
      </c>
      <c r="F19" s="1" t="s">
        <v>129</v>
      </c>
      <c r="G19" s="1">
        <v>2</v>
      </c>
      <c r="H19" s="1">
        <v>5000</v>
      </c>
      <c r="I19" s="1">
        <v>10000</v>
      </c>
      <c r="J19" s="1" t="s">
        <v>140</v>
      </c>
      <c r="K19" s="1" t="s">
        <v>123</v>
      </c>
    </row>
    <row r="20" spans="1:11" x14ac:dyDescent="0.6">
      <c r="A20" s="1" t="s">
        <v>180</v>
      </c>
      <c r="B20" s="1" t="s">
        <v>181</v>
      </c>
      <c r="C20" s="1" t="s">
        <v>149</v>
      </c>
      <c r="D20" s="1" t="s">
        <v>119</v>
      </c>
      <c r="E20" s="1" t="s">
        <v>176</v>
      </c>
      <c r="F20" s="1" t="s">
        <v>121</v>
      </c>
      <c r="G20" s="1">
        <v>2</v>
      </c>
      <c r="H20" s="1">
        <v>30000</v>
      </c>
      <c r="I20" s="1">
        <v>60000</v>
      </c>
      <c r="J20" s="1" t="s">
        <v>122</v>
      </c>
      <c r="K20" s="1" t="s">
        <v>131</v>
      </c>
    </row>
    <row r="21" spans="1:11" x14ac:dyDescent="0.6">
      <c r="A21" s="1" t="s">
        <v>182</v>
      </c>
      <c r="B21" s="1" t="s">
        <v>183</v>
      </c>
      <c r="C21" s="1" t="s">
        <v>118</v>
      </c>
      <c r="D21" s="1" t="s">
        <v>119</v>
      </c>
      <c r="E21" s="1" t="s">
        <v>120</v>
      </c>
      <c r="F21" s="1" t="s">
        <v>121</v>
      </c>
      <c r="G21" s="1">
        <v>5</v>
      </c>
      <c r="H21" s="1">
        <v>15000</v>
      </c>
      <c r="I21" s="1">
        <v>75000</v>
      </c>
      <c r="J21" s="1" t="s">
        <v>130</v>
      </c>
      <c r="K21" s="1" t="s">
        <v>150</v>
      </c>
    </row>
    <row r="22" spans="1:11" x14ac:dyDescent="0.6">
      <c r="A22" s="1" t="s">
        <v>184</v>
      </c>
      <c r="B22" s="1" t="s">
        <v>185</v>
      </c>
      <c r="C22" s="1" t="s">
        <v>153</v>
      </c>
      <c r="D22" s="1" t="s">
        <v>135</v>
      </c>
      <c r="E22" s="1" t="s">
        <v>164</v>
      </c>
      <c r="F22" s="1" t="s">
        <v>129</v>
      </c>
      <c r="G22" s="1">
        <v>3</v>
      </c>
      <c r="H22" s="1">
        <v>5000</v>
      </c>
      <c r="I22" s="1">
        <v>15000</v>
      </c>
      <c r="J22" s="1" t="s">
        <v>140</v>
      </c>
      <c r="K22" s="1" t="s">
        <v>147</v>
      </c>
    </row>
    <row r="23" spans="1:11" x14ac:dyDescent="0.6">
      <c r="A23" s="1" t="s">
        <v>186</v>
      </c>
      <c r="B23" s="1" t="s">
        <v>187</v>
      </c>
      <c r="C23" s="1" t="s">
        <v>163</v>
      </c>
      <c r="D23" s="1" t="s">
        <v>135</v>
      </c>
      <c r="E23" s="1" t="s">
        <v>128</v>
      </c>
      <c r="F23" s="1" t="s">
        <v>129</v>
      </c>
      <c r="G23" s="1">
        <v>1</v>
      </c>
      <c r="H23" s="1">
        <v>4000</v>
      </c>
      <c r="I23" s="1">
        <v>4000</v>
      </c>
      <c r="J23" s="1" t="s">
        <v>160</v>
      </c>
      <c r="K23" s="1" t="s">
        <v>147</v>
      </c>
    </row>
    <row r="24" spans="1:11" x14ac:dyDescent="0.6">
      <c r="A24" s="1" t="s">
        <v>188</v>
      </c>
      <c r="B24" s="1" t="s">
        <v>138</v>
      </c>
      <c r="C24" s="1" t="s">
        <v>159</v>
      </c>
      <c r="D24" s="1" t="s">
        <v>119</v>
      </c>
      <c r="E24" s="1" t="s">
        <v>189</v>
      </c>
      <c r="F24" s="1" t="s">
        <v>129</v>
      </c>
      <c r="G24" s="1">
        <v>3</v>
      </c>
      <c r="H24" s="1">
        <v>3500</v>
      </c>
      <c r="I24" s="1">
        <v>10500</v>
      </c>
      <c r="J24" s="1" t="s">
        <v>140</v>
      </c>
      <c r="K24" s="1" t="s">
        <v>131</v>
      </c>
    </row>
    <row r="25" spans="1:11" x14ac:dyDescent="0.6">
      <c r="A25" s="1" t="s">
        <v>190</v>
      </c>
      <c r="B25" s="1" t="s">
        <v>191</v>
      </c>
      <c r="C25" s="1" t="s">
        <v>126</v>
      </c>
      <c r="D25" s="1" t="s">
        <v>135</v>
      </c>
      <c r="E25" s="1" t="s">
        <v>120</v>
      </c>
      <c r="F25" s="1" t="s">
        <v>121</v>
      </c>
      <c r="G25" s="1">
        <v>2</v>
      </c>
      <c r="H25" s="1">
        <v>15000</v>
      </c>
      <c r="I25" s="1">
        <v>30000</v>
      </c>
      <c r="J25" s="1" t="s">
        <v>140</v>
      </c>
      <c r="K25" s="1" t="s">
        <v>123</v>
      </c>
    </row>
    <row r="26" spans="1:11" x14ac:dyDescent="0.6">
      <c r="A26" s="1" t="s">
        <v>192</v>
      </c>
      <c r="B26" s="1" t="s">
        <v>125</v>
      </c>
      <c r="C26" s="1" t="s">
        <v>163</v>
      </c>
      <c r="D26" s="1" t="s">
        <v>127</v>
      </c>
      <c r="E26" s="1" t="s">
        <v>189</v>
      </c>
      <c r="F26" s="1" t="s">
        <v>129</v>
      </c>
      <c r="G26" s="1">
        <v>3</v>
      </c>
      <c r="H26" s="1">
        <v>3500</v>
      </c>
      <c r="I26" s="1">
        <v>10500</v>
      </c>
      <c r="J26" s="1" t="s">
        <v>130</v>
      </c>
      <c r="K26" s="1" t="s">
        <v>131</v>
      </c>
    </row>
    <row r="27" spans="1:11" x14ac:dyDescent="0.6">
      <c r="A27" s="1" t="s">
        <v>193</v>
      </c>
      <c r="B27" s="1" t="s">
        <v>145</v>
      </c>
      <c r="C27" s="1" t="s">
        <v>149</v>
      </c>
      <c r="D27" s="1" t="s">
        <v>127</v>
      </c>
      <c r="E27" s="1" t="s">
        <v>164</v>
      </c>
      <c r="F27" s="1" t="s">
        <v>129</v>
      </c>
      <c r="G27" s="1">
        <v>3</v>
      </c>
      <c r="H27" s="1">
        <v>5000</v>
      </c>
      <c r="I27" s="1">
        <v>15000</v>
      </c>
      <c r="J27" s="1" t="s">
        <v>160</v>
      </c>
      <c r="K27" s="1" t="s">
        <v>123</v>
      </c>
    </row>
    <row r="28" spans="1:11" x14ac:dyDescent="0.6">
      <c r="A28" s="1" t="s">
        <v>194</v>
      </c>
      <c r="B28" s="1" t="s">
        <v>178</v>
      </c>
      <c r="C28" s="1" t="s">
        <v>118</v>
      </c>
      <c r="D28" s="1" t="s">
        <v>143</v>
      </c>
      <c r="E28" s="1" t="s">
        <v>176</v>
      </c>
      <c r="F28" s="1" t="s">
        <v>121</v>
      </c>
      <c r="G28" s="1">
        <v>1</v>
      </c>
      <c r="H28" s="1">
        <v>30000</v>
      </c>
      <c r="I28" s="1">
        <v>30000</v>
      </c>
      <c r="J28" s="1" t="s">
        <v>160</v>
      </c>
      <c r="K28" s="1" t="s">
        <v>147</v>
      </c>
    </row>
    <row r="29" spans="1:11" x14ac:dyDescent="0.6">
      <c r="A29" s="1" t="s">
        <v>195</v>
      </c>
      <c r="B29" s="1" t="s">
        <v>178</v>
      </c>
      <c r="C29" s="1" t="s">
        <v>134</v>
      </c>
      <c r="D29" s="1" t="s">
        <v>143</v>
      </c>
      <c r="E29" s="1" t="s">
        <v>189</v>
      </c>
      <c r="F29" s="1" t="s">
        <v>129</v>
      </c>
      <c r="G29" s="1">
        <v>4</v>
      </c>
      <c r="H29" s="1">
        <v>3500</v>
      </c>
      <c r="I29" s="1">
        <v>14000</v>
      </c>
      <c r="J29" s="1" t="s">
        <v>140</v>
      </c>
      <c r="K29" s="1" t="s">
        <v>131</v>
      </c>
    </row>
    <row r="30" spans="1:11" x14ac:dyDescent="0.6">
      <c r="A30" s="1" t="s">
        <v>196</v>
      </c>
      <c r="B30" s="1" t="s">
        <v>187</v>
      </c>
      <c r="C30" s="1" t="s">
        <v>167</v>
      </c>
      <c r="D30" s="1" t="s">
        <v>127</v>
      </c>
      <c r="E30" s="1" t="s">
        <v>176</v>
      </c>
      <c r="F30" s="1" t="s">
        <v>121</v>
      </c>
      <c r="G30" s="1">
        <v>1</v>
      </c>
      <c r="H30" s="1">
        <v>30000</v>
      </c>
      <c r="I30" s="1">
        <v>30000</v>
      </c>
      <c r="J30" s="1" t="s">
        <v>160</v>
      </c>
      <c r="K30" s="1" t="s">
        <v>131</v>
      </c>
    </row>
    <row r="31" spans="1:11" x14ac:dyDescent="0.6">
      <c r="A31" s="1" t="s">
        <v>197</v>
      </c>
      <c r="B31" s="1" t="s">
        <v>138</v>
      </c>
      <c r="C31" s="1" t="s">
        <v>146</v>
      </c>
      <c r="D31" s="1" t="s">
        <v>143</v>
      </c>
      <c r="E31" s="1" t="s">
        <v>136</v>
      </c>
      <c r="F31" s="1" t="s">
        <v>121</v>
      </c>
      <c r="G31" s="1">
        <v>1</v>
      </c>
      <c r="H31" s="1">
        <v>45000</v>
      </c>
      <c r="I31" s="1">
        <v>45000</v>
      </c>
      <c r="J31" s="1" t="s">
        <v>160</v>
      </c>
      <c r="K31" s="1" t="s">
        <v>123</v>
      </c>
    </row>
    <row r="32" spans="1:11" x14ac:dyDescent="0.6">
      <c r="A32" s="1" t="s">
        <v>198</v>
      </c>
      <c r="B32" s="1" t="s">
        <v>181</v>
      </c>
      <c r="C32" s="1" t="s">
        <v>175</v>
      </c>
      <c r="D32" s="1" t="s">
        <v>127</v>
      </c>
      <c r="E32" s="1" t="s">
        <v>128</v>
      </c>
      <c r="F32" s="1" t="s">
        <v>129</v>
      </c>
      <c r="G32" s="1">
        <v>3</v>
      </c>
      <c r="H32" s="1">
        <v>4000</v>
      </c>
      <c r="I32" s="1">
        <v>12000</v>
      </c>
      <c r="J32" s="1" t="s">
        <v>122</v>
      </c>
      <c r="K32" s="1" t="s">
        <v>131</v>
      </c>
    </row>
    <row r="33" spans="1:11" x14ac:dyDescent="0.6">
      <c r="A33" s="1" t="s">
        <v>199</v>
      </c>
      <c r="B33" s="1" t="s">
        <v>133</v>
      </c>
      <c r="C33" s="1" t="s">
        <v>146</v>
      </c>
      <c r="D33" s="1" t="s">
        <v>135</v>
      </c>
      <c r="E33" s="1" t="s">
        <v>164</v>
      </c>
      <c r="F33" s="1" t="s">
        <v>129</v>
      </c>
      <c r="G33" s="1">
        <v>4</v>
      </c>
      <c r="H33" s="1">
        <v>5000</v>
      </c>
      <c r="I33" s="1">
        <v>20000</v>
      </c>
      <c r="J33" s="1" t="s">
        <v>130</v>
      </c>
      <c r="K33" s="1" t="s">
        <v>123</v>
      </c>
    </row>
    <row r="34" spans="1:11" x14ac:dyDescent="0.6">
      <c r="A34" s="1" t="s">
        <v>200</v>
      </c>
      <c r="B34" s="1" t="s">
        <v>185</v>
      </c>
      <c r="C34" s="1" t="s">
        <v>149</v>
      </c>
      <c r="D34" s="1" t="s">
        <v>127</v>
      </c>
      <c r="E34" s="1" t="s">
        <v>189</v>
      </c>
      <c r="F34" s="1" t="s">
        <v>129</v>
      </c>
      <c r="G34" s="1">
        <v>2</v>
      </c>
      <c r="H34" s="1">
        <v>3500</v>
      </c>
      <c r="I34" s="1">
        <v>7000</v>
      </c>
      <c r="J34" s="1" t="s">
        <v>130</v>
      </c>
      <c r="K34" s="1" t="s">
        <v>154</v>
      </c>
    </row>
    <row r="35" spans="1:11" x14ac:dyDescent="0.6">
      <c r="A35" s="1" t="s">
        <v>201</v>
      </c>
      <c r="B35" s="1" t="s">
        <v>202</v>
      </c>
      <c r="C35" s="1" t="s">
        <v>159</v>
      </c>
      <c r="D35" s="1" t="s">
        <v>119</v>
      </c>
      <c r="E35" s="1" t="s">
        <v>189</v>
      </c>
      <c r="F35" s="1" t="s">
        <v>129</v>
      </c>
      <c r="G35" s="1">
        <v>2</v>
      </c>
      <c r="H35" s="1">
        <v>3500</v>
      </c>
      <c r="I35" s="1">
        <v>7000</v>
      </c>
      <c r="J35" s="1" t="s">
        <v>122</v>
      </c>
      <c r="K35" s="1" t="s">
        <v>150</v>
      </c>
    </row>
    <row r="36" spans="1:11" x14ac:dyDescent="0.6">
      <c r="A36" s="1" t="s">
        <v>203</v>
      </c>
      <c r="B36" s="1" t="s">
        <v>178</v>
      </c>
      <c r="C36" s="1" t="s">
        <v>118</v>
      </c>
      <c r="D36" s="1" t="s">
        <v>135</v>
      </c>
      <c r="E36" s="1" t="s">
        <v>128</v>
      </c>
      <c r="F36" s="1" t="s">
        <v>129</v>
      </c>
      <c r="G36" s="1">
        <v>4</v>
      </c>
      <c r="H36" s="1">
        <v>4000</v>
      </c>
      <c r="I36" s="1">
        <v>16000</v>
      </c>
      <c r="J36" s="1" t="s">
        <v>160</v>
      </c>
      <c r="K36" s="1" t="s">
        <v>131</v>
      </c>
    </row>
    <row r="37" spans="1:11" x14ac:dyDescent="0.6">
      <c r="A37" s="1" t="s">
        <v>204</v>
      </c>
      <c r="B37" s="1" t="s">
        <v>142</v>
      </c>
      <c r="C37" s="1" t="s">
        <v>153</v>
      </c>
      <c r="D37" s="1" t="s">
        <v>143</v>
      </c>
      <c r="E37" s="1" t="s">
        <v>168</v>
      </c>
      <c r="F37" s="1" t="s">
        <v>121</v>
      </c>
      <c r="G37" s="1">
        <v>1</v>
      </c>
      <c r="H37" s="1">
        <v>20000</v>
      </c>
      <c r="I37" s="1">
        <v>20000</v>
      </c>
      <c r="J37" s="1" t="s">
        <v>130</v>
      </c>
      <c r="K37" s="1" t="s">
        <v>131</v>
      </c>
    </row>
    <row r="38" spans="1:11" x14ac:dyDescent="0.6">
      <c r="A38" s="1" t="s">
        <v>205</v>
      </c>
      <c r="B38" s="1" t="s">
        <v>166</v>
      </c>
      <c r="C38" s="1" t="s">
        <v>167</v>
      </c>
      <c r="D38" s="1" t="s">
        <v>119</v>
      </c>
      <c r="E38" s="1" t="s">
        <v>136</v>
      </c>
      <c r="F38" s="1" t="s">
        <v>121</v>
      </c>
      <c r="G38" s="1">
        <v>2</v>
      </c>
      <c r="H38" s="1">
        <v>45000</v>
      </c>
      <c r="I38" s="1">
        <v>90000</v>
      </c>
      <c r="J38" s="1" t="s">
        <v>122</v>
      </c>
      <c r="K38" s="1" t="s">
        <v>123</v>
      </c>
    </row>
    <row r="39" spans="1:11" x14ac:dyDescent="0.6">
      <c r="A39" s="1" t="s">
        <v>206</v>
      </c>
      <c r="B39" s="1" t="s">
        <v>171</v>
      </c>
      <c r="C39" s="1" t="s">
        <v>146</v>
      </c>
      <c r="D39" s="1" t="s">
        <v>119</v>
      </c>
      <c r="E39" s="1" t="s">
        <v>120</v>
      </c>
      <c r="F39" s="1" t="s">
        <v>121</v>
      </c>
      <c r="G39" s="1">
        <v>1</v>
      </c>
      <c r="H39" s="1">
        <v>15000</v>
      </c>
      <c r="I39" s="1">
        <v>15000</v>
      </c>
      <c r="J39" s="1" t="s">
        <v>140</v>
      </c>
      <c r="K39" s="1" t="s">
        <v>131</v>
      </c>
    </row>
    <row r="40" spans="1:11" x14ac:dyDescent="0.6">
      <c r="A40" s="1" t="s">
        <v>207</v>
      </c>
      <c r="B40" s="1" t="s">
        <v>156</v>
      </c>
      <c r="C40" s="1" t="s">
        <v>175</v>
      </c>
      <c r="D40" s="1" t="s">
        <v>135</v>
      </c>
      <c r="E40" s="1" t="s">
        <v>128</v>
      </c>
      <c r="F40" s="1" t="s">
        <v>129</v>
      </c>
      <c r="G40" s="1">
        <v>2</v>
      </c>
      <c r="H40" s="1">
        <v>4000</v>
      </c>
      <c r="I40" s="1">
        <v>8000</v>
      </c>
      <c r="J40" s="1" t="s">
        <v>140</v>
      </c>
      <c r="K40" s="1" t="s">
        <v>147</v>
      </c>
    </row>
    <row r="41" spans="1:11" x14ac:dyDescent="0.6">
      <c r="A41" s="1" t="s">
        <v>208</v>
      </c>
      <c r="B41" s="1" t="s">
        <v>178</v>
      </c>
      <c r="C41" s="1" t="s">
        <v>149</v>
      </c>
      <c r="D41" s="1" t="s">
        <v>127</v>
      </c>
      <c r="E41" s="1" t="s">
        <v>176</v>
      </c>
      <c r="F41" s="1" t="s">
        <v>121</v>
      </c>
      <c r="G41" s="1">
        <v>5</v>
      </c>
      <c r="H41" s="1">
        <v>30000</v>
      </c>
      <c r="I41" s="1">
        <v>150000</v>
      </c>
      <c r="J41" s="1" t="s">
        <v>140</v>
      </c>
      <c r="K41" s="1" t="s">
        <v>131</v>
      </c>
    </row>
    <row r="42" spans="1:11" x14ac:dyDescent="0.6">
      <c r="A42" s="1" t="s">
        <v>209</v>
      </c>
      <c r="B42" s="1" t="s">
        <v>158</v>
      </c>
      <c r="C42" s="1" t="s">
        <v>146</v>
      </c>
      <c r="D42" s="1" t="s">
        <v>135</v>
      </c>
      <c r="E42" s="1" t="s">
        <v>120</v>
      </c>
      <c r="F42" s="1" t="s">
        <v>121</v>
      </c>
      <c r="G42" s="1">
        <v>2</v>
      </c>
      <c r="H42" s="1">
        <v>15000</v>
      </c>
      <c r="I42" s="1">
        <v>30000</v>
      </c>
      <c r="J42" s="1" t="s">
        <v>122</v>
      </c>
      <c r="K42" s="1" t="s">
        <v>150</v>
      </c>
    </row>
    <row r="43" spans="1:11" x14ac:dyDescent="0.6">
      <c r="A43" s="1" t="s">
        <v>210</v>
      </c>
      <c r="B43" s="1" t="s">
        <v>202</v>
      </c>
      <c r="C43" s="1" t="s">
        <v>146</v>
      </c>
      <c r="D43" s="1" t="s">
        <v>127</v>
      </c>
      <c r="E43" s="1" t="s">
        <v>120</v>
      </c>
      <c r="F43" s="1" t="s">
        <v>121</v>
      </c>
      <c r="G43" s="1">
        <v>1</v>
      </c>
      <c r="H43" s="1">
        <v>15000</v>
      </c>
      <c r="I43" s="1">
        <v>15000</v>
      </c>
      <c r="J43" s="1" t="s">
        <v>140</v>
      </c>
      <c r="K43" s="1" t="s">
        <v>150</v>
      </c>
    </row>
    <row r="44" spans="1:11" x14ac:dyDescent="0.6">
      <c r="A44" s="1" t="s">
        <v>211</v>
      </c>
      <c r="B44" s="1" t="s">
        <v>181</v>
      </c>
      <c r="C44" s="1" t="s">
        <v>118</v>
      </c>
      <c r="D44" s="1" t="s">
        <v>127</v>
      </c>
      <c r="E44" s="1" t="s">
        <v>120</v>
      </c>
      <c r="F44" s="1" t="s">
        <v>121</v>
      </c>
      <c r="G44" s="1">
        <v>2</v>
      </c>
      <c r="H44" s="1">
        <v>15000</v>
      </c>
      <c r="I44" s="1">
        <v>30000</v>
      </c>
      <c r="J44" s="1" t="s">
        <v>122</v>
      </c>
      <c r="K44" s="1" t="s">
        <v>147</v>
      </c>
    </row>
    <row r="45" spans="1:11" x14ac:dyDescent="0.6">
      <c r="A45" s="1" t="s">
        <v>212</v>
      </c>
      <c r="B45" s="1" t="s">
        <v>117</v>
      </c>
      <c r="C45" s="1" t="s">
        <v>118</v>
      </c>
      <c r="D45" s="1" t="s">
        <v>119</v>
      </c>
      <c r="E45" s="1" t="s">
        <v>136</v>
      </c>
      <c r="F45" s="1" t="s">
        <v>121</v>
      </c>
      <c r="G45" s="1">
        <v>5</v>
      </c>
      <c r="H45" s="1">
        <v>45000</v>
      </c>
      <c r="I45" s="1">
        <v>225000</v>
      </c>
      <c r="J45" s="1" t="s">
        <v>160</v>
      </c>
      <c r="K45" s="1" t="s">
        <v>154</v>
      </c>
    </row>
    <row r="46" spans="1:11" x14ac:dyDescent="0.6">
      <c r="A46" s="1" t="s">
        <v>213</v>
      </c>
      <c r="B46" s="1" t="s">
        <v>214</v>
      </c>
      <c r="C46" s="1" t="s">
        <v>146</v>
      </c>
      <c r="D46" s="1" t="s">
        <v>127</v>
      </c>
      <c r="E46" s="1" t="s">
        <v>120</v>
      </c>
      <c r="F46" s="1" t="s">
        <v>121</v>
      </c>
      <c r="G46" s="1">
        <v>2</v>
      </c>
      <c r="H46" s="1">
        <v>15000</v>
      </c>
      <c r="I46" s="1">
        <v>30000</v>
      </c>
      <c r="J46" s="1" t="s">
        <v>122</v>
      </c>
      <c r="K46" s="1" t="s">
        <v>147</v>
      </c>
    </row>
    <row r="47" spans="1:11" x14ac:dyDescent="0.6">
      <c r="A47" s="1" t="s">
        <v>215</v>
      </c>
      <c r="B47" s="1" t="s">
        <v>185</v>
      </c>
      <c r="C47" s="1" t="s">
        <v>159</v>
      </c>
      <c r="D47" s="1" t="s">
        <v>143</v>
      </c>
      <c r="E47" s="1" t="s">
        <v>164</v>
      </c>
      <c r="F47" s="1" t="s">
        <v>129</v>
      </c>
      <c r="G47" s="1">
        <v>3</v>
      </c>
      <c r="H47" s="1">
        <v>5000</v>
      </c>
      <c r="I47" s="1">
        <v>15000</v>
      </c>
      <c r="J47" s="1" t="s">
        <v>140</v>
      </c>
      <c r="K47" s="1" t="s">
        <v>123</v>
      </c>
    </row>
    <row r="48" spans="1:11" x14ac:dyDescent="0.6">
      <c r="A48" s="1" t="s">
        <v>216</v>
      </c>
      <c r="B48" s="1" t="s">
        <v>133</v>
      </c>
      <c r="C48" s="1" t="s">
        <v>149</v>
      </c>
      <c r="D48" s="1" t="s">
        <v>119</v>
      </c>
      <c r="E48" s="1" t="s">
        <v>176</v>
      </c>
      <c r="F48" s="1" t="s">
        <v>121</v>
      </c>
      <c r="G48" s="1">
        <v>5</v>
      </c>
      <c r="H48" s="1">
        <v>30000</v>
      </c>
      <c r="I48" s="1">
        <v>150000</v>
      </c>
      <c r="J48" s="1" t="s">
        <v>140</v>
      </c>
      <c r="K48" s="1" t="s">
        <v>131</v>
      </c>
    </row>
    <row r="49" spans="1:11" x14ac:dyDescent="0.6">
      <c r="A49" s="1" t="s">
        <v>217</v>
      </c>
      <c r="B49" s="1" t="s">
        <v>181</v>
      </c>
      <c r="C49" s="1" t="s">
        <v>167</v>
      </c>
      <c r="D49" s="1" t="s">
        <v>127</v>
      </c>
      <c r="E49" s="1" t="s">
        <v>128</v>
      </c>
      <c r="F49" s="1" t="s">
        <v>129</v>
      </c>
      <c r="G49" s="1">
        <v>2</v>
      </c>
      <c r="H49" s="1">
        <v>4000</v>
      </c>
      <c r="I49" s="1">
        <v>8000</v>
      </c>
      <c r="J49" s="1" t="s">
        <v>130</v>
      </c>
      <c r="K49" s="1" t="s">
        <v>131</v>
      </c>
    </row>
    <row r="50" spans="1:11" x14ac:dyDescent="0.6">
      <c r="A50" s="1" t="s">
        <v>218</v>
      </c>
      <c r="B50" s="1" t="s">
        <v>191</v>
      </c>
      <c r="C50" s="1" t="s">
        <v>126</v>
      </c>
      <c r="D50" s="1" t="s">
        <v>143</v>
      </c>
      <c r="E50" s="1" t="s">
        <v>128</v>
      </c>
      <c r="F50" s="1" t="s">
        <v>129</v>
      </c>
      <c r="G50" s="1">
        <v>1</v>
      </c>
      <c r="H50" s="1">
        <v>4000</v>
      </c>
      <c r="I50" s="1">
        <v>4000</v>
      </c>
      <c r="J50" s="1" t="s">
        <v>122</v>
      </c>
      <c r="K50" s="1" t="s">
        <v>150</v>
      </c>
    </row>
    <row r="51" spans="1:11" x14ac:dyDescent="0.6">
      <c r="A51" s="1" t="s">
        <v>219</v>
      </c>
      <c r="B51" s="1" t="s">
        <v>220</v>
      </c>
      <c r="C51" s="1" t="s">
        <v>163</v>
      </c>
      <c r="D51" s="1" t="s">
        <v>143</v>
      </c>
      <c r="E51" s="1" t="s">
        <v>189</v>
      </c>
      <c r="F51" s="1" t="s">
        <v>129</v>
      </c>
      <c r="G51" s="1">
        <v>5</v>
      </c>
      <c r="H51" s="1">
        <v>3500</v>
      </c>
      <c r="I51" s="1">
        <v>17500</v>
      </c>
      <c r="J51" s="1" t="s">
        <v>130</v>
      </c>
      <c r="K51" s="1" t="s">
        <v>150</v>
      </c>
    </row>
    <row r="53" spans="1:11" x14ac:dyDescent="0.6">
      <c r="A53" s="4" t="s">
        <v>55</v>
      </c>
    </row>
    <row r="54" spans="1:11" x14ac:dyDescent="0.6">
      <c r="A54" t="s">
        <v>221</v>
      </c>
    </row>
    <row r="55" spans="1:11" x14ac:dyDescent="0.6">
      <c r="A55" s="4" t="s">
        <v>44</v>
      </c>
      <c r="B55" t="s">
        <v>231</v>
      </c>
    </row>
    <row r="56" spans="1:11" x14ac:dyDescent="0.6">
      <c r="A56" s="4"/>
      <c r="B56" t="s">
        <v>232</v>
      </c>
    </row>
    <row r="57" spans="1:11" x14ac:dyDescent="0.6">
      <c r="A57" s="4"/>
      <c r="B57" t="s">
        <v>233</v>
      </c>
    </row>
    <row r="59" spans="1:11" x14ac:dyDescent="0.6">
      <c r="A59" t="s">
        <v>222</v>
      </c>
    </row>
    <row r="61" spans="1:11" x14ac:dyDescent="0.6">
      <c r="A61" t="s">
        <v>223</v>
      </c>
    </row>
    <row r="63" spans="1:11" x14ac:dyDescent="0.6">
      <c r="A63" t="s">
        <v>224</v>
      </c>
    </row>
    <row r="65" spans="1:1" x14ac:dyDescent="0.6">
      <c r="A65" t="s">
        <v>225</v>
      </c>
    </row>
    <row r="67" spans="1:1" x14ac:dyDescent="0.6">
      <c r="A67" t="s">
        <v>226</v>
      </c>
    </row>
    <row r="69" spans="1:1" x14ac:dyDescent="0.6">
      <c r="A69" t="s">
        <v>227</v>
      </c>
    </row>
    <row r="71" spans="1:1" x14ac:dyDescent="0.6">
      <c r="A71" t="s">
        <v>228</v>
      </c>
    </row>
    <row r="73" spans="1:1" x14ac:dyDescent="0.6">
      <c r="A73" t="s">
        <v>229</v>
      </c>
    </row>
    <row r="75" spans="1:1" x14ac:dyDescent="0.6">
      <c r="A75"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1.Basic Formaula</vt:lpstr>
      <vt:lpstr>Sol-1</vt:lpstr>
      <vt:lpstr>2.Vlookup</vt:lpstr>
      <vt:lpstr>Sol-2</vt:lpstr>
      <vt:lpstr>3.Image-Table</vt:lpstr>
      <vt:lpstr>Sol-3</vt:lpstr>
      <vt:lpstr>4.Email</vt:lpstr>
      <vt:lpstr>Sol-4</vt:lpstr>
      <vt:lpstr>5.Data Analysis</vt:lpstr>
      <vt:lpstr>Sol-5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nehra</dc:creator>
  <cp:lastModifiedBy>Gandhi, Dhaval</cp:lastModifiedBy>
  <dcterms:created xsi:type="dcterms:W3CDTF">2025-04-22T12:08:55Z</dcterms:created>
  <dcterms:modified xsi:type="dcterms:W3CDTF">2026-02-16T11:23:40Z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a8c544ca-bb84-4280-906e-934547e1d30c_Removed">
    <vt:lpwstr>False</vt:lpwstr>
  </property>
  <property fmtid="{D5CDD505-2E9C-101B-9397-08002B2CF9AE}" pid="3" name="MSIP_Label_a8c544ca-bb84-4280-906e-934547e1d30c_ActionId">
    <vt:lpwstr>65f91d95-2082-4eb1-a932-6d6216caf207</vt:lpwstr>
  </property>
  <property fmtid="{D5CDD505-2E9C-101B-9397-08002B2CF9AE}" pid="4" name="MSIP_Label_a8c544ca-bb84-4280-906e-934547e1d30c_Name">
    <vt:lpwstr>Internal - General Use</vt:lpwstr>
  </property>
  <property fmtid="{D5CDD505-2E9C-101B-9397-08002B2CF9AE}" pid="5" name="MSIP_Label_a8c544ca-bb84-4280-906e-934547e1d30c_SetDate">
    <vt:lpwstr>2026-05-08T21:42:34Z</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Enabled">
    <vt:lpwstr>True</vt:lpwstr>
  </property>
  <property fmtid="{D5CDD505-2E9C-101B-9397-08002B2CF9AE}" pid="8" name="MSIP_Label_a8c544ca-bb84-4280-906e-934547e1d30c_Extended_MSFT_Method">
    <vt:lpwstr>Standard</vt:lpwstr>
  </property>
  <property fmtid="{D5CDD505-2E9C-101B-9397-08002B2CF9AE}" pid="9" name="MSIP_Label_9c215d82-5bf5-4d07-af41-65de05a9c87a_Enabled">
    <vt:lpwstr>True</vt:lpwstr>
  </property>
  <property fmtid="{D5CDD505-2E9C-101B-9397-08002B2CF9AE}" pid="10" name="MSIP_Label_9c215d82-5bf5-4d07-af41-65de05a9c87a_SiteId">
    <vt:lpwstr>f66b6bd3-ebc2-4f54-8769-d22858de97c5</vt:lpwstr>
  </property>
  <property fmtid="{D5CDD505-2E9C-101B-9397-08002B2CF9AE}" pid="11" name="MSIP_Label_9c215d82-5bf5-4d07-af41-65de05a9c87a_SetDate">
    <vt:lpwstr>2026-02-09T07:23:57Z</vt:lpwstr>
  </property>
  <property fmtid="{D5CDD505-2E9C-101B-9397-08002B2CF9AE}" pid="12" name="MSIP_Label_9c215d82-5bf5-4d07-af41-65de05a9c87a_Name">
    <vt:lpwstr>Amber</vt:lpwstr>
  </property>
  <property fmtid="{D5CDD505-2E9C-101B-9397-08002B2CF9AE}" pid="13" name="MSIP_Label_9c215d82-5bf5-4d07-af41-65de05a9c87a_ActionId">
    <vt:lpwstr>b3434411-449d-41e1-92f7-9cef998743b7</vt:lpwstr>
  </property>
  <property fmtid="{D5CDD505-2E9C-101B-9397-08002B2CF9AE}" pid="14" name="MSIP_Label_9c215d82-5bf5-4d07-af41-65de05a9c87a_Extended_MSFT_Method">
    <vt:lpwstr>Standard</vt:lpwstr>
  </property>
  <property fmtid="{D5CDD505-2E9C-101B-9397-08002B2CF9AE}" pid="15" name="Sensitivity">
    <vt:lpwstr>Internal - General Use Amber</vt:lpwstr>
  </property>
</Properties>
</file>